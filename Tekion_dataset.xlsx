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Darshan.Pawar\Downloads\embedded code\Tekion\"/>
    </mc:Choice>
  </mc:AlternateContent>
  <xr:revisionPtr revIDLastSave="0" documentId="13_ncr:1_{88C5744D-2F34-435B-B90B-1EBBC3BDD6F2}" xr6:coauthVersionLast="47" xr6:coauthVersionMax="47" xr10:uidLastSave="{00000000-0000-0000-0000-000000000000}"/>
  <bookViews>
    <workbookView xWindow="-120" yWindow="-120" windowWidth="20730" windowHeight="11040" activeTab="1" xr2:uid="{B76ADB0B-30AE-4A33-B52F-29DFBA21AD90}"/>
  </bookViews>
  <sheets>
    <sheet name="Sheet1" sheetId="1" r:id="rId1"/>
    <sheet name="Sheet2" sheetId="2" r:id="rId2"/>
  </sheets>
  <definedNames>
    <definedName name="_xlnm._FilterDatabase" localSheetId="0" hidden="1">Sheet1!$A$1:$R$3375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2" i="1"/>
  <c r="B1" i="2" a="1"/>
  <c r="B1" i="2" s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J3" i="1"/>
  <c r="L3" i="1" s="1"/>
  <c r="J4" i="1"/>
  <c r="L4" i="1" s="1"/>
  <c r="J5" i="1"/>
  <c r="L5" i="1" s="1"/>
  <c r="J6" i="1"/>
  <c r="L6" i="1" s="1"/>
  <c r="J7" i="1"/>
  <c r="L7" i="1" s="1"/>
  <c r="J8" i="1"/>
  <c r="L8" i="1" s="1"/>
  <c r="J9" i="1"/>
  <c r="L9" i="1" s="1"/>
  <c r="J10" i="1"/>
  <c r="L10" i="1" s="1"/>
  <c r="J11" i="1"/>
  <c r="L11" i="1" s="1"/>
  <c r="J12" i="1"/>
  <c r="L12" i="1" s="1"/>
  <c r="J13" i="1"/>
  <c r="L13" i="1" s="1"/>
  <c r="J14" i="1"/>
  <c r="L14" i="1" s="1"/>
  <c r="J15" i="1"/>
  <c r="L15" i="1" s="1"/>
  <c r="J16" i="1"/>
  <c r="L16" i="1" s="1"/>
  <c r="J17" i="1"/>
  <c r="L17" i="1" s="1"/>
  <c r="J18" i="1"/>
  <c r="L18" i="1" s="1"/>
  <c r="J19" i="1"/>
  <c r="L19" i="1" s="1"/>
  <c r="J20" i="1"/>
  <c r="L20" i="1" s="1"/>
  <c r="J21" i="1"/>
  <c r="L21" i="1" s="1"/>
  <c r="J22" i="1"/>
  <c r="L22" i="1" s="1"/>
  <c r="J23" i="1"/>
  <c r="L23" i="1" s="1"/>
  <c r="J24" i="1"/>
  <c r="L24" i="1" s="1"/>
  <c r="J25" i="1"/>
  <c r="L25" i="1" s="1"/>
  <c r="J26" i="1"/>
  <c r="L26" i="1" s="1"/>
  <c r="J27" i="1"/>
  <c r="L27" i="1" s="1"/>
  <c r="J28" i="1"/>
  <c r="L28" i="1" s="1"/>
  <c r="J29" i="1"/>
  <c r="L29" i="1" s="1"/>
  <c r="J30" i="1"/>
  <c r="L30" i="1" s="1"/>
  <c r="J31" i="1"/>
  <c r="L31" i="1" s="1"/>
  <c r="J32" i="1"/>
  <c r="L32" i="1" s="1"/>
  <c r="J33" i="1"/>
  <c r="L33" i="1" s="1"/>
  <c r="J34" i="1"/>
  <c r="L34" i="1" s="1"/>
  <c r="J35" i="1"/>
  <c r="L35" i="1" s="1"/>
  <c r="J36" i="1"/>
  <c r="L36" i="1" s="1"/>
  <c r="J37" i="1"/>
  <c r="L37" i="1" s="1"/>
  <c r="J38" i="1"/>
  <c r="L38" i="1" s="1"/>
  <c r="J39" i="1"/>
  <c r="L39" i="1" s="1"/>
  <c r="J40" i="1"/>
  <c r="L40" i="1" s="1"/>
  <c r="J41" i="1"/>
  <c r="L41" i="1" s="1"/>
  <c r="J42" i="1"/>
  <c r="L42" i="1" s="1"/>
  <c r="J43" i="1"/>
  <c r="L43" i="1" s="1"/>
  <c r="J44" i="1"/>
  <c r="L44" i="1" s="1"/>
  <c r="J45" i="1"/>
  <c r="L45" i="1" s="1"/>
  <c r="J46" i="1"/>
  <c r="L46" i="1" s="1"/>
  <c r="J47" i="1"/>
  <c r="L47" i="1" s="1"/>
  <c r="J48" i="1"/>
  <c r="L48" i="1" s="1"/>
  <c r="J49" i="1"/>
  <c r="L49" i="1" s="1"/>
  <c r="J50" i="1"/>
  <c r="L50" i="1" s="1"/>
  <c r="J51" i="1"/>
  <c r="L51" i="1" s="1"/>
  <c r="J52" i="1"/>
  <c r="L52" i="1" s="1"/>
  <c r="J53" i="1"/>
  <c r="L53" i="1" s="1"/>
  <c r="J54" i="1"/>
  <c r="L54" i="1" s="1"/>
  <c r="J55" i="1"/>
  <c r="L55" i="1" s="1"/>
  <c r="J56" i="1"/>
  <c r="L56" i="1" s="1"/>
  <c r="J57" i="1"/>
  <c r="L57" i="1" s="1"/>
  <c r="J58" i="1"/>
  <c r="L58" i="1" s="1"/>
  <c r="J59" i="1"/>
  <c r="L59" i="1" s="1"/>
  <c r="J60" i="1"/>
  <c r="L60" i="1" s="1"/>
  <c r="J61" i="1"/>
  <c r="L61" i="1" s="1"/>
  <c r="J62" i="1"/>
  <c r="L62" i="1" s="1"/>
  <c r="J63" i="1"/>
  <c r="L63" i="1" s="1"/>
  <c r="J64" i="1"/>
  <c r="L64" i="1" s="1"/>
  <c r="J65" i="1"/>
  <c r="L65" i="1" s="1"/>
  <c r="J66" i="1"/>
  <c r="L66" i="1" s="1"/>
  <c r="J67" i="1"/>
  <c r="L67" i="1" s="1"/>
  <c r="J68" i="1"/>
  <c r="L68" i="1" s="1"/>
  <c r="J69" i="1"/>
  <c r="L69" i="1" s="1"/>
  <c r="J70" i="1"/>
  <c r="L70" i="1" s="1"/>
  <c r="J71" i="1"/>
  <c r="L71" i="1" s="1"/>
  <c r="J72" i="1"/>
  <c r="L72" i="1" s="1"/>
  <c r="J73" i="1"/>
  <c r="L73" i="1" s="1"/>
  <c r="J74" i="1"/>
  <c r="L74" i="1" s="1"/>
  <c r="J75" i="1"/>
  <c r="L75" i="1" s="1"/>
  <c r="J76" i="1"/>
  <c r="L76" i="1" s="1"/>
  <c r="J77" i="1"/>
  <c r="L77" i="1" s="1"/>
  <c r="J78" i="1"/>
  <c r="L78" i="1" s="1"/>
  <c r="J79" i="1"/>
  <c r="L79" i="1" s="1"/>
  <c r="J80" i="1"/>
  <c r="L80" i="1" s="1"/>
  <c r="J81" i="1"/>
  <c r="L81" i="1" s="1"/>
  <c r="J82" i="1"/>
  <c r="L82" i="1" s="1"/>
  <c r="J83" i="1"/>
  <c r="L83" i="1" s="1"/>
  <c r="J84" i="1"/>
  <c r="L84" i="1" s="1"/>
  <c r="J85" i="1"/>
  <c r="L85" i="1" s="1"/>
  <c r="J86" i="1"/>
  <c r="L86" i="1" s="1"/>
  <c r="J87" i="1"/>
  <c r="L87" i="1" s="1"/>
  <c r="J88" i="1"/>
  <c r="L88" i="1" s="1"/>
  <c r="J89" i="1"/>
  <c r="L89" i="1" s="1"/>
  <c r="J90" i="1"/>
  <c r="L90" i="1" s="1"/>
  <c r="J91" i="1"/>
  <c r="L91" i="1" s="1"/>
  <c r="J92" i="1"/>
  <c r="L92" i="1" s="1"/>
  <c r="J93" i="1"/>
  <c r="L93" i="1" s="1"/>
  <c r="J94" i="1"/>
  <c r="L94" i="1" s="1"/>
  <c r="J95" i="1"/>
  <c r="L95" i="1" s="1"/>
  <c r="J96" i="1"/>
  <c r="L96" i="1" s="1"/>
  <c r="J97" i="1"/>
  <c r="L97" i="1" s="1"/>
  <c r="J98" i="1"/>
  <c r="L98" i="1" s="1"/>
  <c r="J99" i="1"/>
  <c r="L99" i="1" s="1"/>
  <c r="J100" i="1"/>
  <c r="L100" i="1" s="1"/>
  <c r="J101" i="1"/>
  <c r="L101" i="1" s="1"/>
  <c r="J102" i="1"/>
  <c r="L102" i="1" s="1"/>
  <c r="J103" i="1"/>
  <c r="L103" i="1" s="1"/>
  <c r="J104" i="1"/>
  <c r="L104" i="1" s="1"/>
  <c r="J105" i="1"/>
  <c r="L105" i="1" s="1"/>
  <c r="J106" i="1"/>
  <c r="L106" i="1" s="1"/>
  <c r="J107" i="1"/>
  <c r="L107" i="1" s="1"/>
  <c r="J108" i="1"/>
  <c r="L108" i="1" s="1"/>
  <c r="J109" i="1"/>
  <c r="L109" i="1" s="1"/>
  <c r="J110" i="1"/>
  <c r="L110" i="1" s="1"/>
  <c r="J111" i="1"/>
  <c r="L111" i="1" s="1"/>
  <c r="J112" i="1"/>
  <c r="L112" i="1" s="1"/>
  <c r="J113" i="1"/>
  <c r="L113" i="1" s="1"/>
  <c r="J114" i="1"/>
  <c r="L114" i="1" s="1"/>
  <c r="J115" i="1"/>
  <c r="L115" i="1" s="1"/>
  <c r="J116" i="1"/>
  <c r="L116" i="1" s="1"/>
  <c r="J117" i="1"/>
  <c r="L117" i="1" s="1"/>
  <c r="J118" i="1"/>
  <c r="L118" i="1" s="1"/>
  <c r="J119" i="1"/>
  <c r="L119" i="1" s="1"/>
  <c r="J120" i="1"/>
  <c r="L120" i="1" s="1"/>
  <c r="J121" i="1"/>
  <c r="L121" i="1" s="1"/>
  <c r="J122" i="1"/>
  <c r="L122" i="1" s="1"/>
  <c r="J123" i="1"/>
  <c r="L123" i="1" s="1"/>
  <c r="J124" i="1"/>
  <c r="L124" i="1" s="1"/>
  <c r="J125" i="1"/>
  <c r="L125" i="1" s="1"/>
  <c r="J126" i="1"/>
  <c r="L126" i="1" s="1"/>
  <c r="J127" i="1"/>
  <c r="L127" i="1" s="1"/>
  <c r="J128" i="1"/>
  <c r="L128" i="1" s="1"/>
  <c r="J129" i="1"/>
  <c r="L129" i="1" s="1"/>
  <c r="J130" i="1"/>
  <c r="L130" i="1" s="1"/>
  <c r="J131" i="1"/>
  <c r="L131" i="1" s="1"/>
  <c r="J132" i="1"/>
  <c r="L132" i="1" s="1"/>
  <c r="J133" i="1"/>
  <c r="L133" i="1" s="1"/>
  <c r="J134" i="1"/>
  <c r="L134" i="1" s="1"/>
  <c r="J135" i="1"/>
  <c r="L135" i="1" s="1"/>
  <c r="J136" i="1"/>
  <c r="L136" i="1" s="1"/>
  <c r="J137" i="1"/>
  <c r="L137" i="1" s="1"/>
  <c r="J138" i="1"/>
  <c r="L138" i="1" s="1"/>
  <c r="J139" i="1"/>
  <c r="L139" i="1" s="1"/>
  <c r="J140" i="1"/>
  <c r="L140" i="1" s="1"/>
  <c r="J141" i="1"/>
  <c r="L141" i="1" s="1"/>
  <c r="J142" i="1"/>
  <c r="L142" i="1" s="1"/>
  <c r="J143" i="1"/>
  <c r="L143" i="1" s="1"/>
  <c r="J144" i="1"/>
  <c r="L144" i="1" s="1"/>
  <c r="J145" i="1"/>
  <c r="L145" i="1" s="1"/>
  <c r="J146" i="1"/>
  <c r="L146" i="1" s="1"/>
  <c r="J147" i="1"/>
  <c r="L147" i="1" s="1"/>
  <c r="J148" i="1"/>
  <c r="L148" i="1" s="1"/>
  <c r="J149" i="1"/>
  <c r="L149" i="1" s="1"/>
  <c r="J150" i="1"/>
  <c r="L150" i="1" s="1"/>
  <c r="J151" i="1"/>
  <c r="L151" i="1" s="1"/>
  <c r="J152" i="1"/>
  <c r="L152" i="1" s="1"/>
  <c r="J153" i="1"/>
  <c r="L153" i="1" s="1"/>
  <c r="J154" i="1"/>
  <c r="L154" i="1" s="1"/>
  <c r="J155" i="1"/>
  <c r="L155" i="1" s="1"/>
  <c r="J156" i="1"/>
  <c r="L156" i="1" s="1"/>
  <c r="J157" i="1"/>
  <c r="L157" i="1" s="1"/>
  <c r="J158" i="1"/>
  <c r="L158" i="1" s="1"/>
  <c r="J159" i="1"/>
  <c r="L159" i="1" s="1"/>
  <c r="J160" i="1"/>
  <c r="L160" i="1" s="1"/>
  <c r="J161" i="1"/>
  <c r="L161" i="1" s="1"/>
  <c r="J162" i="1"/>
  <c r="L162" i="1" s="1"/>
  <c r="J163" i="1"/>
  <c r="L163" i="1" s="1"/>
  <c r="J164" i="1"/>
  <c r="L164" i="1" s="1"/>
  <c r="J165" i="1"/>
  <c r="L165" i="1" s="1"/>
  <c r="J166" i="1"/>
  <c r="L166" i="1" s="1"/>
  <c r="J167" i="1"/>
  <c r="L167" i="1" s="1"/>
  <c r="J168" i="1"/>
  <c r="L168" i="1" s="1"/>
  <c r="J169" i="1"/>
  <c r="L169" i="1" s="1"/>
  <c r="J170" i="1"/>
  <c r="L170" i="1" s="1"/>
  <c r="J171" i="1"/>
  <c r="L171" i="1" s="1"/>
  <c r="J172" i="1"/>
  <c r="L172" i="1" s="1"/>
  <c r="J173" i="1"/>
  <c r="L173" i="1" s="1"/>
  <c r="J174" i="1"/>
  <c r="L174" i="1" s="1"/>
  <c r="J175" i="1"/>
  <c r="L175" i="1" s="1"/>
  <c r="J176" i="1"/>
  <c r="L176" i="1" s="1"/>
  <c r="J177" i="1"/>
  <c r="L177" i="1" s="1"/>
  <c r="J178" i="1"/>
  <c r="L178" i="1" s="1"/>
  <c r="J179" i="1"/>
  <c r="L179" i="1" s="1"/>
  <c r="J180" i="1"/>
  <c r="L180" i="1" s="1"/>
  <c r="J181" i="1"/>
  <c r="L181" i="1" s="1"/>
  <c r="J182" i="1"/>
  <c r="L182" i="1" s="1"/>
  <c r="J183" i="1"/>
  <c r="L183" i="1" s="1"/>
  <c r="J184" i="1"/>
  <c r="L184" i="1" s="1"/>
  <c r="J185" i="1"/>
  <c r="L185" i="1" s="1"/>
  <c r="J186" i="1"/>
  <c r="L186" i="1" s="1"/>
  <c r="J187" i="1"/>
  <c r="L187" i="1" s="1"/>
  <c r="J188" i="1"/>
  <c r="L188" i="1" s="1"/>
  <c r="J189" i="1"/>
  <c r="L189" i="1" s="1"/>
  <c r="J190" i="1"/>
  <c r="L190" i="1" s="1"/>
  <c r="J191" i="1"/>
  <c r="L191" i="1" s="1"/>
  <c r="J192" i="1"/>
  <c r="L192" i="1" s="1"/>
  <c r="J193" i="1"/>
  <c r="L193" i="1" s="1"/>
  <c r="J194" i="1"/>
  <c r="L194" i="1" s="1"/>
  <c r="J195" i="1"/>
  <c r="L195" i="1" s="1"/>
  <c r="J196" i="1"/>
  <c r="L196" i="1" s="1"/>
  <c r="J197" i="1"/>
  <c r="L197" i="1" s="1"/>
  <c r="J198" i="1"/>
  <c r="L198" i="1" s="1"/>
  <c r="J199" i="1"/>
  <c r="L199" i="1" s="1"/>
  <c r="J200" i="1"/>
  <c r="L200" i="1" s="1"/>
  <c r="J201" i="1"/>
  <c r="L201" i="1" s="1"/>
  <c r="J202" i="1"/>
  <c r="L202" i="1" s="1"/>
  <c r="J203" i="1"/>
  <c r="L203" i="1" s="1"/>
  <c r="J204" i="1"/>
  <c r="L204" i="1" s="1"/>
  <c r="J205" i="1"/>
  <c r="L205" i="1" s="1"/>
  <c r="J206" i="1"/>
  <c r="L206" i="1" s="1"/>
  <c r="J207" i="1"/>
  <c r="L207" i="1" s="1"/>
  <c r="J208" i="1"/>
  <c r="L208" i="1" s="1"/>
  <c r="J209" i="1"/>
  <c r="L209" i="1" s="1"/>
  <c r="J210" i="1"/>
  <c r="L210" i="1" s="1"/>
  <c r="J211" i="1"/>
  <c r="L211" i="1" s="1"/>
  <c r="J212" i="1"/>
  <c r="L212" i="1" s="1"/>
  <c r="J213" i="1"/>
  <c r="L213" i="1" s="1"/>
  <c r="J214" i="1"/>
  <c r="L214" i="1" s="1"/>
  <c r="J215" i="1"/>
  <c r="L215" i="1" s="1"/>
  <c r="J216" i="1"/>
  <c r="L216" i="1" s="1"/>
  <c r="J217" i="1"/>
  <c r="L217" i="1" s="1"/>
  <c r="J218" i="1"/>
  <c r="L218" i="1" s="1"/>
  <c r="J219" i="1"/>
  <c r="L219" i="1" s="1"/>
  <c r="J220" i="1"/>
  <c r="L220" i="1" s="1"/>
  <c r="J221" i="1"/>
  <c r="L221" i="1" s="1"/>
  <c r="J222" i="1"/>
  <c r="L222" i="1" s="1"/>
  <c r="J223" i="1"/>
  <c r="L223" i="1" s="1"/>
  <c r="J224" i="1"/>
  <c r="L224" i="1" s="1"/>
  <c r="J225" i="1"/>
  <c r="L225" i="1" s="1"/>
  <c r="J226" i="1"/>
  <c r="L226" i="1" s="1"/>
  <c r="J227" i="1"/>
  <c r="L227" i="1" s="1"/>
  <c r="J228" i="1"/>
  <c r="L228" i="1" s="1"/>
  <c r="J229" i="1"/>
  <c r="L229" i="1" s="1"/>
  <c r="J230" i="1"/>
  <c r="L230" i="1" s="1"/>
  <c r="J231" i="1"/>
  <c r="L231" i="1" s="1"/>
  <c r="J232" i="1"/>
  <c r="L232" i="1" s="1"/>
  <c r="J233" i="1"/>
  <c r="L233" i="1" s="1"/>
  <c r="J234" i="1"/>
  <c r="L234" i="1" s="1"/>
  <c r="J235" i="1"/>
  <c r="L235" i="1" s="1"/>
  <c r="J236" i="1"/>
  <c r="L236" i="1" s="1"/>
  <c r="J237" i="1"/>
  <c r="L237" i="1" s="1"/>
  <c r="J238" i="1"/>
  <c r="L238" i="1" s="1"/>
  <c r="J239" i="1"/>
  <c r="L239" i="1" s="1"/>
  <c r="J240" i="1"/>
  <c r="L240" i="1" s="1"/>
  <c r="J241" i="1"/>
  <c r="L241" i="1" s="1"/>
  <c r="J242" i="1"/>
  <c r="L242" i="1" s="1"/>
  <c r="J243" i="1"/>
  <c r="L243" i="1" s="1"/>
  <c r="J244" i="1"/>
  <c r="L244" i="1" s="1"/>
  <c r="J245" i="1"/>
  <c r="L245" i="1" s="1"/>
  <c r="J246" i="1"/>
  <c r="L246" i="1" s="1"/>
  <c r="J247" i="1"/>
  <c r="L247" i="1" s="1"/>
  <c r="J248" i="1"/>
  <c r="L248" i="1" s="1"/>
  <c r="J249" i="1"/>
  <c r="L249" i="1" s="1"/>
  <c r="J250" i="1"/>
  <c r="L250" i="1" s="1"/>
  <c r="J251" i="1"/>
  <c r="L251" i="1" s="1"/>
  <c r="J252" i="1"/>
  <c r="L252" i="1" s="1"/>
  <c r="J253" i="1"/>
  <c r="L253" i="1" s="1"/>
  <c r="J254" i="1"/>
  <c r="L254" i="1" s="1"/>
  <c r="J255" i="1"/>
  <c r="L255" i="1" s="1"/>
  <c r="J256" i="1"/>
  <c r="L256" i="1" s="1"/>
  <c r="J257" i="1"/>
  <c r="L257" i="1" s="1"/>
  <c r="J258" i="1"/>
  <c r="L258" i="1" s="1"/>
  <c r="J259" i="1"/>
  <c r="L259" i="1" s="1"/>
  <c r="J260" i="1"/>
  <c r="L260" i="1" s="1"/>
  <c r="J261" i="1"/>
  <c r="L261" i="1" s="1"/>
  <c r="J262" i="1"/>
  <c r="L262" i="1" s="1"/>
  <c r="J263" i="1"/>
  <c r="L263" i="1" s="1"/>
  <c r="J264" i="1"/>
  <c r="L264" i="1" s="1"/>
  <c r="J265" i="1"/>
  <c r="L265" i="1" s="1"/>
  <c r="J266" i="1"/>
  <c r="L266" i="1" s="1"/>
  <c r="J267" i="1"/>
  <c r="L267" i="1" s="1"/>
  <c r="J268" i="1"/>
  <c r="L268" i="1" s="1"/>
  <c r="J269" i="1"/>
  <c r="L269" i="1" s="1"/>
  <c r="J270" i="1"/>
  <c r="L270" i="1" s="1"/>
  <c r="J271" i="1"/>
  <c r="L271" i="1" s="1"/>
  <c r="J272" i="1"/>
  <c r="L272" i="1" s="1"/>
  <c r="J273" i="1"/>
  <c r="L273" i="1" s="1"/>
  <c r="J274" i="1"/>
  <c r="L274" i="1" s="1"/>
  <c r="J275" i="1"/>
  <c r="L275" i="1" s="1"/>
  <c r="J276" i="1"/>
  <c r="L276" i="1" s="1"/>
  <c r="J277" i="1"/>
  <c r="L277" i="1" s="1"/>
  <c r="J278" i="1"/>
  <c r="L278" i="1" s="1"/>
  <c r="J279" i="1"/>
  <c r="L279" i="1" s="1"/>
  <c r="J280" i="1"/>
  <c r="L280" i="1" s="1"/>
  <c r="J281" i="1"/>
  <c r="L281" i="1" s="1"/>
  <c r="J282" i="1"/>
  <c r="L282" i="1" s="1"/>
  <c r="J283" i="1"/>
  <c r="L283" i="1" s="1"/>
  <c r="J284" i="1"/>
  <c r="L284" i="1" s="1"/>
  <c r="J285" i="1"/>
  <c r="L285" i="1" s="1"/>
  <c r="J286" i="1"/>
  <c r="L286" i="1" s="1"/>
  <c r="J287" i="1"/>
  <c r="L287" i="1" s="1"/>
  <c r="J288" i="1"/>
  <c r="L288" i="1" s="1"/>
  <c r="J289" i="1"/>
  <c r="L289" i="1" s="1"/>
  <c r="J290" i="1"/>
  <c r="L290" i="1" s="1"/>
  <c r="J291" i="1"/>
  <c r="L291" i="1" s="1"/>
  <c r="J292" i="1"/>
  <c r="L292" i="1" s="1"/>
  <c r="J293" i="1"/>
  <c r="L293" i="1" s="1"/>
  <c r="J294" i="1"/>
  <c r="L294" i="1" s="1"/>
  <c r="J295" i="1"/>
  <c r="L295" i="1" s="1"/>
  <c r="J296" i="1"/>
  <c r="L296" i="1" s="1"/>
  <c r="J297" i="1"/>
  <c r="L297" i="1" s="1"/>
  <c r="J298" i="1"/>
  <c r="L298" i="1" s="1"/>
  <c r="J299" i="1"/>
  <c r="L299" i="1" s="1"/>
  <c r="J300" i="1"/>
  <c r="L300" i="1" s="1"/>
  <c r="J301" i="1"/>
  <c r="L301" i="1" s="1"/>
  <c r="J302" i="1"/>
  <c r="L302" i="1" s="1"/>
  <c r="J303" i="1"/>
  <c r="L303" i="1" s="1"/>
  <c r="J304" i="1"/>
  <c r="L304" i="1" s="1"/>
  <c r="J305" i="1"/>
  <c r="L305" i="1" s="1"/>
  <c r="J306" i="1"/>
  <c r="L306" i="1" s="1"/>
  <c r="J307" i="1"/>
  <c r="L307" i="1" s="1"/>
  <c r="J308" i="1"/>
  <c r="L308" i="1" s="1"/>
  <c r="J309" i="1"/>
  <c r="L309" i="1" s="1"/>
  <c r="J310" i="1"/>
  <c r="L310" i="1" s="1"/>
  <c r="J311" i="1"/>
  <c r="L311" i="1" s="1"/>
  <c r="J312" i="1"/>
  <c r="L312" i="1" s="1"/>
  <c r="J313" i="1"/>
  <c r="L313" i="1" s="1"/>
  <c r="J314" i="1"/>
  <c r="L314" i="1" s="1"/>
  <c r="J315" i="1"/>
  <c r="L315" i="1" s="1"/>
  <c r="J316" i="1"/>
  <c r="L316" i="1" s="1"/>
  <c r="J317" i="1"/>
  <c r="L317" i="1" s="1"/>
  <c r="J318" i="1"/>
  <c r="L318" i="1" s="1"/>
  <c r="J319" i="1"/>
  <c r="L319" i="1" s="1"/>
  <c r="J320" i="1"/>
  <c r="L320" i="1" s="1"/>
  <c r="J321" i="1"/>
  <c r="L321" i="1" s="1"/>
  <c r="J322" i="1"/>
  <c r="L322" i="1" s="1"/>
  <c r="J323" i="1"/>
  <c r="L323" i="1" s="1"/>
  <c r="J324" i="1"/>
  <c r="L324" i="1" s="1"/>
  <c r="J325" i="1"/>
  <c r="L325" i="1" s="1"/>
  <c r="J326" i="1"/>
  <c r="L326" i="1" s="1"/>
  <c r="J327" i="1"/>
  <c r="L327" i="1" s="1"/>
  <c r="J328" i="1"/>
  <c r="L328" i="1" s="1"/>
  <c r="J329" i="1"/>
  <c r="L329" i="1" s="1"/>
  <c r="J330" i="1"/>
  <c r="L330" i="1" s="1"/>
  <c r="J331" i="1"/>
  <c r="L331" i="1" s="1"/>
  <c r="J332" i="1"/>
  <c r="L332" i="1" s="1"/>
  <c r="J333" i="1"/>
  <c r="L333" i="1" s="1"/>
  <c r="J334" i="1"/>
  <c r="L334" i="1" s="1"/>
  <c r="J335" i="1"/>
  <c r="L335" i="1" s="1"/>
  <c r="J336" i="1"/>
  <c r="L336" i="1" s="1"/>
  <c r="J337" i="1"/>
  <c r="L337" i="1" s="1"/>
  <c r="J338" i="1"/>
  <c r="L338" i="1" s="1"/>
  <c r="J339" i="1"/>
  <c r="L339" i="1" s="1"/>
  <c r="J340" i="1"/>
  <c r="L340" i="1" s="1"/>
  <c r="J341" i="1"/>
  <c r="L341" i="1" s="1"/>
  <c r="J342" i="1"/>
  <c r="L342" i="1" s="1"/>
  <c r="J343" i="1"/>
  <c r="L343" i="1" s="1"/>
  <c r="J344" i="1"/>
  <c r="L344" i="1" s="1"/>
  <c r="J345" i="1"/>
  <c r="L345" i="1" s="1"/>
  <c r="J346" i="1"/>
  <c r="L346" i="1" s="1"/>
  <c r="J347" i="1"/>
  <c r="L347" i="1" s="1"/>
  <c r="J348" i="1"/>
  <c r="L348" i="1" s="1"/>
  <c r="J349" i="1"/>
  <c r="L349" i="1" s="1"/>
  <c r="J350" i="1"/>
  <c r="L350" i="1" s="1"/>
  <c r="J351" i="1"/>
  <c r="L351" i="1" s="1"/>
  <c r="J352" i="1"/>
  <c r="L352" i="1" s="1"/>
  <c r="J353" i="1"/>
  <c r="L353" i="1" s="1"/>
  <c r="J354" i="1"/>
  <c r="L354" i="1" s="1"/>
  <c r="J355" i="1"/>
  <c r="L355" i="1" s="1"/>
  <c r="J356" i="1"/>
  <c r="L356" i="1" s="1"/>
  <c r="J357" i="1"/>
  <c r="L357" i="1" s="1"/>
  <c r="J358" i="1"/>
  <c r="L358" i="1" s="1"/>
  <c r="J359" i="1"/>
  <c r="L359" i="1" s="1"/>
  <c r="J360" i="1"/>
  <c r="L360" i="1" s="1"/>
  <c r="J361" i="1"/>
  <c r="L361" i="1" s="1"/>
  <c r="J362" i="1"/>
  <c r="L362" i="1" s="1"/>
  <c r="J363" i="1"/>
  <c r="L363" i="1" s="1"/>
  <c r="J364" i="1"/>
  <c r="L364" i="1" s="1"/>
  <c r="J365" i="1"/>
  <c r="L365" i="1" s="1"/>
  <c r="J366" i="1"/>
  <c r="L366" i="1" s="1"/>
  <c r="J367" i="1"/>
  <c r="L367" i="1" s="1"/>
  <c r="J368" i="1"/>
  <c r="L368" i="1" s="1"/>
  <c r="J369" i="1"/>
  <c r="L369" i="1" s="1"/>
  <c r="J370" i="1"/>
  <c r="L370" i="1" s="1"/>
  <c r="J371" i="1"/>
  <c r="L371" i="1" s="1"/>
  <c r="J372" i="1"/>
  <c r="L372" i="1" s="1"/>
  <c r="J373" i="1"/>
  <c r="L373" i="1" s="1"/>
  <c r="J374" i="1"/>
  <c r="L374" i="1" s="1"/>
  <c r="J375" i="1"/>
  <c r="L375" i="1" s="1"/>
  <c r="J376" i="1"/>
  <c r="L376" i="1" s="1"/>
  <c r="J377" i="1"/>
  <c r="L377" i="1" s="1"/>
  <c r="J378" i="1"/>
  <c r="L378" i="1" s="1"/>
  <c r="J379" i="1"/>
  <c r="L379" i="1" s="1"/>
  <c r="J380" i="1"/>
  <c r="L380" i="1" s="1"/>
  <c r="J381" i="1"/>
  <c r="L381" i="1" s="1"/>
  <c r="J382" i="1"/>
  <c r="L382" i="1" s="1"/>
  <c r="J383" i="1"/>
  <c r="L383" i="1" s="1"/>
  <c r="J384" i="1"/>
  <c r="L384" i="1" s="1"/>
  <c r="J385" i="1"/>
  <c r="L385" i="1" s="1"/>
  <c r="J386" i="1"/>
  <c r="L386" i="1" s="1"/>
  <c r="J387" i="1"/>
  <c r="L387" i="1" s="1"/>
  <c r="J388" i="1"/>
  <c r="L388" i="1" s="1"/>
  <c r="J389" i="1"/>
  <c r="L389" i="1" s="1"/>
  <c r="J390" i="1"/>
  <c r="L390" i="1" s="1"/>
  <c r="J391" i="1"/>
  <c r="L391" i="1" s="1"/>
  <c r="J392" i="1"/>
  <c r="L392" i="1" s="1"/>
  <c r="J393" i="1"/>
  <c r="L393" i="1" s="1"/>
  <c r="J394" i="1"/>
  <c r="L394" i="1" s="1"/>
  <c r="J395" i="1"/>
  <c r="L395" i="1" s="1"/>
  <c r="J396" i="1"/>
  <c r="L396" i="1" s="1"/>
  <c r="J397" i="1"/>
  <c r="L397" i="1" s="1"/>
  <c r="J398" i="1"/>
  <c r="L398" i="1" s="1"/>
  <c r="J399" i="1"/>
  <c r="L399" i="1" s="1"/>
  <c r="J400" i="1"/>
  <c r="L400" i="1" s="1"/>
  <c r="J401" i="1"/>
  <c r="L401" i="1" s="1"/>
  <c r="J402" i="1"/>
  <c r="L402" i="1" s="1"/>
  <c r="J403" i="1"/>
  <c r="L403" i="1" s="1"/>
  <c r="J404" i="1"/>
  <c r="L404" i="1" s="1"/>
  <c r="J405" i="1"/>
  <c r="L405" i="1" s="1"/>
  <c r="J406" i="1"/>
  <c r="L406" i="1" s="1"/>
  <c r="J407" i="1"/>
  <c r="L407" i="1" s="1"/>
  <c r="J408" i="1"/>
  <c r="L408" i="1" s="1"/>
  <c r="J409" i="1"/>
  <c r="L409" i="1" s="1"/>
  <c r="J410" i="1"/>
  <c r="L410" i="1" s="1"/>
  <c r="J411" i="1"/>
  <c r="L411" i="1" s="1"/>
  <c r="J412" i="1"/>
  <c r="L412" i="1" s="1"/>
  <c r="J413" i="1"/>
  <c r="L413" i="1" s="1"/>
  <c r="J414" i="1"/>
  <c r="L414" i="1" s="1"/>
  <c r="J415" i="1"/>
  <c r="L415" i="1" s="1"/>
  <c r="J416" i="1"/>
  <c r="L416" i="1" s="1"/>
  <c r="J417" i="1"/>
  <c r="L417" i="1" s="1"/>
  <c r="J418" i="1"/>
  <c r="L418" i="1" s="1"/>
  <c r="J419" i="1"/>
  <c r="L419" i="1" s="1"/>
  <c r="J420" i="1"/>
  <c r="L420" i="1" s="1"/>
  <c r="J421" i="1"/>
  <c r="L421" i="1" s="1"/>
  <c r="J422" i="1"/>
  <c r="L422" i="1" s="1"/>
  <c r="J423" i="1"/>
  <c r="L423" i="1" s="1"/>
  <c r="J424" i="1"/>
  <c r="L424" i="1" s="1"/>
  <c r="J425" i="1"/>
  <c r="L425" i="1" s="1"/>
  <c r="J426" i="1"/>
  <c r="L426" i="1" s="1"/>
  <c r="J427" i="1"/>
  <c r="L427" i="1" s="1"/>
  <c r="J428" i="1"/>
  <c r="L428" i="1" s="1"/>
  <c r="J429" i="1"/>
  <c r="L429" i="1" s="1"/>
  <c r="J430" i="1"/>
  <c r="L430" i="1" s="1"/>
  <c r="J431" i="1"/>
  <c r="L431" i="1" s="1"/>
  <c r="J432" i="1"/>
  <c r="L432" i="1" s="1"/>
  <c r="J433" i="1"/>
  <c r="L433" i="1" s="1"/>
  <c r="J434" i="1"/>
  <c r="L434" i="1" s="1"/>
  <c r="J435" i="1"/>
  <c r="L435" i="1" s="1"/>
  <c r="J436" i="1"/>
  <c r="L436" i="1" s="1"/>
  <c r="J437" i="1"/>
  <c r="L437" i="1" s="1"/>
  <c r="J438" i="1"/>
  <c r="L438" i="1" s="1"/>
  <c r="J439" i="1"/>
  <c r="L439" i="1" s="1"/>
  <c r="J440" i="1"/>
  <c r="L440" i="1" s="1"/>
  <c r="J441" i="1"/>
  <c r="L441" i="1" s="1"/>
  <c r="J442" i="1"/>
  <c r="L442" i="1" s="1"/>
  <c r="J443" i="1"/>
  <c r="L443" i="1" s="1"/>
  <c r="J444" i="1"/>
  <c r="L444" i="1" s="1"/>
  <c r="J445" i="1"/>
  <c r="L445" i="1" s="1"/>
  <c r="J446" i="1"/>
  <c r="L446" i="1" s="1"/>
  <c r="J447" i="1"/>
  <c r="L447" i="1" s="1"/>
  <c r="J448" i="1"/>
  <c r="L448" i="1" s="1"/>
  <c r="J449" i="1"/>
  <c r="L449" i="1" s="1"/>
  <c r="J450" i="1"/>
  <c r="L450" i="1" s="1"/>
  <c r="J451" i="1"/>
  <c r="L451" i="1" s="1"/>
  <c r="J452" i="1"/>
  <c r="L452" i="1" s="1"/>
  <c r="J453" i="1"/>
  <c r="L453" i="1" s="1"/>
  <c r="J454" i="1"/>
  <c r="L454" i="1" s="1"/>
  <c r="J455" i="1"/>
  <c r="L455" i="1" s="1"/>
  <c r="J456" i="1"/>
  <c r="L456" i="1" s="1"/>
  <c r="J457" i="1"/>
  <c r="L457" i="1" s="1"/>
  <c r="J458" i="1"/>
  <c r="L458" i="1" s="1"/>
  <c r="J459" i="1"/>
  <c r="L459" i="1" s="1"/>
  <c r="J460" i="1"/>
  <c r="L460" i="1" s="1"/>
  <c r="J461" i="1"/>
  <c r="L461" i="1" s="1"/>
  <c r="J462" i="1"/>
  <c r="L462" i="1" s="1"/>
  <c r="J463" i="1"/>
  <c r="L463" i="1" s="1"/>
  <c r="J464" i="1"/>
  <c r="L464" i="1" s="1"/>
  <c r="J465" i="1"/>
  <c r="L465" i="1" s="1"/>
  <c r="J466" i="1"/>
  <c r="L466" i="1" s="1"/>
  <c r="J467" i="1"/>
  <c r="L467" i="1" s="1"/>
  <c r="J468" i="1"/>
  <c r="L468" i="1" s="1"/>
  <c r="J469" i="1"/>
  <c r="L469" i="1" s="1"/>
  <c r="J470" i="1"/>
  <c r="L470" i="1" s="1"/>
  <c r="J471" i="1"/>
  <c r="L471" i="1" s="1"/>
  <c r="J472" i="1"/>
  <c r="L472" i="1" s="1"/>
  <c r="J473" i="1"/>
  <c r="L473" i="1" s="1"/>
  <c r="J474" i="1"/>
  <c r="L474" i="1" s="1"/>
  <c r="J475" i="1"/>
  <c r="L475" i="1" s="1"/>
  <c r="J476" i="1"/>
  <c r="L476" i="1" s="1"/>
  <c r="J477" i="1"/>
  <c r="L477" i="1" s="1"/>
  <c r="J478" i="1"/>
  <c r="L478" i="1" s="1"/>
  <c r="J479" i="1"/>
  <c r="L479" i="1" s="1"/>
  <c r="J480" i="1"/>
  <c r="L480" i="1" s="1"/>
  <c r="J481" i="1"/>
  <c r="L481" i="1" s="1"/>
  <c r="J482" i="1"/>
  <c r="L482" i="1" s="1"/>
  <c r="J483" i="1"/>
  <c r="L483" i="1" s="1"/>
  <c r="J484" i="1"/>
  <c r="L484" i="1" s="1"/>
  <c r="J485" i="1"/>
  <c r="L485" i="1" s="1"/>
  <c r="J486" i="1"/>
  <c r="L486" i="1" s="1"/>
  <c r="J487" i="1"/>
  <c r="L487" i="1" s="1"/>
  <c r="J488" i="1"/>
  <c r="L488" i="1" s="1"/>
  <c r="J489" i="1"/>
  <c r="L489" i="1" s="1"/>
  <c r="J490" i="1"/>
  <c r="L490" i="1" s="1"/>
  <c r="J491" i="1"/>
  <c r="L491" i="1" s="1"/>
  <c r="J492" i="1"/>
  <c r="L492" i="1" s="1"/>
  <c r="J493" i="1"/>
  <c r="L493" i="1" s="1"/>
  <c r="J494" i="1"/>
  <c r="L494" i="1" s="1"/>
  <c r="J495" i="1"/>
  <c r="L495" i="1" s="1"/>
  <c r="J496" i="1"/>
  <c r="L496" i="1" s="1"/>
  <c r="J497" i="1"/>
  <c r="L497" i="1" s="1"/>
  <c r="J498" i="1"/>
  <c r="L498" i="1" s="1"/>
  <c r="J499" i="1"/>
  <c r="L499" i="1" s="1"/>
  <c r="J500" i="1"/>
  <c r="L500" i="1" s="1"/>
  <c r="J501" i="1"/>
  <c r="L501" i="1" s="1"/>
  <c r="J502" i="1"/>
  <c r="L502" i="1" s="1"/>
  <c r="J503" i="1"/>
  <c r="L503" i="1" s="1"/>
  <c r="J504" i="1"/>
  <c r="L504" i="1" s="1"/>
  <c r="J505" i="1"/>
  <c r="L505" i="1" s="1"/>
  <c r="J506" i="1"/>
  <c r="L506" i="1" s="1"/>
  <c r="J507" i="1"/>
  <c r="L507" i="1" s="1"/>
  <c r="J508" i="1"/>
  <c r="L508" i="1" s="1"/>
  <c r="J509" i="1"/>
  <c r="L509" i="1" s="1"/>
  <c r="J510" i="1"/>
  <c r="L510" i="1" s="1"/>
  <c r="J511" i="1"/>
  <c r="L511" i="1" s="1"/>
  <c r="J512" i="1"/>
  <c r="L512" i="1" s="1"/>
  <c r="J513" i="1"/>
  <c r="L513" i="1" s="1"/>
  <c r="J514" i="1"/>
  <c r="L514" i="1" s="1"/>
  <c r="J515" i="1"/>
  <c r="L515" i="1" s="1"/>
  <c r="J516" i="1"/>
  <c r="L516" i="1" s="1"/>
  <c r="J517" i="1"/>
  <c r="L517" i="1" s="1"/>
  <c r="J518" i="1"/>
  <c r="L518" i="1" s="1"/>
  <c r="J519" i="1"/>
  <c r="L519" i="1" s="1"/>
  <c r="J520" i="1"/>
  <c r="L520" i="1" s="1"/>
  <c r="J521" i="1"/>
  <c r="L521" i="1" s="1"/>
  <c r="J522" i="1"/>
  <c r="L522" i="1" s="1"/>
  <c r="J523" i="1"/>
  <c r="L523" i="1" s="1"/>
  <c r="J524" i="1"/>
  <c r="L524" i="1" s="1"/>
  <c r="J525" i="1"/>
  <c r="L525" i="1" s="1"/>
  <c r="J526" i="1"/>
  <c r="L526" i="1" s="1"/>
  <c r="J527" i="1"/>
  <c r="L527" i="1" s="1"/>
  <c r="J528" i="1"/>
  <c r="L528" i="1" s="1"/>
  <c r="J529" i="1"/>
  <c r="L529" i="1" s="1"/>
  <c r="J530" i="1"/>
  <c r="L530" i="1" s="1"/>
  <c r="J531" i="1"/>
  <c r="L531" i="1" s="1"/>
  <c r="J532" i="1"/>
  <c r="L532" i="1" s="1"/>
  <c r="J533" i="1"/>
  <c r="L533" i="1" s="1"/>
  <c r="J534" i="1"/>
  <c r="L534" i="1" s="1"/>
  <c r="J535" i="1"/>
  <c r="L535" i="1" s="1"/>
  <c r="J536" i="1"/>
  <c r="L536" i="1" s="1"/>
  <c r="J537" i="1"/>
  <c r="L537" i="1" s="1"/>
  <c r="J538" i="1"/>
  <c r="L538" i="1" s="1"/>
  <c r="J539" i="1"/>
  <c r="L539" i="1" s="1"/>
  <c r="J540" i="1"/>
  <c r="L540" i="1" s="1"/>
  <c r="J541" i="1"/>
  <c r="L541" i="1" s="1"/>
  <c r="J542" i="1"/>
  <c r="L542" i="1" s="1"/>
  <c r="J543" i="1"/>
  <c r="L543" i="1" s="1"/>
  <c r="J544" i="1"/>
  <c r="L544" i="1" s="1"/>
  <c r="J545" i="1"/>
  <c r="L545" i="1" s="1"/>
  <c r="J546" i="1"/>
  <c r="L546" i="1" s="1"/>
  <c r="J547" i="1"/>
  <c r="L547" i="1" s="1"/>
  <c r="J548" i="1"/>
  <c r="L548" i="1" s="1"/>
  <c r="J549" i="1"/>
  <c r="L549" i="1" s="1"/>
  <c r="J550" i="1"/>
  <c r="L550" i="1" s="1"/>
  <c r="J551" i="1"/>
  <c r="L551" i="1" s="1"/>
  <c r="J552" i="1"/>
  <c r="L552" i="1" s="1"/>
  <c r="J553" i="1"/>
  <c r="L553" i="1" s="1"/>
  <c r="J554" i="1"/>
  <c r="L554" i="1" s="1"/>
  <c r="J555" i="1"/>
  <c r="L555" i="1" s="1"/>
  <c r="J556" i="1"/>
  <c r="L556" i="1" s="1"/>
  <c r="J557" i="1"/>
  <c r="L557" i="1" s="1"/>
  <c r="J558" i="1"/>
  <c r="L558" i="1" s="1"/>
  <c r="J559" i="1"/>
  <c r="L559" i="1" s="1"/>
  <c r="J560" i="1"/>
  <c r="L560" i="1" s="1"/>
  <c r="J561" i="1"/>
  <c r="L561" i="1" s="1"/>
  <c r="J562" i="1"/>
  <c r="L562" i="1" s="1"/>
  <c r="J563" i="1"/>
  <c r="L563" i="1" s="1"/>
  <c r="J564" i="1"/>
  <c r="L564" i="1" s="1"/>
  <c r="J565" i="1"/>
  <c r="L565" i="1" s="1"/>
  <c r="J566" i="1"/>
  <c r="L566" i="1" s="1"/>
  <c r="J567" i="1"/>
  <c r="L567" i="1" s="1"/>
  <c r="J568" i="1"/>
  <c r="L568" i="1" s="1"/>
  <c r="J569" i="1"/>
  <c r="L569" i="1" s="1"/>
  <c r="J570" i="1"/>
  <c r="L570" i="1" s="1"/>
  <c r="J571" i="1"/>
  <c r="L571" i="1" s="1"/>
  <c r="J572" i="1"/>
  <c r="L572" i="1" s="1"/>
  <c r="J573" i="1"/>
  <c r="L573" i="1" s="1"/>
  <c r="J574" i="1"/>
  <c r="L574" i="1" s="1"/>
  <c r="J575" i="1"/>
  <c r="L575" i="1" s="1"/>
  <c r="J576" i="1"/>
  <c r="L576" i="1" s="1"/>
  <c r="J577" i="1"/>
  <c r="L577" i="1" s="1"/>
  <c r="J578" i="1"/>
  <c r="L578" i="1" s="1"/>
  <c r="J579" i="1"/>
  <c r="L579" i="1" s="1"/>
  <c r="J580" i="1"/>
  <c r="L580" i="1" s="1"/>
  <c r="J581" i="1"/>
  <c r="L581" i="1" s="1"/>
  <c r="J582" i="1"/>
  <c r="L582" i="1" s="1"/>
  <c r="J583" i="1"/>
  <c r="L583" i="1" s="1"/>
  <c r="J584" i="1"/>
  <c r="L584" i="1" s="1"/>
  <c r="J585" i="1"/>
  <c r="L585" i="1" s="1"/>
  <c r="J586" i="1"/>
  <c r="L586" i="1" s="1"/>
  <c r="J587" i="1"/>
  <c r="L587" i="1" s="1"/>
  <c r="J588" i="1"/>
  <c r="L588" i="1" s="1"/>
  <c r="J589" i="1"/>
  <c r="L589" i="1" s="1"/>
  <c r="J590" i="1"/>
  <c r="L590" i="1" s="1"/>
  <c r="J591" i="1"/>
  <c r="L591" i="1" s="1"/>
  <c r="J592" i="1"/>
  <c r="L592" i="1" s="1"/>
  <c r="J593" i="1"/>
  <c r="L593" i="1" s="1"/>
  <c r="J594" i="1"/>
  <c r="L594" i="1" s="1"/>
  <c r="J595" i="1"/>
  <c r="L595" i="1" s="1"/>
  <c r="J596" i="1"/>
  <c r="L596" i="1" s="1"/>
  <c r="J597" i="1"/>
  <c r="L597" i="1" s="1"/>
  <c r="J598" i="1"/>
  <c r="L598" i="1" s="1"/>
  <c r="J599" i="1"/>
  <c r="L599" i="1" s="1"/>
  <c r="J600" i="1"/>
  <c r="L600" i="1" s="1"/>
  <c r="J601" i="1"/>
  <c r="L601" i="1" s="1"/>
  <c r="J602" i="1"/>
  <c r="L602" i="1" s="1"/>
  <c r="J603" i="1"/>
  <c r="L603" i="1" s="1"/>
  <c r="J604" i="1"/>
  <c r="L604" i="1" s="1"/>
  <c r="J605" i="1"/>
  <c r="L605" i="1" s="1"/>
  <c r="J606" i="1"/>
  <c r="L606" i="1" s="1"/>
  <c r="J607" i="1"/>
  <c r="L607" i="1" s="1"/>
  <c r="J608" i="1"/>
  <c r="L608" i="1" s="1"/>
  <c r="J609" i="1"/>
  <c r="L609" i="1" s="1"/>
  <c r="J610" i="1"/>
  <c r="L610" i="1" s="1"/>
  <c r="J611" i="1"/>
  <c r="L611" i="1" s="1"/>
  <c r="J612" i="1"/>
  <c r="L612" i="1" s="1"/>
  <c r="J613" i="1"/>
  <c r="L613" i="1" s="1"/>
  <c r="J614" i="1"/>
  <c r="L614" i="1" s="1"/>
  <c r="J615" i="1"/>
  <c r="L615" i="1" s="1"/>
  <c r="J616" i="1"/>
  <c r="L616" i="1" s="1"/>
  <c r="J617" i="1"/>
  <c r="L617" i="1" s="1"/>
  <c r="J618" i="1"/>
  <c r="L618" i="1" s="1"/>
  <c r="J619" i="1"/>
  <c r="L619" i="1" s="1"/>
  <c r="J620" i="1"/>
  <c r="L620" i="1" s="1"/>
  <c r="J621" i="1"/>
  <c r="L621" i="1" s="1"/>
  <c r="J622" i="1"/>
  <c r="L622" i="1" s="1"/>
  <c r="J623" i="1"/>
  <c r="L623" i="1" s="1"/>
  <c r="J624" i="1"/>
  <c r="L624" i="1" s="1"/>
  <c r="J625" i="1"/>
  <c r="L625" i="1" s="1"/>
  <c r="J626" i="1"/>
  <c r="L626" i="1" s="1"/>
  <c r="J627" i="1"/>
  <c r="L627" i="1" s="1"/>
  <c r="J628" i="1"/>
  <c r="L628" i="1" s="1"/>
  <c r="J629" i="1"/>
  <c r="L629" i="1" s="1"/>
  <c r="J630" i="1"/>
  <c r="L630" i="1" s="1"/>
  <c r="J631" i="1"/>
  <c r="L631" i="1" s="1"/>
  <c r="J632" i="1"/>
  <c r="L632" i="1" s="1"/>
  <c r="J633" i="1"/>
  <c r="L633" i="1" s="1"/>
  <c r="J634" i="1"/>
  <c r="L634" i="1" s="1"/>
  <c r="J635" i="1"/>
  <c r="L635" i="1" s="1"/>
  <c r="J636" i="1"/>
  <c r="L636" i="1" s="1"/>
  <c r="J637" i="1"/>
  <c r="L637" i="1" s="1"/>
  <c r="J638" i="1"/>
  <c r="L638" i="1" s="1"/>
  <c r="J639" i="1"/>
  <c r="L639" i="1" s="1"/>
  <c r="J640" i="1"/>
  <c r="L640" i="1" s="1"/>
  <c r="J641" i="1"/>
  <c r="L641" i="1" s="1"/>
  <c r="J642" i="1"/>
  <c r="L642" i="1" s="1"/>
  <c r="J643" i="1"/>
  <c r="L643" i="1" s="1"/>
  <c r="J644" i="1"/>
  <c r="L644" i="1" s="1"/>
  <c r="J645" i="1"/>
  <c r="L645" i="1" s="1"/>
  <c r="J646" i="1"/>
  <c r="L646" i="1" s="1"/>
  <c r="J647" i="1"/>
  <c r="L647" i="1" s="1"/>
  <c r="J648" i="1"/>
  <c r="L648" i="1" s="1"/>
  <c r="J649" i="1"/>
  <c r="L649" i="1" s="1"/>
  <c r="J650" i="1"/>
  <c r="L650" i="1" s="1"/>
  <c r="J651" i="1"/>
  <c r="L651" i="1" s="1"/>
  <c r="J652" i="1"/>
  <c r="L652" i="1" s="1"/>
  <c r="J653" i="1"/>
  <c r="L653" i="1" s="1"/>
  <c r="J654" i="1"/>
  <c r="L654" i="1" s="1"/>
  <c r="J655" i="1"/>
  <c r="L655" i="1" s="1"/>
  <c r="J656" i="1"/>
  <c r="L656" i="1" s="1"/>
  <c r="J657" i="1"/>
  <c r="L657" i="1" s="1"/>
  <c r="J658" i="1"/>
  <c r="L658" i="1" s="1"/>
  <c r="J659" i="1"/>
  <c r="L659" i="1" s="1"/>
  <c r="J660" i="1"/>
  <c r="L660" i="1" s="1"/>
  <c r="J661" i="1"/>
  <c r="L661" i="1" s="1"/>
  <c r="J662" i="1"/>
  <c r="L662" i="1" s="1"/>
  <c r="J663" i="1"/>
  <c r="L663" i="1" s="1"/>
  <c r="J664" i="1"/>
  <c r="L664" i="1" s="1"/>
  <c r="J665" i="1"/>
  <c r="L665" i="1" s="1"/>
  <c r="J666" i="1"/>
  <c r="L666" i="1" s="1"/>
  <c r="J667" i="1"/>
  <c r="L667" i="1" s="1"/>
  <c r="J668" i="1"/>
  <c r="L668" i="1" s="1"/>
  <c r="J669" i="1"/>
  <c r="L669" i="1" s="1"/>
  <c r="J670" i="1"/>
  <c r="L670" i="1" s="1"/>
  <c r="J671" i="1"/>
  <c r="L671" i="1" s="1"/>
  <c r="J672" i="1"/>
  <c r="L672" i="1" s="1"/>
  <c r="J673" i="1"/>
  <c r="L673" i="1" s="1"/>
  <c r="J674" i="1"/>
  <c r="L674" i="1" s="1"/>
  <c r="J675" i="1"/>
  <c r="L675" i="1" s="1"/>
  <c r="J676" i="1"/>
  <c r="L676" i="1" s="1"/>
  <c r="J677" i="1"/>
  <c r="L677" i="1" s="1"/>
  <c r="J678" i="1"/>
  <c r="L678" i="1" s="1"/>
  <c r="J679" i="1"/>
  <c r="L679" i="1" s="1"/>
  <c r="J680" i="1"/>
  <c r="L680" i="1" s="1"/>
  <c r="J681" i="1"/>
  <c r="L681" i="1" s="1"/>
  <c r="J682" i="1"/>
  <c r="L682" i="1" s="1"/>
  <c r="J683" i="1"/>
  <c r="L683" i="1" s="1"/>
  <c r="J684" i="1"/>
  <c r="L684" i="1" s="1"/>
  <c r="J685" i="1"/>
  <c r="L685" i="1" s="1"/>
  <c r="J686" i="1"/>
  <c r="L686" i="1" s="1"/>
  <c r="J687" i="1"/>
  <c r="L687" i="1" s="1"/>
  <c r="J688" i="1"/>
  <c r="L688" i="1" s="1"/>
  <c r="J689" i="1"/>
  <c r="L689" i="1" s="1"/>
  <c r="J690" i="1"/>
  <c r="L690" i="1" s="1"/>
  <c r="J691" i="1"/>
  <c r="L691" i="1" s="1"/>
  <c r="J692" i="1"/>
  <c r="L692" i="1" s="1"/>
  <c r="J693" i="1"/>
  <c r="L693" i="1" s="1"/>
  <c r="J694" i="1"/>
  <c r="L694" i="1" s="1"/>
  <c r="J695" i="1"/>
  <c r="L695" i="1" s="1"/>
  <c r="J696" i="1"/>
  <c r="L696" i="1" s="1"/>
  <c r="J697" i="1"/>
  <c r="L697" i="1" s="1"/>
  <c r="J698" i="1"/>
  <c r="L698" i="1" s="1"/>
  <c r="J699" i="1"/>
  <c r="L699" i="1" s="1"/>
  <c r="J700" i="1"/>
  <c r="L700" i="1" s="1"/>
  <c r="J701" i="1"/>
  <c r="L701" i="1" s="1"/>
  <c r="J702" i="1"/>
  <c r="L702" i="1" s="1"/>
  <c r="J703" i="1"/>
  <c r="L703" i="1" s="1"/>
  <c r="J704" i="1"/>
  <c r="L704" i="1" s="1"/>
  <c r="J705" i="1"/>
  <c r="L705" i="1" s="1"/>
  <c r="J706" i="1"/>
  <c r="L706" i="1" s="1"/>
  <c r="J707" i="1"/>
  <c r="L707" i="1" s="1"/>
  <c r="J708" i="1"/>
  <c r="L708" i="1" s="1"/>
  <c r="J709" i="1"/>
  <c r="L709" i="1" s="1"/>
  <c r="J710" i="1"/>
  <c r="L710" i="1" s="1"/>
  <c r="J711" i="1"/>
  <c r="L711" i="1" s="1"/>
  <c r="J712" i="1"/>
  <c r="L712" i="1" s="1"/>
  <c r="J713" i="1"/>
  <c r="L713" i="1" s="1"/>
  <c r="J714" i="1"/>
  <c r="L714" i="1" s="1"/>
  <c r="J715" i="1"/>
  <c r="L715" i="1" s="1"/>
  <c r="J716" i="1"/>
  <c r="L716" i="1" s="1"/>
  <c r="J717" i="1"/>
  <c r="L717" i="1" s="1"/>
  <c r="J718" i="1"/>
  <c r="L718" i="1" s="1"/>
  <c r="J719" i="1"/>
  <c r="L719" i="1" s="1"/>
  <c r="J720" i="1"/>
  <c r="L720" i="1" s="1"/>
  <c r="J721" i="1"/>
  <c r="L721" i="1" s="1"/>
  <c r="J722" i="1"/>
  <c r="L722" i="1" s="1"/>
  <c r="J723" i="1"/>
  <c r="L723" i="1" s="1"/>
  <c r="J724" i="1"/>
  <c r="L724" i="1" s="1"/>
  <c r="J725" i="1"/>
  <c r="L725" i="1" s="1"/>
  <c r="J726" i="1"/>
  <c r="L726" i="1" s="1"/>
  <c r="J727" i="1"/>
  <c r="L727" i="1" s="1"/>
  <c r="J728" i="1"/>
  <c r="L728" i="1" s="1"/>
  <c r="J729" i="1"/>
  <c r="L729" i="1" s="1"/>
  <c r="J730" i="1"/>
  <c r="L730" i="1" s="1"/>
  <c r="J731" i="1"/>
  <c r="L731" i="1" s="1"/>
  <c r="J732" i="1"/>
  <c r="L732" i="1" s="1"/>
  <c r="J733" i="1"/>
  <c r="L733" i="1" s="1"/>
  <c r="J734" i="1"/>
  <c r="L734" i="1" s="1"/>
  <c r="J735" i="1"/>
  <c r="L735" i="1" s="1"/>
  <c r="J736" i="1"/>
  <c r="L736" i="1" s="1"/>
  <c r="J737" i="1"/>
  <c r="L737" i="1" s="1"/>
  <c r="J738" i="1"/>
  <c r="L738" i="1" s="1"/>
  <c r="J739" i="1"/>
  <c r="L739" i="1" s="1"/>
  <c r="J740" i="1"/>
  <c r="L740" i="1" s="1"/>
  <c r="J741" i="1"/>
  <c r="L741" i="1" s="1"/>
  <c r="J742" i="1"/>
  <c r="L742" i="1" s="1"/>
  <c r="J743" i="1"/>
  <c r="L743" i="1" s="1"/>
  <c r="J744" i="1"/>
  <c r="L744" i="1" s="1"/>
  <c r="J745" i="1"/>
  <c r="L745" i="1" s="1"/>
  <c r="J746" i="1"/>
  <c r="L746" i="1" s="1"/>
  <c r="J747" i="1"/>
  <c r="L747" i="1" s="1"/>
  <c r="J748" i="1"/>
  <c r="L748" i="1" s="1"/>
  <c r="J749" i="1"/>
  <c r="L749" i="1" s="1"/>
  <c r="J750" i="1"/>
  <c r="L750" i="1" s="1"/>
  <c r="J751" i="1"/>
  <c r="L751" i="1" s="1"/>
  <c r="J752" i="1"/>
  <c r="L752" i="1" s="1"/>
  <c r="J753" i="1"/>
  <c r="L753" i="1" s="1"/>
  <c r="J754" i="1"/>
  <c r="L754" i="1" s="1"/>
  <c r="J755" i="1"/>
  <c r="L755" i="1" s="1"/>
  <c r="J756" i="1"/>
  <c r="L756" i="1" s="1"/>
  <c r="J757" i="1"/>
  <c r="L757" i="1" s="1"/>
  <c r="J758" i="1"/>
  <c r="L758" i="1" s="1"/>
  <c r="J759" i="1"/>
  <c r="L759" i="1" s="1"/>
  <c r="J760" i="1"/>
  <c r="L760" i="1" s="1"/>
  <c r="J761" i="1"/>
  <c r="L761" i="1" s="1"/>
  <c r="J762" i="1"/>
  <c r="L762" i="1" s="1"/>
  <c r="J763" i="1"/>
  <c r="L763" i="1" s="1"/>
  <c r="J764" i="1"/>
  <c r="L764" i="1" s="1"/>
  <c r="J765" i="1"/>
  <c r="L765" i="1" s="1"/>
  <c r="J766" i="1"/>
  <c r="L766" i="1" s="1"/>
  <c r="J767" i="1"/>
  <c r="L767" i="1" s="1"/>
  <c r="J768" i="1"/>
  <c r="L768" i="1" s="1"/>
  <c r="J769" i="1"/>
  <c r="L769" i="1" s="1"/>
  <c r="J770" i="1"/>
  <c r="L770" i="1" s="1"/>
  <c r="J771" i="1"/>
  <c r="L771" i="1" s="1"/>
  <c r="J772" i="1"/>
  <c r="L772" i="1" s="1"/>
  <c r="J773" i="1"/>
  <c r="L773" i="1" s="1"/>
  <c r="J774" i="1"/>
  <c r="L774" i="1" s="1"/>
  <c r="J775" i="1"/>
  <c r="L775" i="1" s="1"/>
  <c r="J776" i="1"/>
  <c r="L776" i="1" s="1"/>
  <c r="J777" i="1"/>
  <c r="L777" i="1" s="1"/>
  <c r="J778" i="1"/>
  <c r="L778" i="1" s="1"/>
  <c r="J779" i="1"/>
  <c r="L779" i="1" s="1"/>
  <c r="J780" i="1"/>
  <c r="L780" i="1" s="1"/>
  <c r="J781" i="1"/>
  <c r="L781" i="1" s="1"/>
  <c r="J782" i="1"/>
  <c r="L782" i="1" s="1"/>
  <c r="J783" i="1"/>
  <c r="L783" i="1" s="1"/>
  <c r="J784" i="1"/>
  <c r="L784" i="1" s="1"/>
  <c r="J785" i="1"/>
  <c r="L785" i="1" s="1"/>
  <c r="J786" i="1"/>
  <c r="L786" i="1" s="1"/>
  <c r="J787" i="1"/>
  <c r="L787" i="1" s="1"/>
  <c r="J788" i="1"/>
  <c r="L788" i="1" s="1"/>
  <c r="J789" i="1"/>
  <c r="L789" i="1" s="1"/>
  <c r="J790" i="1"/>
  <c r="L790" i="1" s="1"/>
  <c r="J791" i="1"/>
  <c r="L791" i="1" s="1"/>
  <c r="J792" i="1"/>
  <c r="L792" i="1" s="1"/>
  <c r="J793" i="1"/>
  <c r="L793" i="1" s="1"/>
  <c r="J794" i="1"/>
  <c r="L794" i="1" s="1"/>
  <c r="J795" i="1"/>
  <c r="L795" i="1" s="1"/>
  <c r="J796" i="1"/>
  <c r="L796" i="1" s="1"/>
  <c r="J797" i="1"/>
  <c r="L797" i="1" s="1"/>
  <c r="J798" i="1"/>
  <c r="L798" i="1" s="1"/>
  <c r="J799" i="1"/>
  <c r="L799" i="1" s="1"/>
  <c r="J800" i="1"/>
  <c r="L800" i="1" s="1"/>
  <c r="J801" i="1"/>
  <c r="L801" i="1" s="1"/>
  <c r="J802" i="1"/>
  <c r="L802" i="1" s="1"/>
  <c r="J803" i="1"/>
  <c r="L803" i="1" s="1"/>
  <c r="J804" i="1"/>
  <c r="L804" i="1" s="1"/>
  <c r="J805" i="1"/>
  <c r="L805" i="1" s="1"/>
  <c r="J806" i="1"/>
  <c r="L806" i="1" s="1"/>
  <c r="J807" i="1"/>
  <c r="L807" i="1" s="1"/>
  <c r="J808" i="1"/>
  <c r="L808" i="1" s="1"/>
  <c r="J809" i="1"/>
  <c r="L809" i="1" s="1"/>
  <c r="J810" i="1"/>
  <c r="L810" i="1" s="1"/>
  <c r="J811" i="1"/>
  <c r="L811" i="1" s="1"/>
  <c r="J812" i="1"/>
  <c r="L812" i="1" s="1"/>
  <c r="J813" i="1"/>
  <c r="L813" i="1" s="1"/>
  <c r="J814" i="1"/>
  <c r="L814" i="1" s="1"/>
  <c r="J815" i="1"/>
  <c r="L815" i="1" s="1"/>
  <c r="J816" i="1"/>
  <c r="L816" i="1" s="1"/>
  <c r="J817" i="1"/>
  <c r="L817" i="1" s="1"/>
  <c r="J818" i="1"/>
  <c r="L818" i="1" s="1"/>
  <c r="J819" i="1"/>
  <c r="L819" i="1" s="1"/>
  <c r="J820" i="1"/>
  <c r="L820" i="1" s="1"/>
  <c r="J821" i="1"/>
  <c r="L821" i="1" s="1"/>
  <c r="J822" i="1"/>
  <c r="L822" i="1" s="1"/>
  <c r="J823" i="1"/>
  <c r="L823" i="1" s="1"/>
  <c r="J824" i="1"/>
  <c r="L824" i="1" s="1"/>
  <c r="J825" i="1"/>
  <c r="L825" i="1" s="1"/>
  <c r="J826" i="1"/>
  <c r="L826" i="1" s="1"/>
  <c r="J827" i="1"/>
  <c r="L827" i="1" s="1"/>
  <c r="J828" i="1"/>
  <c r="L828" i="1" s="1"/>
  <c r="J829" i="1"/>
  <c r="L829" i="1" s="1"/>
  <c r="J830" i="1"/>
  <c r="L830" i="1" s="1"/>
  <c r="J831" i="1"/>
  <c r="L831" i="1" s="1"/>
  <c r="J832" i="1"/>
  <c r="L832" i="1" s="1"/>
  <c r="J833" i="1"/>
  <c r="L833" i="1" s="1"/>
  <c r="J834" i="1"/>
  <c r="L834" i="1" s="1"/>
  <c r="J835" i="1"/>
  <c r="L835" i="1" s="1"/>
  <c r="J836" i="1"/>
  <c r="L836" i="1" s="1"/>
  <c r="J837" i="1"/>
  <c r="L837" i="1" s="1"/>
  <c r="J838" i="1"/>
  <c r="L838" i="1" s="1"/>
  <c r="J839" i="1"/>
  <c r="L839" i="1" s="1"/>
  <c r="J840" i="1"/>
  <c r="L840" i="1" s="1"/>
  <c r="J841" i="1"/>
  <c r="L841" i="1" s="1"/>
  <c r="J842" i="1"/>
  <c r="L842" i="1" s="1"/>
  <c r="J843" i="1"/>
  <c r="L843" i="1" s="1"/>
  <c r="J844" i="1"/>
  <c r="L844" i="1" s="1"/>
  <c r="J845" i="1"/>
  <c r="L845" i="1" s="1"/>
  <c r="J846" i="1"/>
  <c r="L846" i="1" s="1"/>
  <c r="J847" i="1"/>
  <c r="L847" i="1" s="1"/>
  <c r="J848" i="1"/>
  <c r="L848" i="1" s="1"/>
  <c r="J849" i="1"/>
  <c r="L849" i="1" s="1"/>
  <c r="J850" i="1"/>
  <c r="L850" i="1" s="1"/>
  <c r="J851" i="1"/>
  <c r="L851" i="1" s="1"/>
  <c r="J852" i="1"/>
  <c r="L852" i="1" s="1"/>
  <c r="J853" i="1"/>
  <c r="L853" i="1" s="1"/>
  <c r="J854" i="1"/>
  <c r="L854" i="1" s="1"/>
  <c r="J855" i="1"/>
  <c r="L855" i="1" s="1"/>
  <c r="J856" i="1"/>
  <c r="L856" i="1" s="1"/>
  <c r="J857" i="1"/>
  <c r="L857" i="1" s="1"/>
  <c r="J858" i="1"/>
  <c r="L858" i="1" s="1"/>
  <c r="J859" i="1"/>
  <c r="L859" i="1" s="1"/>
  <c r="J860" i="1"/>
  <c r="L860" i="1" s="1"/>
  <c r="J861" i="1"/>
  <c r="L861" i="1" s="1"/>
  <c r="J862" i="1"/>
  <c r="L862" i="1" s="1"/>
  <c r="J863" i="1"/>
  <c r="L863" i="1" s="1"/>
  <c r="J864" i="1"/>
  <c r="L864" i="1" s="1"/>
  <c r="J865" i="1"/>
  <c r="L865" i="1" s="1"/>
  <c r="J866" i="1"/>
  <c r="L866" i="1" s="1"/>
  <c r="J867" i="1"/>
  <c r="L867" i="1" s="1"/>
  <c r="J868" i="1"/>
  <c r="L868" i="1" s="1"/>
  <c r="J869" i="1"/>
  <c r="L869" i="1" s="1"/>
  <c r="J870" i="1"/>
  <c r="L870" i="1" s="1"/>
  <c r="J871" i="1"/>
  <c r="L871" i="1" s="1"/>
  <c r="J872" i="1"/>
  <c r="L872" i="1" s="1"/>
  <c r="J873" i="1"/>
  <c r="L873" i="1" s="1"/>
  <c r="J874" i="1"/>
  <c r="L874" i="1" s="1"/>
  <c r="J875" i="1"/>
  <c r="L875" i="1" s="1"/>
  <c r="J876" i="1"/>
  <c r="L876" i="1" s="1"/>
  <c r="J877" i="1"/>
  <c r="L877" i="1" s="1"/>
  <c r="J878" i="1"/>
  <c r="L878" i="1" s="1"/>
  <c r="J879" i="1"/>
  <c r="L879" i="1" s="1"/>
  <c r="J880" i="1"/>
  <c r="L880" i="1" s="1"/>
  <c r="J881" i="1"/>
  <c r="L881" i="1" s="1"/>
  <c r="J882" i="1"/>
  <c r="L882" i="1" s="1"/>
  <c r="J883" i="1"/>
  <c r="L883" i="1" s="1"/>
  <c r="J884" i="1"/>
  <c r="L884" i="1" s="1"/>
  <c r="J885" i="1"/>
  <c r="L885" i="1" s="1"/>
  <c r="J886" i="1"/>
  <c r="L886" i="1" s="1"/>
  <c r="J887" i="1"/>
  <c r="L887" i="1" s="1"/>
  <c r="J888" i="1"/>
  <c r="L888" i="1" s="1"/>
  <c r="J889" i="1"/>
  <c r="L889" i="1" s="1"/>
  <c r="J890" i="1"/>
  <c r="L890" i="1" s="1"/>
  <c r="J891" i="1"/>
  <c r="L891" i="1" s="1"/>
  <c r="J892" i="1"/>
  <c r="L892" i="1" s="1"/>
  <c r="J893" i="1"/>
  <c r="L893" i="1" s="1"/>
  <c r="J894" i="1"/>
  <c r="L894" i="1" s="1"/>
  <c r="J895" i="1"/>
  <c r="L895" i="1" s="1"/>
  <c r="J896" i="1"/>
  <c r="L896" i="1" s="1"/>
  <c r="J897" i="1"/>
  <c r="L897" i="1" s="1"/>
  <c r="J898" i="1"/>
  <c r="L898" i="1" s="1"/>
  <c r="J899" i="1"/>
  <c r="L899" i="1" s="1"/>
  <c r="J900" i="1"/>
  <c r="L900" i="1" s="1"/>
  <c r="J901" i="1"/>
  <c r="L901" i="1" s="1"/>
  <c r="J902" i="1"/>
  <c r="L902" i="1" s="1"/>
  <c r="J903" i="1"/>
  <c r="L903" i="1" s="1"/>
  <c r="J904" i="1"/>
  <c r="L904" i="1" s="1"/>
  <c r="J905" i="1"/>
  <c r="L905" i="1" s="1"/>
  <c r="J906" i="1"/>
  <c r="L906" i="1" s="1"/>
  <c r="J907" i="1"/>
  <c r="L907" i="1" s="1"/>
  <c r="J908" i="1"/>
  <c r="L908" i="1" s="1"/>
  <c r="J909" i="1"/>
  <c r="L909" i="1" s="1"/>
  <c r="J910" i="1"/>
  <c r="L910" i="1" s="1"/>
  <c r="J911" i="1"/>
  <c r="L911" i="1" s="1"/>
  <c r="J912" i="1"/>
  <c r="L912" i="1" s="1"/>
  <c r="J913" i="1"/>
  <c r="L913" i="1" s="1"/>
  <c r="J914" i="1"/>
  <c r="L914" i="1" s="1"/>
  <c r="J915" i="1"/>
  <c r="L915" i="1" s="1"/>
  <c r="J916" i="1"/>
  <c r="L916" i="1" s="1"/>
  <c r="J917" i="1"/>
  <c r="L917" i="1" s="1"/>
  <c r="J918" i="1"/>
  <c r="L918" i="1" s="1"/>
  <c r="J919" i="1"/>
  <c r="L919" i="1" s="1"/>
  <c r="J920" i="1"/>
  <c r="L920" i="1" s="1"/>
  <c r="J921" i="1"/>
  <c r="L921" i="1" s="1"/>
  <c r="J922" i="1"/>
  <c r="L922" i="1" s="1"/>
  <c r="J923" i="1"/>
  <c r="L923" i="1" s="1"/>
  <c r="J924" i="1"/>
  <c r="L924" i="1" s="1"/>
  <c r="J925" i="1"/>
  <c r="L925" i="1" s="1"/>
  <c r="J926" i="1"/>
  <c r="L926" i="1" s="1"/>
  <c r="J927" i="1"/>
  <c r="L927" i="1" s="1"/>
  <c r="J928" i="1"/>
  <c r="L928" i="1" s="1"/>
  <c r="J929" i="1"/>
  <c r="L929" i="1" s="1"/>
  <c r="J930" i="1"/>
  <c r="L930" i="1" s="1"/>
  <c r="J931" i="1"/>
  <c r="L931" i="1" s="1"/>
  <c r="J932" i="1"/>
  <c r="L932" i="1" s="1"/>
  <c r="J933" i="1"/>
  <c r="L933" i="1" s="1"/>
  <c r="J934" i="1"/>
  <c r="L934" i="1" s="1"/>
  <c r="J935" i="1"/>
  <c r="L935" i="1" s="1"/>
  <c r="J936" i="1"/>
  <c r="L936" i="1" s="1"/>
  <c r="J937" i="1"/>
  <c r="L937" i="1" s="1"/>
  <c r="J938" i="1"/>
  <c r="L938" i="1" s="1"/>
  <c r="J939" i="1"/>
  <c r="L939" i="1" s="1"/>
  <c r="J940" i="1"/>
  <c r="L940" i="1" s="1"/>
  <c r="J941" i="1"/>
  <c r="L941" i="1" s="1"/>
  <c r="J942" i="1"/>
  <c r="L942" i="1" s="1"/>
  <c r="J943" i="1"/>
  <c r="L943" i="1" s="1"/>
  <c r="J944" i="1"/>
  <c r="L944" i="1" s="1"/>
  <c r="J945" i="1"/>
  <c r="L945" i="1" s="1"/>
  <c r="J946" i="1"/>
  <c r="L946" i="1" s="1"/>
  <c r="J947" i="1"/>
  <c r="L947" i="1" s="1"/>
  <c r="J948" i="1"/>
  <c r="L948" i="1" s="1"/>
  <c r="J949" i="1"/>
  <c r="L949" i="1" s="1"/>
  <c r="J950" i="1"/>
  <c r="L950" i="1" s="1"/>
  <c r="J951" i="1"/>
  <c r="L951" i="1" s="1"/>
  <c r="J952" i="1"/>
  <c r="L952" i="1" s="1"/>
  <c r="J953" i="1"/>
  <c r="L953" i="1" s="1"/>
  <c r="J954" i="1"/>
  <c r="L954" i="1" s="1"/>
  <c r="J955" i="1"/>
  <c r="L955" i="1" s="1"/>
  <c r="J956" i="1"/>
  <c r="L956" i="1" s="1"/>
  <c r="J957" i="1"/>
  <c r="L957" i="1" s="1"/>
  <c r="J958" i="1"/>
  <c r="L958" i="1" s="1"/>
  <c r="J959" i="1"/>
  <c r="L959" i="1" s="1"/>
  <c r="J960" i="1"/>
  <c r="L960" i="1" s="1"/>
  <c r="J961" i="1"/>
  <c r="L961" i="1" s="1"/>
  <c r="J962" i="1"/>
  <c r="L962" i="1" s="1"/>
  <c r="J963" i="1"/>
  <c r="L963" i="1" s="1"/>
  <c r="J964" i="1"/>
  <c r="L964" i="1" s="1"/>
  <c r="J965" i="1"/>
  <c r="L965" i="1" s="1"/>
  <c r="J966" i="1"/>
  <c r="L966" i="1" s="1"/>
  <c r="J967" i="1"/>
  <c r="L967" i="1" s="1"/>
  <c r="J968" i="1"/>
  <c r="L968" i="1" s="1"/>
  <c r="J969" i="1"/>
  <c r="L969" i="1" s="1"/>
  <c r="J970" i="1"/>
  <c r="L970" i="1" s="1"/>
  <c r="J971" i="1"/>
  <c r="L971" i="1" s="1"/>
  <c r="J972" i="1"/>
  <c r="L972" i="1" s="1"/>
  <c r="J973" i="1"/>
  <c r="L973" i="1" s="1"/>
  <c r="J974" i="1"/>
  <c r="L974" i="1" s="1"/>
  <c r="J975" i="1"/>
  <c r="L975" i="1" s="1"/>
  <c r="J976" i="1"/>
  <c r="L976" i="1" s="1"/>
  <c r="J977" i="1"/>
  <c r="L977" i="1" s="1"/>
  <c r="J978" i="1"/>
  <c r="L978" i="1" s="1"/>
  <c r="J979" i="1"/>
  <c r="L979" i="1" s="1"/>
  <c r="J980" i="1"/>
  <c r="L980" i="1" s="1"/>
  <c r="J981" i="1"/>
  <c r="L981" i="1" s="1"/>
  <c r="J982" i="1"/>
  <c r="L982" i="1" s="1"/>
  <c r="J983" i="1"/>
  <c r="L983" i="1" s="1"/>
  <c r="J984" i="1"/>
  <c r="L984" i="1" s="1"/>
  <c r="J985" i="1"/>
  <c r="L985" i="1" s="1"/>
  <c r="J986" i="1"/>
  <c r="L986" i="1" s="1"/>
  <c r="J987" i="1"/>
  <c r="L987" i="1" s="1"/>
  <c r="J988" i="1"/>
  <c r="L988" i="1" s="1"/>
  <c r="J989" i="1"/>
  <c r="L989" i="1" s="1"/>
  <c r="J990" i="1"/>
  <c r="L990" i="1" s="1"/>
  <c r="J991" i="1"/>
  <c r="L991" i="1" s="1"/>
  <c r="J992" i="1"/>
  <c r="L992" i="1" s="1"/>
  <c r="J993" i="1"/>
  <c r="L993" i="1" s="1"/>
  <c r="J994" i="1"/>
  <c r="L994" i="1" s="1"/>
  <c r="J995" i="1"/>
  <c r="L995" i="1" s="1"/>
  <c r="J996" i="1"/>
  <c r="L996" i="1" s="1"/>
  <c r="J997" i="1"/>
  <c r="L997" i="1" s="1"/>
  <c r="J998" i="1"/>
  <c r="L998" i="1" s="1"/>
  <c r="J999" i="1"/>
  <c r="L999" i="1" s="1"/>
  <c r="J1000" i="1"/>
  <c r="L1000" i="1" s="1"/>
  <c r="J1001" i="1"/>
  <c r="L1001" i="1" s="1"/>
  <c r="J1002" i="1"/>
  <c r="L1002" i="1" s="1"/>
  <c r="J1003" i="1"/>
  <c r="L1003" i="1" s="1"/>
  <c r="J1004" i="1"/>
  <c r="L1004" i="1" s="1"/>
  <c r="J1005" i="1"/>
  <c r="L1005" i="1" s="1"/>
  <c r="J1006" i="1"/>
  <c r="L1006" i="1" s="1"/>
  <c r="J1007" i="1"/>
  <c r="L1007" i="1" s="1"/>
  <c r="J1008" i="1"/>
  <c r="L1008" i="1" s="1"/>
  <c r="J1009" i="1"/>
  <c r="L1009" i="1" s="1"/>
  <c r="J1010" i="1"/>
  <c r="L1010" i="1" s="1"/>
  <c r="J1011" i="1"/>
  <c r="L1011" i="1" s="1"/>
  <c r="J1012" i="1"/>
  <c r="L1012" i="1" s="1"/>
  <c r="J1013" i="1"/>
  <c r="L1013" i="1" s="1"/>
  <c r="J1014" i="1"/>
  <c r="L1014" i="1" s="1"/>
  <c r="J1015" i="1"/>
  <c r="L1015" i="1" s="1"/>
  <c r="J1016" i="1"/>
  <c r="L1016" i="1" s="1"/>
  <c r="J1017" i="1"/>
  <c r="L1017" i="1" s="1"/>
  <c r="J1018" i="1"/>
  <c r="L1018" i="1" s="1"/>
  <c r="J1019" i="1"/>
  <c r="L1019" i="1" s="1"/>
  <c r="J1020" i="1"/>
  <c r="L1020" i="1" s="1"/>
  <c r="J1021" i="1"/>
  <c r="L1021" i="1" s="1"/>
  <c r="J1022" i="1"/>
  <c r="L1022" i="1" s="1"/>
  <c r="J1023" i="1"/>
  <c r="L1023" i="1" s="1"/>
  <c r="J1024" i="1"/>
  <c r="L1024" i="1" s="1"/>
  <c r="J1025" i="1"/>
  <c r="L1025" i="1" s="1"/>
  <c r="J1026" i="1"/>
  <c r="L1026" i="1" s="1"/>
  <c r="J1027" i="1"/>
  <c r="L1027" i="1" s="1"/>
  <c r="J1028" i="1"/>
  <c r="L1028" i="1" s="1"/>
  <c r="J1029" i="1"/>
  <c r="L1029" i="1" s="1"/>
  <c r="J1030" i="1"/>
  <c r="L1030" i="1" s="1"/>
  <c r="J1031" i="1"/>
  <c r="L1031" i="1" s="1"/>
  <c r="J1032" i="1"/>
  <c r="L1032" i="1" s="1"/>
  <c r="J1033" i="1"/>
  <c r="L1033" i="1" s="1"/>
  <c r="J1034" i="1"/>
  <c r="L1034" i="1" s="1"/>
  <c r="J1035" i="1"/>
  <c r="L1035" i="1" s="1"/>
  <c r="J1036" i="1"/>
  <c r="L1036" i="1" s="1"/>
  <c r="J1037" i="1"/>
  <c r="L1037" i="1" s="1"/>
  <c r="J1038" i="1"/>
  <c r="L1038" i="1" s="1"/>
  <c r="J1039" i="1"/>
  <c r="L1039" i="1" s="1"/>
  <c r="J1040" i="1"/>
  <c r="L1040" i="1" s="1"/>
  <c r="J1041" i="1"/>
  <c r="L1041" i="1" s="1"/>
  <c r="J1042" i="1"/>
  <c r="L1042" i="1" s="1"/>
  <c r="J1043" i="1"/>
  <c r="L1043" i="1" s="1"/>
  <c r="J1044" i="1"/>
  <c r="L1044" i="1" s="1"/>
  <c r="J1045" i="1"/>
  <c r="L1045" i="1" s="1"/>
  <c r="J1046" i="1"/>
  <c r="L1046" i="1" s="1"/>
  <c r="J1047" i="1"/>
  <c r="L1047" i="1" s="1"/>
  <c r="J1048" i="1"/>
  <c r="L1048" i="1" s="1"/>
  <c r="J1049" i="1"/>
  <c r="L1049" i="1" s="1"/>
  <c r="J1050" i="1"/>
  <c r="L1050" i="1" s="1"/>
  <c r="J1051" i="1"/>
  <c r="L1051" i="1" s="1"/>
  <c r="J1052" i="1"/>
  <c r="L1052" i="1" s="1"/>
  <c r="J1053" i="1"/>
  <c r="L1053" i="1" s="1"/>
  <c r="J1054" i="1"/>
  <c r="L1054" i="1" s="1"/>
  <c r="J1055" i="1"/>
  <c r="L1055" i="1" s="1"/>
  <c r="J1056" i="1"/>
  <c r="L1056" i="1" s="1"/>
  <c r="J1057" i="1"/>
  <c r="L1057" i="1" s="1"/>
  <c r="J1058" i="1"/>
  <c r="L1058" i="1" s="1"/>
  <c r="J1059" i="1"/>
  <c r="L1059" i="1" s="1"/>
  <c r="J1060" i="1"/>
  <c r="L1060" i="1" s="1"/>
  <c r="J1061" i="1"/>
  <c r="L1061" i="1" s="1"/>
  <c r="J1062" i="1"/>
  <c r="L1062" i="1" s="1"/>
  <c r="J1063" i="1"/>
  <c r="L1063" i="1" s="1"/>
  <c r="J1064" i="1"/>
  <c r="L1064" i="1" s="1"/>
  <c r="J1065" i="1"/>
  <c r="L1065" i="1" s="1"/>
  <c r="J1066" i="1"/>
  <c r="L1066" i="1" s="1"/>
  <c r="J1067" i="1"/>
  <c r="L1067" i="1" s="1"/>
  <c r="J1068" i="1"/>
  <c r="L1068" i="1" s="1"/>
  <c r="J1069" i="1"/>
  <c r="L1069" i="1" s="1"/>
  <c r="J1070" i="1"/>
  <c r="L1070" i="1" s="1"/>
  <c r="J1071" i="1"/>
  <c r="L1071" i="1" s="1"/>
  <c r="J1072" i="1"/>
  <c r="L1072" i="1" s="1"/>
  <c r="J1073" i="1"/>
  <c r="L1073" i="1" s="1"/>
  <c r="J1074" i="1"/>
  <c r="L1074" i="1" s="1"/>
  <c r="J1075" i="1"/>
  <c r="L1075" i="1" s="1"/>
  <c r="J1076" i="1"/>
  <c r="L1076" i="1" s="1"/>
  <c r="J1077" i="1"/>
  <c r="L1077" i="1" s="1"/>
  <c r="J1078" i="1"/>
  <c r="L1078" i="1" s="1"/>
  <c r="J1079" i="1"/>
  <c r="L1079" i="1" s="1"/>
  <c r="J1080" i="1"/>
  <c r="L1080" i="1" s="1"/>
  <c r="J1081" i="1"/>
  <c r="L1081" i="1" s="1"/>
  <c r="J1082" i="1"/>
  <c r="L1082" i="1" s="1"/>
  <c r="J1083" i="1"/>
  <c r="L1083" i="1" s="1"/>
  <c r="J1084" i="1"/>
  <c r="L1084" i="1" s="1"/>
  <c r="J1085" i="1"/>
  <c r="L1085" i="1" s="1"/>
  <c r="J1086" i="1"/>
  <c r="L1086" i="1" s="1"/>
  <c r="J1087" i="1"/>
  <c r="L1087" i="1" s="1"/>
  <c r="J1088" i="1"/>
  <c r="L1088" i="1" s="1"/>
  <c r="J1089" i="1"/>
  <c r="L1089" i="1" s="1"/>
  <c r="J1090" i="1"/>
  <c r="L1090" i="1" s="1"/>
  <c r="J1091" i="1"/>
  <c r="L1091" i="1" s="1"/>
  <c r="J1092" i="1"/>
  <c r="L1092" i="1" s="1"/>
  <c r="J1093" i="1"/>
  <c r="L1093" i="1" s="1"/>
  <c r="J1094" i="1"/>
  <c r="L1094" i="1" s="1"/>
  <c r="J1095" i="1"/>
  <c r="L1095" i="1" s="1"/>
  <c r="J1096" i="1"/>
  <c r="L1096" i="1" s="1"/>
  <c r="J1097" i="1"/>
  <c r="L1097" i="1" s="1"/>
  <c r="J1098" i="1"/>
  <c r="L1098" i="1" s="1"/>
  <c r="J1099" i="1"/>
  <c r="L1099" i="1" s="1"/>
  <c r="J1100" i="1"/>
  <c r="L1100" i="1" s="1"/>
  <c r="J1101" i="1"/>
  <c r="L1101" i="1" s="1"/>
  <c r="J1102" i="1"/>
  <c r="L1102" i="1" s="1"/>
  <c r="J1103" i="1"/>
  <c r="L1103" i="1" s="1"/>
  <c r="J1104" i="1"/>
  <c r="L1104" i="1" s="1"/>
  <c r="J1105" i="1"/>
  <c r="L1105" i="1" s="1"/>
  <c r="J1106" i="1"/>
  <c r="L1106" i="1" s="1"/>
  <c r="J1107" i="1"/>
  <c r="L1107" i="1" s="1"/>
  <c r="J1108" i="1"/>
  <c r="L1108" i="1" s="1"/>
  <c r="J1109" i="1"/>
  <c r="L1109" i="1" s="1"/>
  <c r="J1110" i="1"/>
  <c r="L1110" i="1" s="1"/>
  <c r="J1111" i="1"/>
  <c r="L1111" i="1" s="1"/>
  <c r="J1112" i="1"/>
  <c r="L1112" i="1" s="1"/>
  <c r="J1113" i="1"/>
  <c r="L1113" i="1" s="1"/>
  <c r="J1114" i="1"/>
  <c r="L1114" i="1" s="1"/>
  <c r="J1115" i="1"/>
  <c r="L1115" i="1" s="1"/>
  <c r="J1116" i="1"/>
  <c r="L1116" i="1" s="1"/>
  <c r="J1117" i="1"/>
  <c r="L1117" i="1" s="1"/>
  <c r="J1118" i="1"/>
  <c r="L1118" i="1" s="1"/>
  <c r="J1119" i="1"/>
  <c r="L1119" i="1" s="1"/>
  <c r="J1120" i="1"/>
  <c r="L1120" i="1" s="1"/>
  <c r="J1121" i="1"/>
  <c r="L1121" i="1" s="1"/>
  <c r="J1122" i="1"/>
  <c r="L1122" i="1" s="1"/>
  <c r="J1123" i="1"/>
  <c r="L1123" i="1" s="1"/>
  <c r="J1124" i="1"/>
  <c r="L1124" i="1" s="1"/>
  <c r="J1125" i="1"/>
  <c r="L1125" i="1" s="1"/>
  <c r="J1126" i="1"/>
  <c r="L1126" i="1" s="1"/>
  <c r="J1127" i="1"/>
  <c r="L1127" i="1" s="1"/>
  <c r="J1128" i="1"/>
  <c r="L1128" i="1" s="1"/>
  <c r="J1129" i="1"/>
  <c r="L1129" i="1" s="1"/>
  <c r="J1130" i="1"/>
  <c r="L1130" i="1" s="1"/>
  <c r="J1131" i="1"/>
  <c r="L1131" i="1" s="1"/>
  <c r="J1132" i="1"/>
  <c r="L1132" i="1" s="1"/>
  <c r="J1133" i="1"/>
  <c r="L1133" i="1" s="1"/>
  <c r="J1134" i="1"/>
  <c r="L1134" i="1" s="1"/>
  <c r="J1135" i="1"/>
  <c r="L1135" i="1" s="1"/>
  <c r="J1136" i="1"/>
  <c r="L1136" i="1" s="1"/>
  <c r="J1137" i="1"/>
  <c r="L1137" i="1" s="1"/>
  <c r="J1138" i="1"/>
  <c r="L1138" i="1" s="1"/>
  <c r="J1139" i="1"/>
  <c r="L1139" i="1" s="1"/>
  <c r="J1140" i="1"/>
  <c r="L1140" i="1" s="1"/>
  <c r="J1141" i="1"/>
  <c r="L1141" i="1" s="1"/>
  <c r="J1142" i="1"/>
  <c r="L1142" i="1" s="1"/>
  <c r="J1143" i="1"/>
  <c r="L1143" i="1" s="1"/>
  <c r="J1144" i="1"/>
  <c r="L1144" i="1" s="1"/>
  <c r="J1145" i="1"/>
  <c r="L1145" i="1" s="1"/>
  <c r="J1146" i="1"/>
  <c r="L1146" i="1" s="1"/>
  <c r="J1147" i="1"/>
  <c r="L1147" i="1" s="1"/>
  <c r="J1148" i="1"/>
  <c r="L1148" i="1" s="1"/>
  <c r="J1149" i="1"/>
  <c r="L1149" i="1" s="1"/>
  <c r="J1150" i="1"/>
  <c r="L1150" i="1" s="1"/>
  <c r="J1151" i="1"/>
  <c r="L1151" i="1" s="1"/>
  <c r="J1152" i="1"/>
  <c r="L1152" i="1" s="1"/>
  <c r="J1153" i="1"/>
  <c r="L1153" i="1" s="1"/>
  <c r="J1154" i="1"/>
  <c r="L1154" i="1" s="1"/>
  <c r="J1155" i="1"/>
  <c r="L1155" i="1" s="1"/>
  <c r="J1156" i="1"/>
  <c r="L1156" i="1" s="1"/>
  <c r="J1157" i="1"/>
  <c r="L1157" i="1" s="1"/>
  <c r="J1158" i="1"/>
  <c r="L1158" i="1" s="1"/>
  <c r="J1159" i="1"/>
  <c r="L1159" i="1" s="1"/>
  <c r="J1160" i="1"/>
  <c r="L1160" i="1" s="1"/>
  <c r="J1161" i="1"/>
  <c r="L1161" i="1" s="1"/>
  <c r="J1162" i="1"/>
  <c r="L1162" i="1" s="1"/>
  <c r="J1163" i="1"/>
  <c r="L1163" i="1" s="1"/>
  <c r="J1164" i="1"/>
  <c r="L1164" i="1" s="1"/>
  <c r="J1165" i="1"/>
  <c r="L1165" i="1" s="1"/>
  <c r="J1166" i="1"/>
  <c r="L1166" i="1" s="1"/>
  <c r="J1167" i="1"/>
  <c r="L1167" i="1" s="1"/>
  <c r="J1168" i="1"/>
  <c r="L1168" i="1" s="1"/>
  <c r="J1169" i="1"/>
  <c r="L1169" i="1" s="1"/>
  <c r="J1170" i="1"/>
  <c r="L1170" i="1" s="1"/>
  <c r="J1171" i="1"/>
  <c r="L1171" i="1" s="1"/>
  <c r="J1172" i="1"/>
  <c r="L1172" i="1" s="1"/>
  <c r="J1173" i="1"/>
  <c r="L1173" i="1" s="1"/>
  <c r="J1174" i="1"/>
  <c r="L1174" i="1" s="1"/>
  <c r="J1175" i="1"/>
  <c r="L1175" i="1" s="1"/>
  <c r="J1176" i="1"/>
  <c r="L1176" i="1" s="1"/>
  <c r="J1177" i="1"/>
  <c r="L1177" i="1" s="1"/>
  <c r="J1178" i="1"/>
  <c r="L1178" i="1" s="1"/>
  <c r="J1179" i="1"/>
  <c r="L1179" i="1" s="1"/>
  <c r="J1180" i="1"/>
  <c r="L1180" i="1" s="1"/>
  <c r="J1181" i="1"/>
  <c r="L1181" i="1" s="1"/>
  <c r="J1182" i="1"/>
  <c r="L1182" i="1" s="1"/>
  <c r="J1183" i="1"/>
  <c r="L1183" i="1" s="1"/>
  <c r="J1184" i="1"/>
  <c r="L1184" i="1" s="1"/>
  <c r="J1185" i="1"/>
  <c r="L1185" i="1" s="1"/>
  <c r="J1186" i="1"/>
  <c r="L1186" i="1" s="1"/>
  <c r="J1187" i="1"/>
  <c r="L1187" i="1" s="1"/>
  <c r="J1188" i="1"/>
  <c r="L1188" i="1" s="1"/>
  <c r="J1189" i="1"/>
  <c r="L1189" i="1" s="1"/>
  <c r="J1190" i="1"/>
  <c r="L1190" i="1" s="1"/>
  <c r="J1191" i="1"/>
  <c r="L1191" i="1" s="1"/>
  <c r="J1192" i="1"/>
  <c r="L1192" i="1" s="1"/>
  <c r="J1193" i="1"/>
  <c r="L1193" i="1" s="1"/>
  <c r="J1194" i="1"/>
  <c r="L1194" i="1" s="1"/>
  <c r="J1195" i="1"/>
  <c r="L1195" i="1" s="1"/>
  <c r="J1196" i="1"/>
  <c r="L1196" i="1" s="1"/>
  <c r="J1197" i="1"/>
  <c r="L1197" i="1" s="1"/>
  <c r="J1198" i="1"/>
  <c r="L1198" i="1" s="1"/>
  <c r="J1199" i="1"/>
  <c r="L1199" i="1" s="1"/>
  <c r="J1200" i="1"/>
  <c r="L1200" i="1" s="1"/>
  <c r="J1201" i="1"/>
  <c r="L1201" i="1" s="1"/>
  <c r="J1202" i="1"/>
  <c r="L1202" i="1" s="1"/>
  <c r="J1203" i="1"/>
  <c r="L1203" i="1" s="1"/>
  <c r="J1204" i="1"/>
  <c r="L1204" i="1" s="1"/>
  <c r="J1205" i="1"/>
  <c r="L1205" i="1" s="1"/>
  <c r="J1206" i="1"/>
  <c r="L1206" i="1" s="1"/>
  <c r="J1207" i="1"/>
  <c r="L1207" i="1" s="1"/>
  <c r="J1208" i="1"/>
  <c r="L1208" i="1" s="1"/>
  <c r="J1209" i="1"/>
  <c r="L1209" i="1" s="1"/>
  <c r="J1210" i="1"/>
  <c r="L1210" i="1" s="1"/>
  <c r="J1211" i="1"/>
  <c r="L1211" i="1" s="1"/>
  <c r="J1212" i="1"/>
  <c r="L1212" i="1" s="1"/>
  <c r="J1213" i="1"/>
  <c r="L1213" i="1" s="1"/>
  <c r="J1214" i="1"/>
  <c r="L1214" i="1" s="1"/>
  <c r="J1215" i="1"/>
  <c r="L1215" i="1" s="1"/>
  <c r="J1216" i="1"/>
  <c r="L1216" i="1" s="1"/>
  <c r="J1217" i="1"/>
  <c r="L1217" i="1" s="1"/>
  <c r="J1218" i="1"/>
  <c r="L1218" i="1" s="1"/>
  <c r="J1219" i="1"/>
  <c r="L1219" i="1" s="1"/>
  <c r="J1220" i="1"/>
  <c r="L1220" i="1" s="1"/>
  <c r="J1221" i="1"/>
  <c r="L1221" i="1" s="1"/>
  <c r="J1222" i="1"/>
  <c r="L1222" i="1" s="1"/>
  <c r="J1223" i="1"/>
  <c r="L1223" i="1" s="1"/>
  <c r="J1224" i="1"/>
  <c r="L1224" i="1" s="1"/>
  <c r="J1225" i="1"/>
  <c r="L1225" i="1" s="1"/>
  <c r="J1226" i="1"/>
  <c r="L1226" i="1" s="1"/>
  <c r="J1227" i="1"/>
  <c r="L1227" i="1" s="1"/>
  <c r="J1228" i="1"/>
  <c r="L1228" i="1" s="1"/>
  <c r="J1229" i="1"/>
  <c r="L1229" i="1" s="1"/>
  <c r="J1230" i="1"/>
  <c r="L1230" i="1" s="1"/>
  <c r="J1231" i="1"/>
  <c r="L1231" i="1" s="1"/>
  <c r="J1232" i="1"/>
  <c r="L1232" i="1" s="1"/>
  <c r="J1233" i="1"/>
  <c r="L1233" i="1" s="1"/>
  <c r="J1234" i="1"/>
  <c r="L1234" i="1" s="1"/>
  <c r="J1235" i="1"/>
  <c r="L1235" i="1" s="1"/>
  <c r="J1236" i="1"/>
  <c r="L1236" i="1" s="1"/>
  <c r="J1237" i="1"/>
  <c r="L1237" i="1" s="1"/>
  <c r="J1238" i="1"/>
  <c r="L1238" i="1" s="1"/>
  <c r="J1239" i="1"/>
  <c r="L1239" i="1" s="1"/>
  <c r="J1240" i="1"/>
  <c r="L1240" i="1" s="1"/>
  <c r="J1241" i="1"/>
  <c r="L1241" i="1" s="1"/>
  <c r="J1242" i="1"/>
  <c r="L1242" i="1" s="1"/>
  <c r="J1243" i="1"/>
  <c r="L1243" i="1" s="1"/>
  <c r="J1244" i="1"/>
  <c r="L1244" i="1" s="1"/>
  <c r="J1245" i="1"/>
  <c r="L1245" i="1" s="1"/>
  <c r="J1246" i="1"/>
  <c r="L1246" i="1" s="1"/>
  <c r="J1247" i="1"/>
  <c r="L1247" i="1" s="1"/>
  <c r="J1248" i="1"/>
  <c r="L1248" i="1" s="1"/>
  <c r="J1249" i="1"/>
  <c r="L1249" i="1" s="1"/>
  <c r="J1250" i="1"/>
  <c r="L1250" i="1" s="1"/>
  <c r="J1251" i="1"/>
  <c r="L1251" i="1" s="1"/>
  <c r="J1252" i="1"/>
  <c r="L1252" i="1" s="1"/>
  <c r="J1253" i="1"/>
  <c r="L1253" i="1" s="1"/>
  <c r="J1254" i="1"/>
  <c r="L1254" i="1" s="1"/>
  <c r="J1255" i="1"/>
  <c r="L1255" i="1" s="1"/>
  <c r="J1256" i="1"/>
  <c r="L1256" i="1" s="1"/>
  <c r="J1257" i="1"/>
  <c r="L1257" i="1" s="1"/>
  <c r="J1258" i="1"/>
  <c r="L1258" i="1" s="1"/>
  <c r="J1259" i="1"/>
  <c r="L1259" i="1" s="1"/>
  <c r="J1260" i="1"/>
  <c r="L1260" i="1" s="1"/>
  <c r="J1261" i="1"/>
  <c r="L1261" i="1" s="1"/>
  <c r="J1262" i="1"/>
  <c r="L1262" i="1" s="1"/>
  <c r="J1263" i="1"/>
  <c r="L1263" i="1" s="1"/>
  <c r="J1264" i="1"/>
  <c r="L1264" i="1" s="1"/>
  <c r="J1265" i="1"/>
  <c r="L1265" i="1" s="1"/>
  <c r="J1266" i="1"/>
  <c r="L1266" i="1" s="1"/>
  <c r="J1267" i="1"/>
  <c r="L1267" i="1" s="1"/>
  <c r="J1268" i="1"/>
  <c r="L1268" i="1" s="1"/>
  <c r="J1269" i="1"/>
  <c r="L1269" i="1" s="1"/>
  <c r="J1270" i="1"/>
  <c r="L1270" i="1" s="1"/>
  <c r="J1271" i="1"/>
  <c r="L1271" i="1" s="1"/>
  <c r="J1272" i="1"/>
  <c r="L1272" i="1" s="1"/>
  <c r="J1273" i="1"/>
  <c r="L1273" i="1" s="1"/>
  <c r="J1274" i="1"/>
  <c r="L1274" i="1" s="1"/>
  <c r="J1275" i="1"/>
  <c r="L1275" i="1" s="1"/>
  <c r="J1276" i="1"/>
  <c r="L1276" i="1" s="1"/>
  <c r="J1277" i="1"/>
  <c r="L1277" i="1" s="1"/>
  <c r="J1278" i="1"/>
  <c r="L1278" i="1" s="1"/>
  <c r="J1279" i="1"/>
  <c r="L1279" i="1" s="1"/>
  <c r="J1280" i="1"/>
  <c r="L1280" i="1" s="1"/>
  <c r="J1281" i="1"/>
  <c r="L1281" i="1" s="1"/>
  <c r="J1282" i="1"/>
  <c r="L1282" i="1" s="1"/>
  <c r="J1283" i="1"/>
  <c r="L1283" i="1" s="1"/>
  <c r="J1284" i="1"/>
  <c r="L1284" i="1" s="1"/>
  <c r="J1285" i="1"/>
  <c r="L1285" i="1" s="1"/>
  <c r="J1286" i="1"/>
  <c r="L1286" i="1" s="1"/>
  <c r="J1287" i="1"/>
  <c r="L1287" i="1" s="1"/>
  <c r="J1288" i="1"/>
  <c r="L1288" i="1" s="1"/>
  <c r="J1289" i="1"/>
  <c r="L1289" i="1" s="1"/>
  <c r="J1290" i="1"/>
  <c r="L1290" i="1" s="1"/>
  <c r="J1291" i="1"/>
  <c r="L1291" i="1" s="1"/>
  <c r="J1292" i="1"/>
  <c r="L1292" i="1" s="1"/>
  <c r="J1293" i="1"/>
  <c r="L1293" i="1" s="1"/>
  <c r="J1294" i="1"/>
  <c r="L1294" i="1" s="1"/>
  <c r="J1295" i="1"/>
  <c r="L1295" i="1" s="1"/>
  <c r="J1296" i="1"/>
  <c r="L1296" i="1" s="1"/>
  <c r="J1297" i="1"/>
  <c r="L1297" i="1" s="1"/>
  <c r="J1298" i="1"/>
  <c r="L1298" i="1" s="1"/>
  <c r="J1299" i="1"/>
  <c r="L1299" i="1" s="1"/>
  <c r="J1300" i="1"/>
  <c r="L1300" i="1" s="1"/>
  <c r="J1301" i="1"/>
  <c r="L1301" i="1" s="1"/>
  <c r="J1302" i="1"/>
  <c r="L1302" i="1" s="1"/>
  <c r="J1303" i="1"/>
  <c r="L1303" i="1" s="1"/>
  <c r="J1304" i="1"/>
  <c r="L1304" i="1" s="1"/>
  <c r="J1305" i="1"/>
  <c r="L1305" i="1" s="1"/>
  <c r="J1306" i="1"/>
  <c r="L1306" i="1" s="1"/>
  <c r="J1307" i="1"/>
  <c r="L1307" i="1" s="1"/>
  <c r="J1308" i="1"/>
  <c r="L1308" i="1" s="1"/>
  <c r="J1309" i="1"/>
  <c r="L1309" i="1" s="1"/>
  <c r="J1310" i="1"/>
  <c r="L1310" i="1" s="1"/>
  <c r="J1311" i="1"/>
  <c r="L1311" i="1" s="1"/>
  <c r="J1312" i="1"/>
  <c r="L1312" i="1" s="1"/>
  <c r="J1313" i="1"/>
  <c r="L1313" i="1" s="1"/>
  <c r="J1314" i="1"/>
  <c r="L1314" i="1" s="1"/>
  <c r="J1315" i="1"/>
  <c r="L1315" i="1" s="1"/>
  <c r="J1316" i="1"/>
  <c r="L1316" i="1" s="1"/>
  <c r="J1317" i="1"/>
  <c r="L1317" i="1" s="1"/>
  <c r="J1318" i="1"/>
  <c r="L1318" i="1" s="1"/>
  <c r="J1319" i="1"/>
  <c r="L1319" i="1" s="1"/>
  <c r="J1320" i="1"/>
  <c r="L1320" i="1" s="1"/>
  <c r="J1321" i="1"/>
  <c r="L1321" i="1" s="1"/>
  <c r="J1322" i="1"/>
  <c r="L1322" i="1" s="1"/>
  <c r="J1323" i="1"/>
  <c r="L1323" i="1" s="1"/>
  <c r="J1324" i="1"/>
  <c r="L1324" i="1" s="1"/>
  <c r="J1325" i="1"/>
  <c r="L1325" i="1" s="1"/>
  <c r="J1326" i="1"/>
  <c r="L1326" i="1" s="1"/>
  <c r="J1327" i="1"/>
  <c r="L1327" i="1" s="1"/>
  <c r="J1328" i="1"/>
  <c r="L1328" i="1" s="1"/>
  <c r="J1329" i="1"/>
  <c r="L1329" i="1" s="1"/>
  <c r="J1330" i="1"/>
  <c r="L1330" i="1" s="1"/>
  <c r="J1331" i="1"/>
  <c r="L1331" i="1" s="1"/>
  <c r="J1332" i="1"/>
  <c r="L1332" i="1" s="1"/>
  <c r="J1333" i="1"/>
  <c r="L1333" i="1" s="1"/>
  <c r="J1334" i="1"/>
  <c r="L1334" i="1" s="1"/>
  <c r="J1335" i="1"/>
  <c r="L1335" i="1" s="1"/>
  <c r="J1336" i="1"/>
  <c r="L1336" i="1" s="1"/>
  <c r="J1337" i="1"/>
  <c r="L1337" i="1" s="1"/>
  <c r="J1338" i="1"/>
  <c r="L1338" i="1" s="1"/>
  <c r="J1339" i="1"/>
  <c r="L1339" i="1" s="1"/>
  <c r="J1340" i="1"/>
  <c r="L1340" i="1" s="1"/>
  <c r="J1341" i="1"/>
  <c r="L1341" i="1" s="1"/>
  <c r="J1342" i="1"/>
  <c r="L1342" i="1" s="1"/>
  <c r="J1343" i="1"/>
  <c r="L1343" i="1" s="1"/>
  <c r="J1344" i="1"/>
  <c r="L1344" i="1" s="1"/>
  <c r="J1345" i="1"/>
  <c r="L1345" i="1" s="1"/>
  <c r="J1346" i="1"/>
  <c r="L1346" i="1" s="1"/>
  <c r="J1347" i="1"/>
  <c r="L1347" i="1" s="1"/>
  <c r="J1348" i="1"/>
  <c r="L1348" i="1" s="1"/>
  <c r="J1349" i="1"/>
  <c r="L1349" i="1" s="1"/>
  <c r="J1350" i="1"/>
  <c r="L1350" i="1" s="1"/>
  <c r="J1351" i="1"/>
  <c r="L1351" i="1" s="1"/>
  <c r="J1352" i="1"/>
  <c r="L1352" i="1" s="1"/>
  <c r="J1353" i="1"/>
  <c r="L1353" i="1" s="1"/>
  <c r="J1354" i="1"/>
  <c r="L1354" i="1" s="1"/>
  <c r="J1355" i="1"/>
  <c r="L1355" i="1" s="1"/>
  <c r="J1356" i="1"/>
  <c r="L1356" i="1" s="1"/>
  <c r="J1357" i="1"/>
  <c r="L1357" i="1" s="1"/>
  <c r="J1358" i="1"/>
  <c r="L1358" i="1" s="1"/>
  <c r="J1359" i="1"/>
  <c r="L1359" i="1" s="1"/>
  <c r="J1360" i="1"/>
  <c r="L1360" i="1" s="1"/>
  <c r="J1361" i="1"/>
  <c r="L1361" i="1" s="1"/>
  <c r="J1362" i="1"/>
  <c r="L1362" i="1" s="1"/>
  <c r="J1363" i="1"/>
  <c r="L1363" i="1" s="1"/>
  <c r="J1364" i="1"/>
  <c r="L1364" i="1" s="1"/>
  <c r="J1365" i="1"/>
  <c r="L1365" i="1" s="1"/>
  <c r="J1366" i="1"/>
  <c r="L1366" i="1" s="1"/>
  <c r="J1367" i="1"/>
  <c r="L1367" i="1" s="1"/>
  <c r="J1368" i="1"/>
  <c r="L1368" i="1" s="1"/>
  <c r="J1369" i="1"/>
  <c r="L1369" i="1" s="1"/>
  <c r="J1370" i="1"/>
  <c r="L1370" i="1" s="1"/>
  <c r="J1371" i="1"/>
  <c r="L1371" i="1" s="1"/>
  <c r="J1372" i="1"/>
  <c r="L1372" i="1" s="1"/>
  <c r="J1373" i="1"/>
  <c r="L1373" i="1" s="1"/>
  <c r="J1374" i="1"/>
  <c r="L1374" i="1" s="1"/>
  <c r="J1375" i="1"/>
  <c r="L1375" i="1" s="1"/>
  <c r="J1376" i="1"/>
  <c r="L1376" i="1" s="1"/>
  <c r="J1377" i="1"/>
  <c r="L1377" i="1" s="1"/>
  <c r="J1378" i="1"/>
  <c r="L1378" i="1" s="1"/>
  <c r="J1379" i="1"/>
  <c r="L1379" i="1" s="1"/>
  <c r="J1380" i="1"/>
  <c r="L1380" i="1" s="1"/>
  <c r="J1381" i="1"/>
  <c r="L1381" i="1" s="1"/>
  <c r="J1382" i="1"/>
  <c r="L1382" i="1" s="1"/>
  <c r="J1383" i="1"/>
  <c r="L1383" i="1" s="1"/>
  <c r="J1384" i="1"/>
  <c r="L1384" i="1" s="1"/>
  <c r="J1385" i="1"/>
  <c r="L1385" i="1" s="1"/>
  <c r="J1386" i="1"/>
  <c r="L1386" i="1" s="1"/>
  <c r="J1387" i="1"/>
  <c r="L1387" i="1" s="1"/>
  <c r="J1388" i="1"/>
  <c r="L1388" i="1" s="1"/>
  <c r="J1389" i="1"/>
  <c r="L1389" i="1" s="1"/>
  <c r="J1390" i="1"/>
  <c r="L1390" i="1" s="1"/>
  <c r="J1391" i="1"/>
  <c r="L1391" i="1" s="1"/>
  <c r="J1392" i="1"/>
  <c r="L1392" i="1" s="1"/>
  <c r="J1393" i="1"/>
  <c r="L1393" i="1" s="1"/>
  <c r="J1394" i="1"/>
  <c r="L1394" i="1" s="1"/>
  <c r="J1395" i="1"/>
  <c r="L1395" i="1" s="1"/>
  <c r="J1396" i="1"/>
  <c r="L1396" i="1" s="1"/>
  <c r="J1397" i="1"/>
  <c r="L1397" i="1" s="1"/>
  <c r="J1398" i="1"/>
  <c r="L1398" i="1" s="1"/>
  <c r="J1399" i="1"/>
  <c r="L1399" i="1" s="1"/>
  <c r="J1400" i="1"/>
  <c r="L1400" i="1" s="1"/>
  <c r="J1401" i="1"/>
  <c r="L1401" i="1" s="1"/>
  <c r="J1402" i="1"/>
  <c r="L1402" i="1" s="1"/>
  <c r="J1403" i="1"/>
  <c r="L1403" i="1" s="1"/>
  <c r="J1404" i="1"/>
  <c r="L1404" i="1" s="1"/>
  <c r="J1405" i="1"/>
  <c r="L1405" i="1" s="1"/>
  <c r="J1406" i="1"/>
  <c r="L1406" i="1" s="1"/>
  <c r="J1407" i="1"/>
  <c r="L1407" i="1" s="1"/>
  <c r="J1408" i="1"/>
  <c r="L1408" i="1" s="1"/>
  <c r="J1409" i="1"/>
  <c r="L1409" i="1" s="1"/>
  <c r="J1410" i="1"/>
  <c r="L1410" i="1" s="1"/>
  <c r="J1411" i="1"/>
  <c r="L1411" i="1" s="1"/>
  <c r="J1412" i="1"/>
  <c r="L1412" i="1" s="1"/>
  <c r="J1413" i="1"/>
  <c r="L1413" i="1" s="1"/>
  <c r="J1414" i="1"/>
  <c r="L1414" i="1" s="1"/>
  <c r="J1415" i="1"/>
  <c r="L1415" i="1" s="1"/>
  <c r="J1416" i="1"/>
  <c r="L1416" i="1" s="1"/>
  <c r="J1417" i="1"/>
  <c r="L1417" i="1" s="1"/>
  <c r="J1418" i="1"/>
  <c r="L1418" i="1" s="1"/>
  <c r="J1419" i="1"/>
  <c r="L1419" i="1" s="1"/>
  <c r="J1420" i="1"/>
  <c r="L1420" i="1" s="1"/>
  <c r="J1421" i="1"/>
  <c r="L1421" i="1" s="1"/>
  <c r="J1422" i="1"/>
  <c r="L1422" i="1" s="1"/>
  <c r="J1423" i="1"/>
  <c r="L1423" i="1" s="1"/>
  <c r="J1424" i="1"/>
  <c r="L1424" i="1" s="1"/>
  <c r="J1425" i="1"/>
  <c r="L1425" i="1" s="1"/>
  <c r="J1426" i="1"/>
  <c r="L1426" i="1" s="1"/>
  <c r="J1427" i="1"/>
  <c r="L1427" i="1" s="1"/>
  <c r="J1428" i="1"/>
  <c r="L1428" i="1" s="1"/>
  <c r="J1429" i="1"/>
  <c r="L1429" i="1" s="1"/>
  <c r="J1430" i="1"/>
  <c r="L1430" i="1" s="1"/>
  <c r="J1431" i="1"/>
  <c r="L1431" i="1" s="1"/>
  <c r="J1432" i="1"/>
  <c r="L1432" i="1" s="1"/>
  <c r="J1433" i="1"/>
  <c r="L1433" i="1" s="1"/>
  <c r="J1434" i="1"/>
  <c r="L1434" i="1" s="1"/>
  <c r="J1435" i="1"/>
  <c r="L1435" i="1" s="1"/>
  <c r="J1436" i="1"/>
  <c r="L1436" i="1" s="1"/>
  <c r="J1437" i="1"/>
  <c r="L1437" i="1" s="1"/>
  <c r="J1438" i="1"/>
  <c r="L1438" i="1" s="1"/>
  <c r="J1439" i="1"/>
  <c r="L1439" i="1" s="1"/>
  <c r="J1440" i="1"/>
  <c r="L1440" i="1" s="1"/>
  <c r="J1441" i="1"/>
  <c r="L1441" i="1" s="1"/>
  <c r="J1442" i="1"/>
  <c r="L1442" i="1" s="1"/>
  <c r="J1443" i="1"/>
  <c r="L1443" i="1" s="1"/>
  <c r="J1444" i="1"/>
  <c r="L1444" i="1" s="1"/>
  <c r="J1445" i="1"/>
  <c r="L1445" i="1" s="1"/>
  <c r="J1446" i="1"/>
  <c r="L1446" i="1" s="1"/>
  <c r="J1447" i="1"/>
  <c r="L1447" i="1" s="1"/>
  <c r="J1448" i="1"/>
  <c r="L1448" i="1" s="1"/>
  <c r="J1449" i="1"/>
  <c r="L1449" i="1" s="1"/>
  <c r="J1450" i="1"/>
  <c r="L1450" i="1" s="1"/>
  <c r="J1451" i="1"/>
  <c r="L1451" i="1" s="1"/>
  <c r="J1452" i="1"/>
  <c r="L1452" i="1" s="1"/>
  <c r="J1453" i="1"/>
  <c r="L1453" i="1" s="1"/>
  <c r="J1454" i="1"/>
  <c r="L1454" i="1" s="1"/>
  <c r="J1455" i="1"/>
  <c r="L1455" i="1" s="1"/>
  <c r="J1456" i="1"/>
  <c r="L1456" i="1" s="1"/>
  <c r="J1457" i="1"/>
  <c r="L1457" i="1" s="1"/>
  <c r="J1458" i="1"/>
  <c r="L1458" i="1" s="1"/>
  <c r="J1459" i="1"/>
  <c r="L1459" i="1" s="1"/>
  <c r="J1460" i="1"/>
  <c r="L1460" i="1" s="1"/>
  <c r="J1461" i="1"/>
  <c r="L1461" i="1" s="1"/>
  <c r="J1462" i="1"/>
  <c r="L1462" i="1" s="1"/>
  <c r="J1463" i="1"/>
  <c r="L1463" i="1" s="1"/>
  <c r="J1464" i="1"/>
  <c r="L1464" i="1" s="1"/>
  <c r="J1465" i="1"/>
  <c r="L1465" i="1" s="1"/>
  <c r="J1466" i="1"/>
  <c r="L1466" i="1" s="1"/>
  <c r="J1467" i="1"/>
  <c r="L1467" i="1" s="1"/>
  <c r="J1468" i="1"/>
  <c r="L1468" i="1" s="1"/>
  <c r="J1469" i="1"/>
  <c r="L1469" i="1" s="1"/>
  <c r="J1470" i="1"/>
  <c r="L1470" i="1" s="1"/>
  <c r="J1471" i="1"/>
  <c r="L1471" i="1" s="1"/>
  <c r="J1472" i="1"/>
  <c r="L1472" i="1" s="1"/>
  <c r="J1473" i="1"/>
  <c r="L1473" i="1" s="1"/>
  <c r="J1474" i="1"/>
  <c r="L1474" i="1" s="1"/>
  <c r="J1475" i="1"/>
  <c r="L1475" i="1" s="1"/>
  <c r="J1476" i="1"/>
  <c r="L1476" i="1" s="1"/>
  <c r="J1477" i="1"/>
  <c r="L1477" i="1" s="1"/>
  <c r="J1478" i="1"/>
  <c r="L1478" i="1" s="1"/>
  <c r="J1479" i="1"/>
  <c r="L1479" i="1" s="1"/>
  <c r="J1480" i="1"/>
  <c r="L1480" i="1" s="1"/>
  <c r="J1481" i="1"/>
  <c r="L1481" i="1" s="1"/>
  <c r="J1482" i="1"/>
  <c r="L1482" i="1" s="1"/>
  <c r="J1483" i="1"/>
  <c r="L1483" i="1" s="1"/>
  <c r="J1484" i="1"/>
  <c r="L1484" i="1" s="1"/>
  <c r="J1485" i="1"/>
  <c r="L1485" i="1" s="1"/>
  <c r="J1486" i="1"/>
  <c r="L1486" i="1" s="1"/>
  <c r="J1487" i="1"/>
  <c r="L1487" i="1" s="1"/>
  <c r="J1488" i="1"/>
  <c r="L1488" i="1" s="1"/>
  <c r="J1489" i="1"/>
  <c r="L1489" i="1" s="1"/>
  <c r="J1490" i="1"/>
  <c r="L1490" i="1" s="1"/>
  <c r="J1491" i="1"/>
  <c r="L1491" i="1" s="1"/>
  <c r="J1492" i="1"/>
  <c r="L1492" i="1" s="1"/>
  <c r="J1493" i="1"/>
  <c r="L1493" i="1" s="1"/>
  <c r="J1494" i="1"/>
  <c r="L1494" i="1" s="1"/>
  <c r="J1495" i="1"/>
  <c r="L1495" i="1" s="1"/>
  <c r="J1496" i="1"/>
  <c r="L1496" i="1" s="1"/>
  <c r="J1497" i="1"/>
  <c r="L1497" i="1" s="1"/>
  <c r="J1498" i="1"/>
  <c r="L1498" i="1" s="1"/>
  <c r="J1499" i="1"/>
  <c r="L1499" i="1" s="1"/>
  <c r="J1500" i="1"/>
  <c r="L1500" i="1" s="1"/>
  <c r="J1501" i="1"/>
  <c r="L1501" i="1" s="1"/>
  <c r="J1502" i="1"/>
  <c r="L1502" i="1" s="1"/>
  <c r="J1503" i="1"/>
  <c r="L1503" i="1" s="1"/>
  <c r="J1504" i="1"/>
  <c r="L1504" i="1" s="1"/>
  <c r="J1505" i="1"/>
  <c r="L1505" i="1" s="1"/>
  <c r="J1506" i="1"/>
  <c r="L1506" i="1" s="1"/>
  <c r="J1507" i="1"/>
  <c r="L1507" i="1" s="1"/>
  <c r="J1508" i="1"/>
  <c r="L1508" i="1" s="1"/>
  <c r="J1509" i="1"/>
  <c r="L1509" i="1" s="1"/>
  <c r="J1510" i="1"/>
  <c r="L1510" i="1" s="1"/>
  <c r="J1511" i="1"/>
  <c r="L1511" i="1" s="1"/>
  <c r="J1512" i="1"/>
  <c r="L1512" i="1" s="1"/>
  <c r="J1513" i="1"/>
  <c r="L1513" i="1" s="1"/>
  <c r="J1514" i="1"/>
  <c r="L1514" i="1" s="1"/>
  <c r="J1515" i="1"/>
  <c r="L1515" i="1" s="1"/>
  <c r="J1516" i="1"/>
  <c r="L1516" i="1" s="1"/>
  <c r="J1517" i="1"/>
  <c r="L1517" i="1" s="1"/>
  <c r="J1518" i="1"/>
  <c r="L1518" i="1" s="1"/>
  <c r="J1519" i="1"/>
  <c r="L1519" i="1" s="1"/>
  <c r="J1520" i="1"/>
  <c r="L1520" i="1" s="1"/>
  <c r="J1521" i="1"/>
  <c r="L1521" i="1" s="1"/>
  <c r="J1522" i="1"/>
  <c r="L1522" i="1" s="1"/>
  <c r="J1523" i="1"/>
  <c r="L1523" i="1" s="1"/>
  <c r="J1524" i="1"/>
  <c r="L1524" i="1" s="1"/>
  <c r="J1525" i="1"/>
  <c r="L1525" i="1" s="1"/>
  <c r="J1526" i="1"/>
  <c r="L1526" i="1" s="1"/>
  <c r="J1527" i="1"/>
  <c r="L1527" i="1" s="1"/>
  <c r="J1528" i="1"/>
  <c r="L1528" i="1" s="1"/>
  <c r="J1529" i="1"/>
  <c r="L1529" i="1" s="1"/>
  <c r="J1530" i="1"/>
  <c r="L1530" i="1" s="1"/>
  <c r="J1531" i="1"/>
  <c r="L1531" i="1" s="1"/>
  <c r="J1532" i="1"/>
  <c r="L1532" i="1" s="1"/>
  <c r="J1533" i="1"/>
  <c r="L1533" i="1" s="1"/>
  <c r="J1534" i="1"/>
  <c r="L1534" i="1" s="1"/>
  <c r="J1535" i="1"/>
  <c r="L1535" i="1" s="1"/>
  <c r="J1536" i="1"/>
  <c r="L1536" i="1" s="1"/>
  <c r="J1537" i="1"/>
  <c r="L1537" i="1" s="1"/>
  <c r="J1538" i="1"/>
  <c r="L1538" i="1" s="1"/>
  <c r="J1539" i="1"/>
  <c r="L1539" i="1" s="1"/>
  <c r="J1540" i="1"/>
  <c r="L1540" i="1" s="1"/>
  <c r="J1541" i="1"/>
  <c r="L1541" i="1" s="1"/>
  <c r="J1542" i="1"/>
  <c r="L1542" i="1" s="1"/>
  <c r="J1543" i="1"/>
  <c r="L1543" i="1" s="1"/>
  <c r="J1544" i="1"/>
  <c r="L1544" i="1" s="1"/>
  <c r="J1545" i="1"/>
  <c r="L1545" i="1" s="1"/>
  <c r="J1546" i="1"/>
  <c r="L1546" i="1" s="1"/>
  <c r="J1547" i="1"/>
  <c r="L1547" i="1" s="1"/>
  <c r="J1548" i="1"/>
  <c r="L1548" i="1" s="1"/>
  <c r="J1549" i="1"/>
  <c r="L1549" i="1" s="1"/>
  <c r="J1550" i="1"/>
  <c r="L1550" i="1" s="1"/>
  <c r="J1551" i="1"/>
  <c r="L1551" i="1" s="1"/>
  <c r="J1552" i="1"/>
  <c r="L1552" i="1" s="1"/>
  <c r="J1553" i="1"/>
  <c r="L1553" i="1" s="1"/>
  <c r="J1554" i="1"/>
  <c r="L1554" i="1" s="1"/>
  <c r="J1555" i="1"/>
  <c r="L1555" i="1" s="1"/>
  <c r="J1556" i="1"/>
  <c r="L1556" i="1" s="1"/>
  <c r="J1557" i="1"/>
  <c r="L1557" i="1" s="1"/>
  <c r="J1558" i="1"/>
  <c r="L1558" i="1" s="1"/>
  <c r="J1559" i="1"/>
  <c r="L1559" i="1" s="1"/>
  <c r="J1560" i="1"/>
  <c r="L1560" i="1" s="1"/>
  <c r="J1561" i="1"/>
  <c r="L1561" i="1" s="1"/>
  <c r="J1562" i="1"/>
  <c r="L1562" i="1" s="1"/>
  <c r="J1563" i="1"/>
  <c r="L1563" i="1" s="1"/>
  <c r="J1564" i="1"/>
  <c r="L1564" i="1" s="1"/>
  <c r="J1565" i="1"/>
  <c r="L1565" i="1" s="1"/>
  <c r="J1566" i="1"/>
  <c r="L1566" i="1" s="1"/>
  <c r="J1567" i="1"/>
  <c r="L1567" i="1" s="1"/>
  <c r="J1568" i="1"/>
  <c r="L1568" i="1" s="1"/>
  <c r="J1569" i="1"/>
  <c r="L1569" i="1" s="1"/>
  <c r="J1570" i="1"/>
  <c r="L1570" i="1" s="1"/>
  <c r="J1571" i="1"/>
  <c r="L1571" i="1" s="1"/>
  <c r="J1572" i="1"/>
  <c r="L1572" i="1" s="1"/>
  <c r="J1573" i="1"/>
  <c r="L1573" i="1" s="1"/>
  <c r="J1574" i="1"/>
  <c r="L1574" i="1" s="1"/>
  <c r="J1575" i="1"/>
  <c r="L1575" i="1" s="1"/>
  <c r="J1576" i="1"/>
  <c r="L1576" i="1" s="1"/>
  <c r="J1577" i="1"/>
  <c r="L1577" i="1" s="1"/>
  <c r="J1578" i="1"/>
  <c r="L1578" i="1" s="1"/>
  <c r="J1579" i="1"/>
  <c r="L1579" i="1" s="1"/>
  <c r="J1580" i="1"/>
  <c r="L1580" i="1" s="1"/>
  <c r="J1581" i="1"/>
  <c r="L1581" i="1" s="1"/>
  <c r="J1582" i="1"/>
  <c r="L1582" i="1" s="1"/>
  <c r="J1583" i="1"/>
  <c r="L1583" i="1" s="1"/>
  <c r="J1584" i="1"/>
  <c r="L1584" i="1" s="1"/>
  <c r="J1585" i="1"/>
  <c r="L1585" i="1" s="1"/>
  <c r="J1586" i="1"/>
  <c r="L1586" i="1" s="1"/>
  <c r="J1587" i="1"/>
  <c r="L1587" i="1" s="1"/>
  <c r="J1588" i="1"/>
  <c r="L1588" i="1" s="1"/>
  <c r="J1589" i="1"/>
  <c r="L1589" i="1" s="1"/>
  <c r="J1590" i="1"/>
  <c r="L1590" i="1" s="1"/>
  <c r="J1591" i="1"/>
  <c r="L1591" i="1" s="1"/>
  <c r="J1592" i="1"/>
  <c r="L1592" i="1" s="1"/>
  <c r="J1593" i="1"/>
  <c r="L1593" i="1" s="1"/>
  <c r="J1594" i="1"/>
  <c r="L1594" i="1" s="1"/>
  <c r="J1595" i="1"/>
  <c r="L1595" i="1" s="1"/>
  <c r="J1596" i="1"/>
  <c r="L1596" i="1" s="1"/>
  <c r="J1597" i="1"/>
  <c r="L1597" i="1" s="1"/>
  <c r="J1598" i="1"/>
  <c r="L1598" i="1" s="1"/>
  <c r="J1599" i="1"/>
  <c r="L1599" i="1" s="1"/>
  <c r="J1600" i="1"/>
  <c r="L1600" i="1" s="1"/>
  <c r="J1601" i="1"/>
  <c r="L1601" i="1" s="1"/>
  <c r="J1602" i="1"/>
  <c r="L1602" i="1" s="1"/>
  <c r="J1603" i="1"/>
  <c r="L1603" i="1" s="1"/>
  <c r="J1604" i="1"/>
  <c r="L1604" i="1" s="1"/>
  <c r="J1605" i="1"/>
  <c r="L1605" i="1" s="1"/>
  <c r="J1606" i="1"/>
  <c r="L1606" i="1" s="1"/>
  <c r="J1607" i="1"/>
  <c r="L1607" i="1" s="1"/>
  <c r="J1608" i="1"/>
  <c r="L1608" i="1" s="1"/>
  <c r="J1609" i="1"/>
  <c r="L1609" i="1" s="1"/>
  <c r="J1610" i="1"/>
  <c r="L1610" i="1" s="1"/>
  <c r="J1611" i="1"/>
  <c r="L1611" i="1" s="1"/>
  <c r="J1612" i="1"/>
  <c r="L1612" i="1" s="1"/>
  <c r="J1613" i="1"/>
  <c r="L1613" i="1" s="1"/>
  <c r="J1614" i="1"/>
  <c r="L1614" i="1" s="1"/>
  <c r="J1615" i="1"/>
  <c r="L1615" i="1" s="1"/>
  <c r="J1616" i="1"/>
  <c r="L1616" i="1" s="1"/>
  <c r="J1617" i="1"/>
  <c r="L1617" i="1" s="1"/>
  <c r="J1618" i="1"/>
  <c r="L1618" i="1" s="1"/>
  <c r="J1619" i="1"/>
  <c r="L1619" i="1" s="1"/>
  <c r="J1620" i="1"/>
  <c r="L1620" i="1" s="1"/>
  <c r="J1621" i="1"/>
  <c r="L1621" i="1" s="1"/>
  <c r="J1622" i="1"/>
  <c r="L1622" i="1" s="1"/>
  <c r="J1623" i="1"/>
  <c r="L1623" i="1" s="1"/>
  <c r="J1624" i="1"/>
  <c r="L1624" i="1" s="1"/>
  <c r="J1625" i="1"/>
  <c r="L1625" i="1" s="1"/>
  <c r="J1626" i="1"/>
  <c r="L1626" i="1" s="1"/>
  <c r="J1627" i="1"/>
  <c r="L1627" i="1" s="1"/>
  <c r="J1628" i="1"/>
  <c r="L1628" i="1" s="1"/>
  <c r="J1629" i="1"/>
  <c r="L1629" i="1" s="1"/>
  <c r="J1630" i="1"/>
  <c r="L1630" i="1" s="1"/>
  <c r="J1631" i="1"/>
  <c r="L1631" i="1" s="1"/>
  <c r="J1632" i="1"/>
  <c r="L1632" i="1" s="1"/>
  <c r="J1633" i="1"/>
  <c r="L1633" i="1" s="1"/>
  <c r="J1634" i="1"/>
  <c r="L1634" i="1" s="1"/>
  <c r="J1635" i="1"/>
  <c r="L1635" i="1" s="1"/>
  <c r="J1636" i="1"/>
  <c r="L1636" i="1" s="1"/>
  <c r="J1637" i="1"/>
  <c r="L1637" i="1" s="1"/>
  <c r="J1638" i="1"/>
  <c r="L1638" i="1" s="1"/>
  <c r="J1639" i="1"/>
  <c r="L1639" i="1" s="1"/>
  <c r="J1640" i="1"/>
  <c r="L1640" i="1" s="1"/>
  <c r="J1641" i="1"/>
  <c r="L1641" i="1" s="1"/>
  <c r="J1642" i="1"/>
  <c r="L1642" i="1" s="1"/>
  <c r="J1643" i="1"/>
  <c r="L1643" i="1" s="1"/>
  <c r="J1644" i="1"/>
  <c r="L1644" i="1" s="1"/>
  <c r="J1645" i="1"/>
  <c r="L1645" i="1" s="1"/>
  <c r="J1646" i="1"/>
  <c r="L1646" i="1" s="1"/>
  <c r="J1647" i="1"/>
  <c r="L1647" i="1" s="1"/>
  <c r="J1648" i="1"/>
  <c r="L1648" i="1" s="1"/>
  <c r="J1649" i="1"/>
  <c r="L1649" i="1" s="1"/>
  <c r="J1650" i="1"/>
  <c r="L1650" i="1" s="1"/>
  <c r="J1651" i="1"/>
  <c r="L1651" i="1" s="1"/>
  <c r="J1652" i="1"/>
  <c r="L1652" i="1" s="1"/>
  <c r="J1653" i="1"/>
  <c r="L1653" i="1" s="1"/>
  <c r="J1654" i="1"/>
  <c r="L1654" i="1" s="1"/>
  <c r="J1655" i="1"/>
  <c r="L1655" i="1" s="1"/>
  <c r="J1656" i="1"/>
  <c r="L1656" i="1" s="1"/>
  <c r="J1657" i="1"/>
  <c r="L1657" i="1" s="1"/>
  <c r="J1658" i="1"/>
  <c r="L1658" i="1" s="1"/>
  <c r="J1659" i="1"/>
  <c r="L1659" i="1" s="1"/>
  <c r="J1660" i="1"/>
  <c r="L1660" i="1" s="1"/>
  <c r="J1661" i="1"/>
  <c r="L1661" i="1" s="1"/>
  <c r="J1662" i="1"/>
  <c r="L1662" i="1" s="1"/>
  <c r="J1663" i="1"/>
  <c r="L1663" i="1" s="1"/>
  <c r="J1664" i="1"/>
  <c r="L1664" i="1" s="1"/>
  <c r="J1665" i="1"/>
  <c r="L1665" i="1" s="1"/>
  <c r="J1666" i="1"/>
  <c r="L1666" i="1" s="1"/>
  <c r="J1667" i="1"/>
  <c r="L1667" i="1" s="1"/>
  <c r="J1668" i="1"/>
  <c r="L1668" i="1" s="1"/>
  <c r="J1669" i="1"/>
  <c r="L1669" i="1" s="1"/>
  <c r="J1670" i="1"/>
  <c r="L1670" i="1" s="1"/>
  <c r="J1671" i="1"/>
  <c r="L1671" i="1" s="1"/>
  <c r="J1672" i="1"/>
  <c r="L1672" i="1" s="1"/>
  <c r="J1673" i="1"/>
  <c r="L1673" i="1" s="1"/>
  <c r="J1674" i="1"/>
  <c r="L1674" i="1" s="1"/>
  <c r="J1675" i="1"/>
  <c r="L1675" i="1" s="1"/>
  <c r="J1676" i="1"/>
  <c r="L1676" i="1" s="1"/>
  <c r="J1677" i="1"/>
  <c r="L1677" i="1" s="1"/>
  <c r="J1678" i="1"/>
  <c r="L1678" i="1" s="1"/>
  <c r="J1679" i="1"/>
  <c r="L1679" i="1" s="1"/>
  <c r="J1680" i="1"/>
  <c r="L1680" i="1" s="1"/>
  <c r="J1681" i="1"/>
  <c r="L1681" i="1" s="1"/>
  <c r="J1682" i="1"/>
  <c r="L1682" i="1" s="1"/>
  <c r="J1683" i="1"/>
  <c r="L1683" i="1" s="1"/>
  <c r="J1684" i="1"/>
  <c r="L1684" i="1" s="1"/>
  <c r="J1685" i="1"/>
  <c r="L1685" i="1" s="1"/>
  <c r="J1686" i="1"/>
  <c r="L1686" i="1" s="1"/>
  <c r="J1687" i="1"/>
  <c r="L1687" i="1" s="1"/>
  <c r="J1688" i="1"/>
  <c r="L1688" i="1" s="1"/>
  <c r="J1689" i="1"/>
  <c r="L1689" i="1" s="1"/>
  <c r="J1690" i="1"/>
  <c r="L1690" i="1" s="1"/>
  <c r="J1691" i="1"/>
  <c r="L1691" i="1" s="1"/>
  <c r="J1692" i="1"/>
  <c r="L1692" i="1" s="1"/>
  <c r="J1693" i="1"/>
  <c r="L1693" i="1" s="1"/>
  <c r="J1694" i="1"/>
  <c r="L1694" i="1" s="1"/>
  <c r="J1695" i="1"/>
  <c r="L1695" i="1" s="1"/>
  <c r="J1696" i="1"/>
  <c r="L1696" i="1" s="1"/>
  <c r="J1697" i="1"/>
  <c r="L1697" i="1" s="1"/>
  <c r="J1698" i="1"/>
  <c r="L1698" i="1" s="1"/>
  <c r="J1699" i="1"/>
  <c r="L1699" i="1" s="1"/>
  <c r="J1700" i="1"/>
  <c r="L1700" i="1" s="1"/>
  <c r="J1701" i="1"/>
  <c r="L1701" i="1" s="1"/>
  <c r="J1702" i="1"/>
  <c r="L1702" i="1" s="1"/>
  <c r="J1703" i="1"/>
  <c r="L1703" i="1" s="1"/>
  <c r="J1704" i="1"/>
  <c r="L1704" i="1" s="1"/>
  <c r="J1705" i="1"/>
  <c r="L1705" i="1" s="1"/>
  <c r="J1706" i="1"/>
  <c r="L1706" i="1" s="1"/>
  <c r="J1707" i="1"/>
  <c r="L1707" i="1" s="1"/>
  <c r="J1708" i="1"/>
  <c r="L1708" i="1" s="1"/>
  <c r="J1709" i="1"/>
  <c r="L1709" i="1" s="1"/>
  <c r="J1710" i="1"/>
  <c r="L1710" i="1" s="1"/>
  <c r="J1711" i="1"/>
  <c r="L1711" i="1" s="1"/>
  <c r="J1712" i="1"/>
  <c r="L1712" i="1" s="1"/>
  <c r="J1713" i="1"/>
  <c r="L1713" i="1" s="1"/>
  <c r="J1714" i="1"/>
  <c r="L1714" i="1" s="1"/>
  <c r="J1715" i="1"/>
  <c r="L1715" i="1" s="1"/>
  <c r="J1716" i="1"/>
  <c r="L1716" i="1" s="1"/>
  <c r="J1717" i="1"/>
  <c r="L1717" i="1" s="1"/>
  <c r="J1718" i="1"/>
  <c r="L1718" i="1" s="1"/>
  <c r="J1719" i="1"/>
  <c r="L1719" i="1" s="1"/>
  <c r="J1720" i="1"/>
  <c r="L1720" i="1" s="1"/>
  <c r="J1721" i="1"/>
  <c r="L1721" i="1" s="1"/>
  <c r="J1722" i="1"/>
  <c r="L1722" i="1" s="1"/>
  <c r="J1723" i="1"/>
  <c r="L1723" i="1" s="1"/>
  <c r="J1724" i="1"/>
  <c r="L1724" i="1" s="1"/>
  <c r="J1725" i="1"/>
  <c r="L1725" i="1" s="1"/>
  <c r="J1726" i="1"/>
  <c r="L1726" i="1" s="1"/>
  <c r="J1727" i="1"/>
  <c r="L1727" i="1" s="1"/>
  <c r="J1728" i="1"/>
  <c r="L1728" i="1" s="1"/>
  <c r="J1729" i="1"/>
  <c r="L1729" i="1" s="1"/>
  <c r="J1730" i="1"/>
  <c r="L1730" i="1" s="1"/>
  <c r="J1731" i="1"/>
  <c r="L1731" i="1" s="1"/>
  <c r="J1732" i="1"/>
  <c r="L1732" i="1" s="1"/>
  <c r="J1733" i="1"/>
  <c r="L1733" i="1" s="1"/>
  <c r="J1734" i="1"/>
  <c r="L1734" i="1" s="1"/>
  <c r="J1735" i="1"/>
  <c r="L1735" i="1" s="1"/>
  <c r="J1736" i="1"/>
  <c r="L1736" i="1" s="1"/>
  <c r="J1737" i="1"/>
  <c r="L1737" i="1" s="1"/>
  <c r="J1738" i="1"/>
  <c r="L1738" i="1" s="1"/>
  <c r="J1739" i="1"/>
  <c r="L1739" i="1" s="1"/>
  <c r="J1740" i="1"/>
  <c r="L1740" i="1" s="1"/>
  <c r="J1741" i="1"/>
  <c r="L1741" i="1" s="1"/>
  <c r="J1742" i="1"/>
  <c r="L1742" i="1" s="1"/>
  <c r="J1743" i="1"/>
  <c r="L1743" i="1" s="1"/>
  <c r="J1744" i="1"/>
  <c r="L1744" i="1" s="1"/>
  <c r="J1745" i="1"/>
  <c r="L1745" i="1" s="1"/>
  <c r="J1746" i="1"/>
  <c r="L1746" i="1" s="1"/>
  <c r="J1747" i="1"/>
  <c r="L1747" i="1" s="1"/>
  <c r="J1748" i="1"/>
  <c r="L1748" i="1" s="1"/>
  <c r="J1749" i="1"/>
  <c r="L1749" i="1" s="1"/>
  <c r="J1750" i="1"/>
  <c r="L1750" i="1" s="1"/>
  <c r="J1751" i="1"/>
  <c r="L1751" i="1" s="1"/>
  <c r="J1752" i="1"/>
  <c r="L1752" i="1" s="1"/>
  <c r="J1753" i="1"/>
  <c r="L1753" i="1" s="1"/>
  <c r="J1754" i="1"/>
  <c r="L1754" i="1" s="1"/>
  <c r="J1755" i="1"/>
  <c r="L1755" i="1" s="1"/>
  <c r="J1756" i="1"/>
  <c r="L1756" i="1" s="1"/>
  <c r="J1757" i="1"/>
  <c r="L1757" i="1" s="1"/>
  <c r="J1758" i="1"/>
  <c r="L1758" i="1" s="1"/>
  <c r="J1759" i="1"/>
  <c r="L1759" i="1" s="1"/>
  <c r="J1760" i="1"/>
  <c r="L1760" i="1" s="1"/>
  <c r="J1761" i="1"/>
  <c r="L1761" i="1" s="1"/>
  <c r="J1762" i="1"/>
  <c r="L1762" i="1" s="1"/>
  <c r="J1763" i="1"/>
  <c r="L1763" i="1" s="1"/>
  <c r="J1764" i="1"/>
  <c r="L1764" i="1" s="1"/>
  <c r="J1765" i="1"/>
  <c r="L1765" i="1" s="1"/>
  <c r="J1766" i="1"/>
  <c r="L1766" i="1" s="1"/>
  <c r="J1767" i="1"/>
  <c r="L1767" i="1" s="1"/>
  <c r="J1768" i="1"/>
  <c r="L1768" i="1" s="1"/>
  <c r="J1769" i="1"/>
  <c r="L1769" i="1" s="1"/>
  <c r="J1770" i="1"/>
  <c r="L1770" i="1" s="1"/>
  <c r="J1771" i="1"/>
  <c r="L1771" i="1" s="1"/>
  <c r="J1772" i="1"/>
  <c r="L1772" i="1" s="1"/>
  <c r="J1773" i="1"/>
  <c r="L1773" i="1" s="1"/>
  <c r="J1774" i="1"/>
  <c r="L1774" i="1" s="1"/>
  <c r="J1775" i="1"/>
  <c r="L1775" i="1" s="1"/>
  <c r="J1776" i="1"/>
  <c r="L1776" i="1" s="1"/>
  <c r="J1777" i="1"/>
  <c r="L1777" i="1" s="1"/>
  <c r="J1778" i="1"/>
  <c r="L1778" i="1" s="1"/>
  <c r="J1779" i="1"/>
  <c r="L1779" i="1" s="1"/>
  <c r="J1780" i="1"/>
  <c r="L1780" i="1" s="1"/>
  <c r="J1781" i="1"/>
  <c r="L1781" i="1" s="1"/>
  <c r="J1782" i="1"/>
  <c r="L1782" i="1" s="1"/>
  <c r="J1783" i="1"/>
  <c r="L1783" i="1" s="1"/>
  <c r="J1784" i="1"/>
  <c r="L1784" i="1" s="1"/>
  <c r="J1785" i="1"/>
  <c r="L1785" i="1" s="1"/>
  <c r="J1786" i="1"/>
  <c r="L1786" i="1" s="1"/>
  <c r="J1787" i="1"/>
  <c r="L1787" i="1" s="1"/>
  <c r="J1788" i="1"/>
  <c r="L1788" i="1" s="1"/>
  <c r="J1789" i="1"/>
  <c r="L1789" i="1" s="1"/>
  <c r="J1790" i="1"/>
  <c r="L1790" i="1" s="1"/>
  <c r="J1791" i="1"/>
  <c r="L1791" i="1" s="1"/>
  <c r="J1792" i="1"/>
  <c r="L1792" i="1" s="1"/>
  <c r="J1793" i="1"/>
  <c r="L1793" i="1" s="1"/>
  <c r="J1794" i="1"/>
  <c r="L1794" i="1" s="1"/>
  <c r="J1795" i="1"/>
  <c r="L1795" i="1" s="1"/>
  <c r="J1796" i="1"/>
  <c r="L1796" i="1" s="1"/>
  <c r="J1797" i="1"/>
  <c r="L1797" i="1" s="1"/>
  <c r="J1798" i="1"/>
  <c r="L1798" i="1" s="1"/>
  <c r="J1799" i="1"/>
  <c r="L1799" i="1" s="1"/>
  <c r="J1800" i="1"/>
  <c r="L1800" i="1" s="1"/>
  <c r="J1801" i="1"/>
  <c r="L1801" i="1" s="1"/>
  <c r="J1802" i="1"/>
  <c r="L1802" i="1" s="1"/>
  <c r="J1803" i="1"/>
  <c r="L1803" i="1" s="1"/>
  <c r="J1804" i="1"/>
  <c r="L1804" i="1" s="1"/>
  <c r="J1805" i="1"/>
  <c r="L1805" i="1" s="1"/>
  <c r="J1806" i="1"/>
  <c r="L1806" i="1" s="1"/>
  <c r="J1807" i="1"/>
  <c r="L1807" i="1" s="1"/>
  <c r="J1808" i="1"/>
  <c r="L1808" i="1" s="1"/>
  <c r="J1809" i="1"/>
  <c r="L1809" i="1" s="1"/>
  <c r="J1810" i="1"/>
  <c r="L1810" i="1" s="1"/>
  <c r="J1811" i="1"/>
  <c r="L1811" i="1" s="1"/>
  <c r="J1812" i="1"/>
  <c r="L1812" i="1" s="1"/>
  <c r="J1813" i="1"/>
  <c r="L1813" i="1" s="1"/>
  <c r="J1814" i="1"/>
  <c r="L1814" i="1" s="1"/>
  <c r="J1815" i="1"/>
  <c r="L1815" i="1" s="1"/>
  <c r="J1816" i="1"/>
  <c r="L1816" i="1" s="1"/>
  <c r="J1817" i="1"/>
  <c r="L1817" i="1" s="1"/>
  <c r="J1818" i="1"/>
  <c r="L1818" i="1" s="1"/>
  <c r="J1819" i="1"/>
  <c r="L1819" i="1" s="1"/>
  <c r="J1820" i="1"/>
  <c r="L1820" i="1" s="1"/>
  <c r="J1821" i="1"/>
  <c r="L1821" i="1" s="1"/>
  <c r="J1822" i="1"/>
  <c r="L1822" i="1" s="1"/>
  <c r="J1823" i="1"/>
  <c r="L1823" i="1" s="1"/>
  <c r="J1824" i="1"/>
  <c r="L1824" i="1" s="1"/>
  <c r="J1825" i="1"/>
  <c r="L1825" i="1" s="1"/>
  <c r="J1826" i="1"/>
  <c r="L1826" i="1" s="1"/>
  <c r="J1827" i="1"/>
  <c r="L1827" i="1" s="1"/>
  <c r="J1828" i="1"/>
  <c r="L1828" i="1" s="1"/>
  <c r="J1829" i="1"/>
  <c r="L1829" i="1" s="1"/>
  <c r="J1830" i="1"/>
  <c r="L1830" i="1" s="1"/>
  <c r="J1831" i="1"/>
  <c r="L1831" i="1" s="1"/>
  <c r="J1832" i="1"/>
  <c r="L1832" i="1" s="1"/>
  <c r="J1833" i="1"/>
  <c r="L1833" i="1" s="1"/>
  <c r="J1834" i="1"/>
  <c r="L1834" i="1" s="1"/>
  <c r="J1835" i="1"/>
  <c r="L1835" i="1" s="1"/>
  <c r="J1836" i="1"/>
  <c r="L1836" i="1" s="1"/>
  <c r="J1837" i="1"/>
  <c r="L1837" i="1" s="1"/>
  <c r="J1838" i="1"/>
  <c r="L1838" i="1" s="1"/>
  <c r="J1839" i="1"/>
  <c r="L1839" i="1" s="1"/>
  <c r="J1840" i="1"/>
  <c r="L1840" i="1" s="1"/>
  <c r="J1841" i="1"/>
  <c r="L1841" i="1" s="1"/>
  <c r="J1842" i="1"/>
  <c r="L1842" i="1" s="1"/>
  <c r="J1843" i="1"/>
  <c r="L1843" i="1" s="1"/>
  <c r="J1844" i="1"/>
  <c r="L1844" i="1" s="1"/>
  <c r="J1845" i="1"/>
  <c r="L1845" i="1" s="1"/>
  <c r="J1846" i="1"/>
  <c r="L1846" i="1" s="1"/>
  <c r="J1847" i="1"/>
  <c r="L1847" i="1" s="1"/>
  <c r="J1848" i="1"/>
  <c r="L1848" i="1" s="1"/>
  <c r="J1849" i="1"/>
  <c r="L1849" i="1" s="1"/>
  <c r="J1850" i="1"/>
  <c r="L1850" i="1" s="1"/>
  <c r="J1851" i="1"/>
  <c r="L1851" i="1" s="1"/>
  <c r="J1852" i="1"/>
  <c r="L1852" i="1" s="1"/>
  <c r="J1853" i="1"/>
  <c r="L1853" i="1" s="1"/>
  <c r="J1854" i="1"/>
  <c r="L1854" i="1" s="1"/>
  <c r="J1855" i="1"/>
  <c r="L1855" i="1" s="1"/>
  <c r="J1856" i="1"/>
  <c r="L1856" i="1" s="1"/>
  <c r="J1857" i="1"/>
  <c r="L1857" i="1" s="1"/>
  <c r="J1858" i="1"/>
  <c r="L1858" i="1" s="1"/>
  <c r="J1859" i="1"/>
  <c r="L1859" i="1" s="1"/>
  <c r="J1860" i="1"/>
  <c r="L1860" i="1" s="1"/>
  <c r="J1861" i="1"/>
  <c r="L1861" i="1" s="1"/>
  <c r="J1862" i="1"/>
  <c r="L1862" i="1" s="1"/>
  <c r="J1863" i="1"/>
  <c r="L1863" i="1" s="1"/>
  <c r="J1864" i="1"/>
  <c r="L1864" i="1" s="1"/>
  <c r="J1865" i="1"/>
  <c r="L1865" i="1" s="1"/>
  <c r="J1866" i="1"/>
  <c r="L1866" i="1" s="1"/>
  <c r="J1867" i="1"/>
  <c r="L1867" i="1" s="1"/>
  <c r="J1868" i="1"/>
  <c r="L1868" i="1" s="1"/>
  <c r="J1869" i="1"/>
  <c r="L1869" i="1" s="1"/>
  <c r="J1870" i="1"/>
  <c r="L1870" i="1" s="1"/>
  <c r="J1871" i="1"/>
  <c r="L1871" i="1" s="1"/>
  <c r="J1872" i="1"/>
  <c r="L1872" i="1" s="1"/>
  <c r="J1873" i="1"/>
  <c r="L1873" i="1" s="1"/>
  <c r="J1874" i="1"/>
  <c r="L1874" i="1" s="1"/>
  <c r="J1875" i="1"/>
  <c r="L1875" i="1" s="1"/>
  <c r="J1876" i="1"/>
  <c r="L1876" i="1" s="1"/>
  <c r="J1877" i="1"/>
  <c r="L1877" i="1" s="1"/>
  <c r="J1878" i="1"/>
  <c r="L1878" i="1" s="1"/>
  <c r="J1879" i="1"/>
  <c r="L1879" i="1" s="1"/>
  <c r="J1880" i="1"/>
  <c r="L1880" i="1" s="1"/>
  <c r="J1881" i="1"/>
  <c r="L1881" i="1" s="1"/>
  <c r="J1882" i="1"/>
  <c r="L1882" i="1" s="1"/>
  <c r="J1883" i="1"/>
  <c r="L1883" i="1" s="1"/>
  <c r="J1884" i="1"/>
  <c r="L1884" i="1" s="1"/>
  <c r="J1885" i="1"/>
  <c r="L1885" i="1" s="1"/>
  <c r="J1886" i="1"/>
  <c r="L1886" i="1" s="1"/>
  <c r="J1887" i="1"/>
  <c r="L1887" i="1" s="1"/>
  <c r="J1888" i="1"/>
  <c r="L1888" i="1" s="1"/>
  <c r="J1889" i="1"/>
  <c r="L1889" i="1" s="1"/>
  <c r="J1890" i="1"/>
  <c r="L1890" i="1" s="1"/>
  <c r="J1891" i="1"/>
  <c r="L1891" i="1" s="1"/>
  <c r="J1892" i="1"/>
  <c r="L1892" i="1" s="1"/>
  <c r="J1893" i="1"/>
  <c r="L1893" i="1" s="1"/>
  <c r="J1894" i="1"/>
  <c r="L1894" i="1" s="1"/>
  <c r="J1895" i="1"/>
  <c r="L1895" i="1" s="1"/>
  <c r="J1896" i="1"/>
  <c r="L1896" i="1" s="1"/>
  <c r="J1897" i="1"/>
  <c r="L1897" i="1" s="1"/>
  <c r="J1898" i="1"/>
  <c r="L1898" i="1" s="1"/>
  <c r="J1899" i="1"/>
  <c r="L1899" i="1" s="1"/>
  <c r="J1900" i="1"/>
  <c r="L1900" i="1" s="1"/>
  <c r="J1901" i="1"/>
  <c r="L1901" i="1" s="1"/>
  <c r="J1902" i="1"/>
  <c r="L1902" i="1" s="1"/>
  <c r="J1903" i="1"/>
  <c r="L1903" i="1" s="1"/>
  <c r="J1904" i="1"/>
  <c r="L1904" i="1" s="1"/>
  <c r="J1905" i="1"/>
  <c r="L1905" i="1" s="1"/>
  <c r="J1906" i="1"/>
  <c r="L1906" i="1" s="1"/>
  <c r="J1907" i="1"/>
  <c r="L1907" i="1" s="1"/>
  <c r="J1908" i="1"/>
  <c r="L1908" i="1" s="1"/>
  <c r="J1909" i="1"/>
  <c r="L1909" i="1" s="1"/>
  <c r="J1910" i="1"/>
  <c r="L1910" i="1" s="1"/>
  <c r="J1911" i="1"/>
  <c r="L1911" i="1" s="1"/>
  <c r="J1912" i="1"/>
  <c r="L1912" i="1" s="1"/>
  <c r="J1913" i="1"/>
  <c r="L1913" i="1" s="1"/>
  <c r="J1914" i="1"/>
  <c r="L1914" i="1" s="1"/>
  <c r="J1915" i="1"/>
  <c r="L1915" i="1" s="1"/>
  <c r="J1916" i="1"/>
  <c r="L1916" i="1" s="1"/>
  <c r="J1917" i="1"/>
  <c r="L1917" i="1" s="1"/>
  <c r="J1918" i="1"/>
  <c r="L1918" i="1" s="1"/>
  <c r="J1919" i="1"/>
  <c r="L1919" i="1" s="1"/>
  <c r="J1920" i="1"/>
  <c r="L1920" i="1" s="1"/>
  <c r="J1921" i="1"/>
  <c r="L1921" i="1" s="1"/>
  <c r="J1922" i="1"/>
  <c r="L1922" i="1" s="1"/>
  <c r="J1923" i="1"/>
  <c r="L1923" i="1" s="1"/>
  <c r="J1924" i="1"/>
  <c r="L1924" i="1" s="1"/>
  <c r="J1925" i="1"/>
  <c r="L1925" i="1" s="1"/>
  <c r="J1926" i="1"/>
  <c r="L1926" i="1" s="1"/>
  <c r="J1927" i="1"/>
  <c r="L1927" i="1" s="1"/>
  <c r="J1928" i="1"/>
  <c r="L1928" i="1" s="1"/>
  <c r="J1929" i="1"/>
  <c r="L1929" i="1" s="1"/>
  <c r="J1930" i="1"/>
  <c r="L1930" i="1" s="1"/>
  <c r="J1931" i="1"/>
  <c r="L1931" i="1" s="1"/>
  <c r="J1932" i="1"/>
  <c r="L1932" i="1" s="1"/>
  <c r="J1933" i="1"/>
  <c r="L1933" i="1" s="1"/>
  <c r="J1934" i="1"/>
  <c r="L1934" i="1" s="1"/>
  <c r="J1935" i="1"/>
  <c r="L1935" i="1" s="1"/>
  <c r="J1936" i="1"/>
  <c r="L1936" i="1" s="1"/>
  <c r="J1937" i="1"/>
  <c r="L1937" i="1" s="1"/>
  <c r="J1938" i="1"/>
  <c r="L1938" i="1" s="1"/>
  <c r="J1939" i="1"/>
  <c r="L1939" i="1" s="1"/>
  <c r="J1940" i="1"/>
  <c r="L1940" i="1" s="1"/>
  <c r="J1941" i="1"/>
  <c r="L1941" i="1" s="1"/>
  <c r="J1942" i="1"/>
  <c r="L1942" i="1" s="1"/>
  <c r="J1943" i="1"/>
  <c r="L1943" i="1" s="1"/>
  <c r="J1944" i="1"/>
  <c r="L1944" i="1" s="1"/>
  <c r="J1945" i="1"/>
  <c r="L1945" i="1" s="1"/>
  <c r="J1946" i="1"/>
  <c r="L1946" i="1" s="1"/>
  <c r="J1947" i="1"/>
  <c r="L1947" i="1" s="1"/>
  <c r="J1948" i="1"/>
  <c r="L1948" i="1" s="1"/>
  <c r="J1949" i="1"/>
  <c r="L1949" i="1" s="1"/>
  <c r="J1950" i="1"/>
  <c r="L1950" i="1" s="1"/>
  <c r="J1951" i="1"/>
  <c r="L1951" i="1" s="1"/>
  <c r="J1952" i="1"/>
  <c r="L1952" i="1" s="1"/>
  <c r="J1953" i="1"/>
  <c r="L1953" i="1" s="1"/>
  <c r="J1954" i="1"/>
  <c r="L1954" i="1" s="1"/>
  <c r="J1955" i="1"/>
  <c r="L1955" i="1" s="1"/>
  <c r="J1956" i="1"/>
  <c r="L1956" i="1" s="1"/>
  <c r="J1957" i="1"/>
  <c r="L1957" i="1" s="1"/>
  <c r="J1958" i="1"/>
  <c r="L1958" i="1" s="1"/>
  <c r="J1959" i="1"/>
  <c r="L1959" i="1" s="1"/>
  <c r="J1960" i="1"/>
  <c r="L1960" i="1" s="1"/>
  <c r="J1961" i="1"/>
  <c r="L1961" i="1" s="1"/>
  <c r="J1962" i="1"/>
  <c r="L1962" i="1" s="1"/>
  <c r="J1963" i="1"/>
  <c r="L1963" i="1" s="1"/>
  <c r="J1964" i="1"/>
  <c r="L1964" i="1" s="1"/>
  <c r="J1965" i="1"/>
  <c r="L1965" i="1" s="1"/>
  <c r="J1966" i="1"/>
  <c r="L1966" i="1" s="1"/>
  <c r="J1967" i="1"/>
  <c r="L1967" i="1" s="1"/>
  <c r="J1968" i="1"/>
  <c r="L1968" i="1" s="1"/>
  <c r="J1969" i="1"/>
  <c r="L1969" i="1" s="1"/>
  <c r="J1970" i="1"/>
  <c r="L1970" i="1" s="1"/>
  <c r="J1971" i="1"/>
  <c r="L1971" i="1" s="1"/>
  <c r="J1972" i="1"/>
  <c r="L1972" i="1" s="1"/>
  <c r="J1973" i="1"/>
  <c r="L1973" i="1" s="1"/>
  <c r="J1974" i="1"/>
  <c r="L1974" i="1" s="1"/>
  <c r="J1975" i="1"/>
  <c r="L1975" i="1" s="1"/>
  <c r="J1976" i="1"/>
  <c r="L1976" i="1" s="1"/>
  <c r="J1977" i="1"/>
  <c r="L1977" i="1" s="1"/>
  <c r="J1978" i="1"/>
  <c r="L1978" i="1" s="1"/>
  <c r="J1979" i="1"/>
  <c r="L1979" i="1" s="1"/>
  <c r="J1980" i="1"/>
  <c r="L1980" i="1" s="1"/>
  <c r="J1981" i="1"/>
  <c r="L1981" i="1" s="1"/>
  <c r="J1982" i="1"/>
  <c r="L1982" i="1" s="1"/>
  <c r="J1983" i="1"/>
  <c r="L1983" i="1" s="1"/>
  <c r="J1984" i="1"/>
  <c r="L1984" i="1" s="1"/>
  <c r="J1985" i="1"/>
  <c r="L1985" i="1" s="1"/>
  <c r="J1986" i="1"/>
  <c r="L1986" i="1" s="1"/>
  <c r="J1987" i="1"/>
  <c r="L1987" i="1" s="1"/>
  <c r="J1988" i="1"/>
  <c r="L1988" i="1" s="1"/>
  <c r="J1989" i="1"/>
  <c r="L1989" i="1" s="1"/>
  <c r="J1990" i="1"/>
  <c r="L1990" i="1" s="1"/>
  <c r="J1991" i="1"/>
  <c r="L1991" i="1" s="1"/>
  <c r="J1992" i="1"/>
  <c r="L1992" i="1" s="1"/>
  <c r="J1993" i="1"/>
  <c r="L1993" i="1" s="1"/>
  <c r="J1994" i="1"/>
  <c r="L1994" i="1" s="1"/>
  <c r="J1995" i="1"/>
  <c r="L1995" i="1" s="1"/>
  <c r="J1996" i="1"/>
  <c r="L1996" i="1" s="1"/>
  <c r="J1997" i="1"/>
  <c r="L1997" i="1" s="1"/>
  <c r="J1998" i="1"/>
  <c r="L1998" i="1" s="1"/>
  <c r="J1999" i="1"/>
  <c r="L1999" i="1" s="1"/>
  <c r="J2000" i="1"/>
  <c r="L2000" i="1" s="1"/>
  <c r="J2001" i="1"/>
  <c r="L2001" i="1" s="1"/>
  <c r="J2002" i="1"/>
  <c r="L2002" i="1" s="1"/>
  <c r="J2003" i="1"/>
  <c r="L2003" i="1" s="1"/>
  <c r="J2004" i="1"/>
  <c r="L2004" i="1" s="1"/>
  <c r="J2005" i="1"/>
  <c r="L2005" i="1" s="1"/>
  <c r="J2006" i="1"/>
  <c r="L2006" i="1" s="1"/>
  <c r="J2007" i="1"/>
  <c r="L2007" i="1" s="1"/>
  <c r="J2008" i="1"/>
  <c r="L2008" i="1" s="1"/>
  <c r="J2009" i="1"/>
  <c r="L2009" i="1" s="1"/>
  <c r="J2010" i="1"/>
  <c r="L2010" i="1" s="1"/>
  <c r="J2011" i="1"/>
  <c r="L2011" i="1" s="1"/>
  <c r="J2012" i="1"/>
  <c r="L2012" i="1" s="1"/>
  <c r="J2013" i="1"/>
  <c r="L2013" i="1" s="1"/>
  <c r="J2014" i="1"/>
  <c r="L2014" i="1" s="1"/>
  <c r="J2015" i="1"/>
  <c r="L2015" i="1" s="1"/>
  <c r="J2016" i="1"/>
  <c r="L2016" i="1" s="1"/>
  <c r="J2017" i="1"/>
  <c r="L2017" i="1" s="1"/>
  <c r="J2018" i="1"/>
  <c r="L2018" i="1" s="1"/>
  <c r="J2019" i="1"/>
  <c r="L2019" i="1" s="1"/>
  <c r="J2020" i="1"/>
  <c r="L2020" i="1" s="1"/>
  <c r="J2021" i="1"/>
  <c r="L2021" i="1" s="1"/>
  <c r="J2022" i="1"/>
  <c r="L2022" i="1" s="1"/>
  <c r="J2023" i="1"/>
  <c r="L2023" i="1" s="1"/>
  <c r="J2024" i="1"/>
  <c r="L2024" i="1" s="1"/>
  <c r="J2025" i="1"/>
  <c r="L2025" i="1" s="1"/>
  <c r="J2026" i="1"/>
  <c r="L2026" i="1" s="1"/>
  <c r="J2027" i="1"/>
  <c r="L2027" i="1" s="1"/>
  <c r="J2028" i="1"/>
  <c r="L2028" i="1" s="1"/>
  <c r="J2029" i="1"/>
  <c r="L2029" i="1" s="1"/>
  <c r="J2030" i="1"/>
  <c r="L2030" i="1" s="1"/>
  <c r="J2031" i="1"/>
  <c r="L2031" i="1" s="1"/>
  <c r="J2032" i="1"/>
  <c r="L2032" i="1" s="1"/>
  <c r="J2033" i="1"/>
  <c r="L2033" i="1" s="1"/>
  <c r="J2034" i="1"/>
  <c r="L2034" i="1" s="1"/>
  <c r="J2035" i="1"/>
  <c r="L2035" i="1" s="1"/>
  <c r="J2036" i="1"/>
  <c r="L2036" i="1" s="1"/>
  <c r="J2037" i="1"/>
  <c r="L2037" i="1" s="1"/>
  <c r="J2038" i="1"/>
  <c r="L2038" i="1" s="1"/>
  <c r="J2039" i="1"/>
  <c r="L2039" i="1" s="1"/>
  <c r="J2040" i="1"/>
  <c r="L2040" i="1" s="1"/>
  <c r="J2041" i="1"/>
  <c r="L2041" i="1" s="1"/>
  <c r="J2042" i="1"/>
  <c r="L2042" i="1" s="1"/>
  <c r="J2043" i="1"/>
  <c r="L2043" i="1" s="1"/>
  <c r="J2044" i="1"/>
  <c r="L2044" i="1" s="1"/>
  <c r="J2045" i="1"/>
  <c r="L2045" i="1" s="1"/>
  <c r="J2046" i="1"/>
  <c r="L2046" i="1" s="1"/>
  <c r="J2047" i="1"/>
  <c r="L2047" i="1" s="1"/>
  <c r="J2048" i="1"/>
  <c r="L2048" i="1" s="1"/>
  <c r="J2049" i="1"/>
  <c r="L2049" i="1" s="1"/>
  <c r="J2050" i="1"/>
  <c r="L2050" i="1" s="1"/>
  <c r="J2051" i="1"/>
  <c r="L2051" i="1" s="1"/>
  <c r="J2052" i="1"/>
  <c r="L2052" i="1" s="1"/>
  <c r="J2053" i="1"/>
  <c r="L2053" i="1" s="1"/>
  <c r="J2054" i="1"/>
  <c r="L2054" i="1" s="1"/>
  <c r="J2055" i="1"/>
  <c r="L2055" i="1" s="1"/>
  <c r="J2056" i="1"/>
  <c r="L2056" i="1" s="1"/>
  <c r="J2057" i="1"/>
  <c r="L2057" i="1" s="1"/>
  <c r="J2058" i="1"/>
  <c r="L2058" i="1" s="1"/>
  <c r="J2059" i="1"/>
  <c r="L2059" i="1" s="1"/>
  <c r="J2060" i="1"/>
  <c r="L2060" i="1" s="1"/>
  <c r="J2061" i="1"/>
  <c r="L2061" i="1" s="1"/>
  <c r="J2062" i="1"/>
  <c r="L2062" i="1" s="1"/>
  <c r="J2063" i="1"/>
  <c r="L2063" i="1" s="1"/>
  <c r="J2064" i="1"/>
  <c r="L2064" i="1" s="1"/>
  <c r="J2065" i="1"/>
  <c r="L2065" i="1" s="1"/>
  <c r="J2066" i="1"/>
  <c r="L2066" i="1" s="1"/>
  <c r="J2067" i="1"/>
  <c r="L2067" i="1" s="1"/>
  <c r="J2068" i="1"/>
  <c r="L2068" i="1" s="1"/>
  <c r="J2069" i="1"/>
  <c r="L2069" i="1" s="1"/>
  <c r="J2070" i="1"/>
  <c r="L2070" i="1" s="1"/>
  <c r="J2071" i="1"/>
  <c r="L2071" i="1" s="1"/>
  <c r="J2072" i="1"/>
  <c r="L2072" i="1" s="1"/>
  <c r="J2073" i="1"/>
  <c r="L2073" i="1" s="1"/>
  <c r="J2074" i="1"/>
  <c r="L2074" i="1" s="1"/>
  <c r="J2075" i="1"/>
  <c r="L2075" i="1" s="1"/>
  <c r="J2076" i="1"/>
  <c r="L2076" i="1" s="1"/>
  <c r="J2077" i="1"/>
  <c r="L2077" i="1" s="1"/>
  <c r="J2078" i="1"/>
  <c r="L2078" i="1" s="1"/>
  <c r="J2079" i="1"/>
  <c r="L2079" i="1" s="1"/>
  <c r="J2080" i="1"/>
  <c r="L2080" i="1" s="1"/>
  <c r="J2081" i="1"/>
  <c r="L2081" i="1" s="1"/>
  <c r="J2082" i="1"/>
  <c r="L2082" i="1" s="1"/>
  <c r="J2083" i="1"/>
  <c r="L2083" i="1" s="1"/>
  <c r="J2084" i="1"/>
  <c r="L2084" i="1" s="1"/>
  <c r="J2085" i="1"/>
  <c r="L2085" i="1" s="1"/>
  <c r="J2086" i="1"/>
  <c r="L2086" i="1" s="1"/>
  <c r="J2087" i="1"/>
  <c r="L2087" i="1" s="1"/>
  <c r="J2088" i="1"/>
  <c r="L2088" i="1" s="1"/>
  <c r="J2089" i="1"/>
  <c r="L2089" i="1" s="1"/>
  <c r="J2090" i="1"/>
  <c r="L2090" i="1" s="1"/>
  <c r="J2091" i="1"/>
  <c r="L2091" i="1" s="1"/>
  <c r="J2092" i="1"/>
  <c r="L2092" i="1" s="1"/>
  <c r="J2093" i="1"/>
  <c r="L2093" i="1" s="1"/>
  <c r="J2094" i="1"/>
  <c r="L2094" i="1" s="1"/>
  <c r="J2095" i="1"/>
  <c r="L2095" i="1" s="1"/>
  <c r="J2096" i="1"/>
  <c r="L2096" i="1" s="1"/>
  <c r="J2097" i="1"/>
  <c r="L2097" i="1" s="1"/>
  <c r="J2098" i="1"/>
  <c r="L2098" i="1" s="1"/>
  <c r="J2099" i="1"/>
  <c r="L2099" i="1" s="1"/>
  <c r="J2100" i="1"/>
  <c r="L2100" i="1" s="1"/>
  <c r="J2101" i="1"/>
  <c r="L2101" i="1" s="1"/>
  <c r="J2102" i="1"/>
  <c r="L2102" i="1" s="1"/>
  <c r="J2103" i="1"/>
  <c r="L2103" i="1" s="1"/>
  <c r="J2104" i="1"/>
  <c r="L2104" i="1" s="1"/>
  <c r="J2105" i="1"/>
  <c r="L2105" i="1" s="1"/>
  <c r="J2106" i="1"/>
  <c r="L2106" i="1" s="1"/>
  <c r="J2107" i="1"/>
  <c r="L2107" i="1" s="1"/>
  <c r="J2108" i="1"/>
  <c r="L2108" i="1" s="1"/>
  <c r="J2109" i="1"/>
  <c r="L2109" i="1" s="1"/>
  <c r="J2110" i="1"/>
  <c r="L2110" i="1" s="1"/>
  <c r="J2111" i="1"/>
  <c r="L2111" i="1" s="1"/>
  <c r="J2112" i="1"/>
  <c r="L2112" i="1" s="1"/>
  <c r="J2113" i="1"/>
  <c r="L2113" i="1" s="1"/>
  <c r="J2114" i="1"/>
  <c r="L2114" i="1" s="1"/>
  <c r="J2115" i="1"/>
  <c r="L2115" i="1" s="1"/>
  <c r="J2116" i="1"/>
  <c r="L2116" i="1" s="1"/>
  <c r="J2117" i="1"/>
  <c r="L2117" i="1" s="1"/>
  <c r="J2118" i="1"/>
  <c r="L2118" i="1" s="1"/>
  <c r="J2119" i="1"/>
  <c r="L2119" i="1" s="1"/>
  <c r="J2120" i="1"/>
  <c r="L2120" i="1" s="1"/>
  <c r="J2121" i="1"/>
  <c r="L2121" i="1" s="1"/>
  <c r="J2122" i="1"/>
  <c r="L2122" i="1" s="1"/>
  <c r="J2123" i="1"/>
  <c r="L2123" i="1" s="1"/>
  <c r="J2124" i="1"/>
  <c r="L2124" i="1" s="1"/>
  <c r="J2125" i="1"/>
  <c r="L2125" i="1" s="1"/>
  <c r="J2126" i="1"/>
  <c r="L2126" i="1" s="1"/>
  <c r="J2127" i="1"/>
  <c r="L2127" i="1" s="1"/>
  <c r="J2128" i="1"/>
  <c r="L2128" i="1" s="1"/>
  <c r="J2129" i="1"/>
  <c r="L2129" i="1" s="1"/>
  <c r="J2130" i="1"/>
  <c r="L2130" i="1" s="1"/>
  <c r="J2131" i="1"/>
  <c r="L2131" i="1" s="1"/>
  <c r="J2132" i="1"/>
  <c r="L2132" i="1" s="1"/>
  <c r="J2133" i="1"/>
  <c r="L2133" i="1" s="1"/>
  <c r="J2134" i="1"/>
  <c r="L2134" i="1" s="1"/>
  <c r="J2135" i="1"/>
  <c r="L2135" i="1" s="1"/>
  <c r="J2136" i="1"/>
  <c r="L2136" i="1" s="1"/>
  <c r="J2137" i="1"/>
  <c r="L2137" i="1" s="1"/>
  <c r="J2138" i="1"/>
  <c r="L2138" i="1" s="1"/>
  <c r="J2139" i="1"/>
  <c r="L2139" i="1" s="1"/>
  <c r="J2140" i="1"/>
  <c r="L2140" i="1" s="1"/>
  <c r="J2141" i="1"/>
  <c r="L2141" i="1" s="1"/>
  <c r="J2142" i="1"/>
  <c r="L2142" i="1" s="1"/>
  <c r="J2143" i="1"/>
  <c r="L2143" i="1" s="1"/>
  <c r="J2144" i="1"/>
  <c r="L2144" i="1" s="1"/>
  <c r="J2145" i="1"/>
  <c r="L2145" i="1" s="1"/>
  <c r="J2146" i="1"/>
  <c r="L2146" i="1" s="1"/>
  <c r="J2147" i="1"/>
  <c r="L2147" i="1" s="1"/>
  <c r="J2148" i="1"/>
  <c r="L2148" i="1" s="1"/>
  <c r="J2149" i="1"/>
  <c r="L2149" i="1" s="1"/>
  <c r="J2150" i="1"/>
  <c r="L2150" i="1" s="1"/>
  <c r="J2151" i="1"/>
  <c r="L2151" i="1" s="1"/>
  <c r="J2152" i="1"/>
  <c r="L2152" i="1" s="1"/>
  <c r="J2153" i="1"/>
  <c r="L2153" i="1" s="1"/>
  <c r="J2154" i="1"/>
  <c r="L2154" i="1" s="1"/>
  <c r="J2155" i="1"/>
  <c r="L2155" i="1" s="1"/>
  <c r="J2156" i="1"/>
  <c r="L2156" i="1" s="1"/>
  <c r="J2157" i="1"/>
  <c r="L2157" i="1" s="1"/>
  <c r="J2158" i="1"/>
  <c r="L2158" i="1" s="1"/>
  <c r="J2159" i="1"/>
  <c r="L2159" i="1" s="1"/>
  <c r="J2160" i="1"/>
  <c r="L2160" i="1" s="1"/>
  <c r="J2161" i="1"/>
  <c r="L2161" i="1" s="1"/>
  <c r="J2162" i="1"/>
  <c r="L2162" i="1" s="1"/>
  <c r="J2163" i="1"/>
  <c r="L2163" i="1" s="1"/>
  <c r="J2164" i="1"/>
  <c r="L2164" i="1" s="1"/>
  <c r="J2165" i="1"/>
  <c r="L2165" i="1" s="1"/>
  <c r="J2166" i="1"/>
  <c r="L2166" i="1" s="1"/>
  <c r="J2167" i="1"/>
  <c r="L2167" i="1" s="1"/>
  <c r="J2168" i="1"/>
  <c r="L2168" i="1" s="1"/>
  <c r="J2169" i="1"/>
  <c r="L2169" i="1" s="1"/>
  <c r="J2170" i="1"/>
  <c r="L2170" i="1" s="1"/>
  <c r="J2171" i="1"/>
  <c r="L2171" i="1" s="1"/>
  <c r="J2172" i="1"/>
  <c r="L2172" i="1" s="1"/>
  <c r="J2173" i="1"/>
  <c r="L2173" i="1" s="1"/>
  <c r="J2174" i="1"/>
  <c r="L2174" i="1" s="1"/>
  <c r="J2175" i="1"/>
  <c r="L2175" i="1" s="1"/>
  <c r="J2176" i="1"/>
  <c r="L2176" i="1" s="1"/>
  <c r="J2177" i="1"/>
  <c r="L2177" i="1" s="1"/>
  <c r="J2178" i="1"/>
  <c r="L2178" i="1" s="1"/>
  <c r="J2179" i="1"/>
  <c r="L2179" i="1" s="1"/>
  <c r="J2180" i="1"/>
  <c r="L2180" i="1" s="1"/>
  <c r="J2181" i="1"/>
  <c r="L2181" i="1" s="1"/>
  <c r="J2182" i="1"/>
  <c r="L2182" i="1" s="1"/>
  <c r="J2183" i="1"/>
  <c r="L2183" i="1" s="1"/>
  <c r="J2184" i="1"/>
  <c r="L2184" i="1" s="1"/>
  <c r="J2185" i="1"/>
  <c r="L2185" i="1" s="1"/>
  <c r="J2186" i="1"/>
  <c r="L2186" i="1" s="1"/>
  <c r="J2187" i="1"/>
  <c r="L2187" i="1" s="1"/>
  <c r="J2188" i="1"/>
  <c r="L2188" i="1" s="1"/>
  <c r="J2189" i="1"/>
  <c r="L2189" i="1" s="1"/>
  <c r="J2190" i="1"/>
  <c r="L2190" i="1" s="1"/>
  <c r="J2191" i="1"/>
  <c r="L2191" i="1" s="1"/>
  <c r="J2192" i="1"/>
  <c r="L2192" i="1" s="1"/>
  <c r="J2193" i="1"/>
  <c r="L2193" i="1" s="1"/>
  <c r="J2194" i="1"/>
  <c r="L2194" i="1" s="1"/>
  <c r="J2195" i="1"/>
  <c r="L2195" i="1" s="1"/>
  <c r="J2196" i="1"/>
  <c r="L2196" i="1" s="1"/>
  <c r="J2197" i="1"/>
  <c r="L2197" i="1" s="1"/>
  <c r="J2198" i="1"/>
  <c r="L2198" i="1" s="1"/>
  <c r="J2199" i="1"/>
  <c r="L2199" i="1" s="1"/>
  <c r="J2200" i="1"/>
  <c r="L2200" i="1" s="1"/>
  <c r="J2201" i="1"/>
  <c r="L2201" i="1" s="1"/>
  <c r="J2202" i="1"/>
  <c r="L2202" i="1" s="1"/>
  <c r="J2203" i="1"/>
  <c r="L2203" i="1" s="1"/>
  <c r="J2204" i="1"/>
  <c r="L2204" i="1" s="1"/>
  <c r="J2205" i="1"/>
  <c r="L2205" i="1" s="1"/>
  <c r="J2206" i="1"/>
  <c r="L2206" i="1" s="1"/>
  <c r="J2207" i="1"/>
  <c r="L2207" i="1" s="1"/>
  <c r="J2208" i="1"/>
  <c r="L2208" i="1" s="1"/>
  <c r="J2209" i="1"/>
  <c r="L2209" i="1" s="1"/>
  <c r="J2210" i="1"/>
  <c r="L2210" i="1" s="1"/>
  <c r="J2211" i="1"/>
  <c r="L2211" i="1" s="1"/>
  <c r="J2212" i="1"/>
  <c r="L2212" i="1" s="1"/>
  <c r="J2213" i="1"/>
  <c r="L2213" i="1" s="1"/>
  <c r="J2214" i="1"/>
  <c r="L2214" i="1" s="1"/>
  <c r="J2215" i="1"/>
  <c r="L2215" i="1" s="1"/>
  <c r="J2216" i="1"/>
  <c r="L2216" i="1" s="1"/>
  <c r="J2217" i="1"/>
  <c r="L2217" i="1" s="1"/>
  <c r="J2218" i="1"/>
  <c r="L2218" i="1" s="1"/>
  <c r="J2219" i="1"/>
  <c r="L2219" i="1" s="1"/>
  <c r="J2220" i="1"/>
  <c r="L2220" i="1" s="1"/>
  <c r="J2221" i="1"/>
  <c r="L2221" i="1" s="1"/>
  <c r="J2222" i="1"/>
  <c r="L2222" i="1" s="1"/>
  <c r="J2223" i="1"/>
  <c r="L2223" i="1" s="1"/>
  <c r="J2224" i="1"/>
  <c r="L2224" i="1" s="1"/>
  <c r="J2225" i="1"/>
  <c r="L2225" i="1" s="1"/>
  <c r="J2226" i="1"/>
  <c r="L2226" i="1" s="1"/>
  <c r="J2227" i="1"/>
  <c r="L2227" i="1" s="1"/>
  <c r="J2228" i="1"/>
  <c r="L2228" i="1" s="1"/>
  <c r="J2229" i="1"/>
  <c r="L2229" i="1" s="1"/>
  <c r="J2230" i="1"/>
  <c r="L2230" i="1" s="1"/>
  <c r="J2231" i="1"/>
  <c r="L2231" i="1" s="1"/>
  <c r="J2232" i="1"/>
  <c r="L2232" i="1" s="1"/>
  <c r="J2233" i="1"/>
  <c r="L2233" i="1" s="1"/>
  <c r="J2234" i="1"/>
  <c r="L2234" i="1" s="1"/>
  <c r="J2235" i="1"/>
  <c r="L2235" i="1" s="1"/>
  <c r="J2236" i="1"/>
  <c r="L2236" i="1" s="1"/>
  <c r="J2237" i="1"/>
  <c r="L2237" i="1" s="1"/>
  <c r="J2238" i="1"/>
  <c r="L2238" i="1" s="1"/>
  <c r="J2239" i="1"/>
  <c r="L2239" i="1" s="1"/>
  <c r="J2240" i="1"/>
  <c r="L2240" i="1" s="1"/>
  <c r="J2241" i="1"/>
  <c r="L2241" i="1" s="1"/>
  <c r="J2242" i="1"/>
  <c r="L2242" i="1" s="1"/>
  <c r="J2243" i="1"/>
  <c r="L2243" i="1" s="1"/>
  <c r="J2244" i="1"/>
  <c r="L2244" i="1" s="1"/>
  <c r="J2245" i="1"/>
  <c r="L2245" i="1" s="1"/>
  <c r="J2246" i="1"/>
  <c r="L2246" i="1" s="1"/>
  <c r="J2247" i="1"/>
  <c r="L2247" i="1" s="1"/>
  <c r="J2248" i="1"/>
  <c r="L2248" i="1" s="1"/>
  <c r="J2249" i="1"/>
  <c r="L2249" i="1" s="1"/>
  <c r="J2250" i="1"/>
  <c r="L2250" i="1" s="1"/>
  <c r="J2251" i="1"/>
  <c r="L2251" i="1" s="1"/>
  <c r="J2252" i="1"/>
  <c r="L2252" i="1" s="1"/>
  <c r="J2253" i="1"/>
  <c r="L2253" i="1" s="1"/>
  <c r="J2254" i="1"/>
  <c r="L2254" i="1" s="1"/>
  <c r="J2255" i="1"/>
  <c r="L2255" i="1" s="1"/>
  <c r="J2256" i="1"/>
  <c r="L2256" i="1" s="1"/>
  <c r="J2257" i="1"/>
  <c r="L2257" i="1" s="1"/>
  <c r="J2258" i="1"/>
  <c r="L2258" i="1" s="1"/>
  <c r="J2259" i="1"/>
  <c r="L2259" i="1" s="1"/>
  <c r="J2260" i="1"/>
  <c r="L2260" i="1" s="1"/>
  <c r="J2261" i="1"/>
  <c r="L2261" i="1" s="1"/>
  <c r="J2262" i="1"/>
  <c r="L2262" i="1" s="1"/>
  <c r="J2263" i="1"/>
  <c r="L2263" i="1" s="1"/>
  <c r="J2264" i="1"/>
  <c r="L2264" i="1" s="1"/>
  <c r="J2265" i="1"/>
  <c r="L2265" i="1" s="1"/>
  <c r="J2266" i="1"/>
  <c r="L2266" i="1" s="1"/>
  <c r="J2267" i="1"/>
  <c r="L2267" i="1" s="1"/>
  <c r="J2268" i="1"/>
  <c r="L2268" i="1" s="1"/>
  <c r="J2269" i="1"/>
  <c r="L2269" i="1" s="1"/>
  <c r="J2270" i="1"/>
  <c r="L2270" i="1" s="1"/>
  <c r="J2271" i="1"/>
  <c r="L2271" i="1" s="1"/>
  <c r="J2272" i="1"/>
  <c r="L2272" i="1" s="1"/>
  <c r="J2273" i="1"/>
  <c r="L2273" i="1" s="1"/>
  <c r="J2274" i="1"/>
  <c r="L2274" i="1" s="1"/>
  <c r="J2275" i="1"/>
  <c r="L2275" i="1" s="1"/>
  <c r="J2276" i="1"/>
  <c r="L2276" i="1" s="1"/>
  <c r="J2277" i="1"/>
  <c r="L2277" i="1" s="1"/>
  <c r="J2278" i="1"/>
  <c r="L2278" i="1" s="1"/>
  <c r="J2279" i="1"/>
  <c r="L2279" i="1" s="1"/>
  <c r="J2280" i="1"/>
  <c r="L2280" i="1" s="1"/>
  <c r="J2281" i="1"/>
  <c r="L2281" i="1" s="1"/>
  <c r="J2282" i="1"/>
  <c r="L2282" i="1" s="1"/>
  <c r="J2283" i="1"/>
  <c r="L2283" i="1" s="1"/>
  <c r="J2284" i="1"/>
  <c r="L2284" i="1" s="1"/>
  <c r="J2285" i="1"/>
  <c r="L2285" i="1" s="1"/>
  <c r="J2286" i="1"/>
  <c r="L2286" i="1" s="1"/>
  <c r="J2287" i="1"/>
  <c r="L2287" i="1" s="1"/>
  <c r="J2288" i="1"/>
  <c r="L2288" i="1" s="1"/>
  <c r="J2289" i="1"/>
  <c r="L2289" i="1" s="1"/>
  <c r="J2290" i="1"/>
  <c r="L2290" i="1" s="1"/>
  <c r="J2291" i="1"/>
  <c r="L2291" i="1" s="1"/>
  <c r="J2292" i="1"/>
  <c r="L2292" i="1" s="1"/>
  <c r="J2293" i="1"/>
  <c r="L2293" i="1" s="1"/>
  <c r="J2294" i="1"/>
  <c r="L2294" i="1" s="1"/>
  <c r="J2295" i="1"/>
  <c r="L2295" i="1" s="1"/>
  <c r="J2296" i="1"/>
  <c r="L2296" i="1" s="1"/>
  <c r="J2297" i="1"/>
  <c r="L2297" i="1" s="1"/>
  <c r="J2298" i="1"/>
  <c r="L2298" i="1" s="1"/>
  <c r="J2299" i="1"/>
  <c r="L2299" i="1" s="1"/>
  <c r="J2300" i="1"/>
  <c r="L2300" i="1" s="1"/>
  <c r="J2301" i="1"/>
  <c r="L2301" i="1" s="1"/>
  <c r="J2302" i="1"/>
  <c r="L2302" i="1" s="1"/>
  <c r="J2303" i="1"/>
  <c r="L2303" i="1" s="1"/>
  <c r="J2304" i="1"/>
  <c r="L2304" i="1" s="1"/>
  <c r="J2305" i="1"/>
  <c r="L2305" i="1" s="1"/>
  <c r="J2306" i="1"/>
  <c r="L2306" i="1" s="1"/>
  <c r="J2307" i="1"/>
  <c r="L2307" i="1" s="1"/>
  <c r="J2308" i="1"/>
  <c r="L2308" i="1" s="1"/>
  <c r="J2309" i="1"/>
  <c r="L2309" i="1" s="1"/>
  <c r="J2310" i="1"/>
  <c r="L2310" i="1" s="1"/>
  <c r="J2311" i="1"/>
  <c r="L2311" i="1" s="1"/>
  <c r="J2312" i="1"/>
  <c r="L2312" i="1" s="1"/>
  <c r="J2313" i="1"/>
  <c r="L2313" i="1" s="1"/>
  <c r="J2314" i="1"/>
  <c r="L2314" i="1" s="1"/>
  <c r="J2315" i="1"/>
  <c r="L2315" i="1" s="1"/>
  <c r="J2316" i="1"/>
  <c r="L2316" i="1" s="1"/>
  <c r="J2317" i="1"/>
  <c r="L2317" i="1" s="1"/>
  <c r="J2318" i="1"/>
  <c r="L2318" i="1" s="1"/>
  <c r="J2319" i="1"/>
  <c r="L2319" i="1" s="1"/>
  <c r="J2320" i="1"/>
  <c r="L2320" i="1" s="1"/>
  <c r="J2321" i="1"/>
  <c r="L2321" i="1" s="1"/>
  <c r="J2322" i="1"/>
  <c r="L2322" i="1" s="1"/>
  <c r="J2323" i="1"/>
  <c r="L2323" i="1" s="1"/>
  <c r="J2324" i="1"/>
  <c r="L2324" i="1" s="1"/>
  <c r="J2325" i="1"/>
  <c r="L2325" i="1" s="1"/>
  <c r="J2326" i="1"/>
  <c r="L2326" i="1" s="1"/>
  <c r="J2327" i="1"/>
  <c r="L2327" i="1" s="1"/>
  <c r="J2328" i="1"/>
  <c r="L2328" i="1" s="1"/>
  <c r="J2329" i="1"/>
  <c r="L2329" i="1" s="1"/>
  <c r="J2330" i="1"/>
  <c r="L2330" i="1" s="1"/>
  <c r="J2331" i="1"/>
  <c r="L2331" i="1" s="1"/>
  <c r="J2332" i="1"/>
  <c r="L2332" i="1" s="1"/>
  <c r="J2333" i="1"/>
  <c r="L2333" i="1" s="1"/>
  <c r="J2334" i="1"/>
  <c r="L2334" i="1" s="1"/>
  <c r="J2335" i="1"/>
  <c r="L2335" i="1" s="1"/>
  <c r="J2336" i="1"/>
  <c r="L2336" i="1" s="1"/>
  <c r="J2337" i="1"/>
  <c r="L2337" i="1" s="1"/>
  <c r="J2338" i="1"/>
  <c r="L2338" i="1" s="1"/>
  <c r="J2339" i="1"/>
  <c r="L2339" i="1" s="1"/>
  <c r="J2340" i="1"/>
  <c r="L2340" i="1" s="1"/>
  <c r="J2341" i="1"/>
  <c r="L2341" i="1" s="1"/>
  <c r="J2342" i="1"/>
  <c r="L2342" i="1" s="1"/>
  <c r="J2343" i="1"/>
  <c r="L2343" i="1" s="1"/>
  <c r="J2344" i="1"/>
  <c r="L2344" i="1" s="1"/>
  <c r="J2345" i="1"/>
  <c r="L2345" i="1" s="1"/>
  <c r="J2346" i="1"/>
  <c r="L2346" i="1" s="1"/>
  <c r="J2347" i="1"/>
  <c r="L2347" i="1" s="1"/>
  <c r="J2348" i="1"/>
  <c r="L2348" i="1" s="1"/>
  <c r="J2349" i="1"/>
  <c r="L2349" i="1" s="1"/>
  <c r="J2350" i="1"/>
  <c r="L2350" i="1" s="1"/>
  <c r="J2351" i="1"/>
  <c r="L2351" i="1" s="1"/>
  <c r="J2352" i="1"/>
  <c r="L2352" i="1" s="1"/>
  <c r="J2353" i="1"/>
  <c r="L2353" i="1" s="1"/>
  <c r="J2354" i="1"/>
  <c r="L2354" i="1" s="1"/>
  <c r="J2355" i="1"/>
  <c r="L2355" i="1" s="1"/>
  <c r="J2356" i="1"/>
  <c r="L2356" i="1" s="1"/>
  <c r="J2357" i="1"/>
  <c r="L2357" i="1" s="1"/>
  <c r="J2358" i="1"/>
  <c r="L2358" i="1" s="1"/>
  <c r="J2359" i="1"/>
  <c r="L2359" i="1" s="1"/>
  <c r="J2360" i="1"/>
  <c r="L2360" i="1" s="1"/>
  <c r="J2361" i="1"/>
  <c r="L2361" i="1" s="1"/>
  <c r="J2362" i="1"/>
  <c r="L2362" i="1" s="1"/>
  <c r="J2363" i="1"/>
  <c r="L2363" i="1" s="1"/>
  <c r="J2364" i="1"/>
  <c r="L2364" i="1" s="1"/>
  <c r="J2365" i="1"/>
  <c r="L2365" i="1" s="1"/>
  <c r="J2366" i="1"/>
  <c r="L2366" i="1" s="1"/>
  <c r="J2367" i="1"/>
  <c r="L2367" i="1" s="1"/>
  <c r="J2368" i="1"/>
  <c r="L2368" i="1" s="1"/>
  <c r="J2369" i="1"/>
  <c r="L2369" i="1" s="1"/>
  <c r="J2370" i="1"/>
  <c r="L2370" i="1" s="1"/>
  <c r="J2371" i="1"/>
  <c r="L2371" i="1" s="1"/>
  <c r="J2372" i="1"/>
  <c r="L2372" i="1" s="1"/>
  <c r="J2373" i="1"/>
  <c r="L2373" i="1" s="1"/>
  <c r="J2374" i="1"/>
  <c r="L2374" i="1" s="1"/>
  <c r="J2375" i="1"/>
  <c r="L2375" i="1" s="1"/>
  <c r="J2376" i="1"/>
  <c r="L2376" i="1" s="1"/>
  <c r="J2377" i="1"/>
  <c r="L2377" i="1" s="1"/>
  <c r="J2378" i="1"/>
  <c r="L2378" i="1" s="1"/>
  <c r="J2379" i="1"/>
  <c r="L2379" i="1" s="1"/>
  <c r="J2380" i="1"/>
  <c r="L2380" i="1" s="1"/>
  <c r="J2381" i="1"/>
  <c r="L2381" i="1" s="1"/>
  <c r="J2382" i="1"/>
  <c r="L2382" i="1" s="1"/>
  <c r="J2383" i="1"/>
  <c r="L2383" i="1" s="1"/>
  <c r="J2384" i="1"/>
  <c r="L2384" i="1" s="1"/>
  <c r="J2385" i="1"/>
  <c r="L2385" i="1" s="1"/>
  <c r="J2386" i="1"/>
  <c r="L2386" i="1" s="1"/>
  <c r="J2387" i="1"/>
  <c r="L2387" i="1" s="1"/>
  <c r="J2388" i="1"/>
  <c r="L2388" i="1" s="1"/>
  <c r="J2389" i="1"/>
  <c r="L2389" i="1" s="1"/>
  <c r="J2390" i="1"/>
  <c r="L2390" i="1" s="1"/>
  <c r="J2391" i="1"/>
  <c r="L2391" i="1" s="1"/>
  <c r="J2392" i="1"/>
  <c r="L2392" i="1" s="1"/>
  <c r="J2393" i="1"/>
  <c r="L2393" i="1" s="1"/>
  <c r="J2394" i="1"/>
  <c r="L2394" i="1" s="1"/>
  <c r="J2395" i="1"/>
  <c r="L2395" i="1" s="1"/>
  <c r="J2396" i="1"/>
  <c r="L2396" i="1" s="1"/>
  <c r="J2397" i="1"/>
  <c r="L2397" i="1" s="1"/>
  <c r="J2398" i="1"/>
  <c r="L2398" i="1" s="1"/>
  <c r="J2399" i="1"/>
  <c r="L2399" i="1" s="1"/>
  <c r="J2400" i="1"/>
  <c r="L2400" i="1" s="1"/>
  <c r="J2401" i="1"/>
  <c r="L2401" i="1" s="1"/>
  <c r="J2402" i="1"/>
  <c r="L2402" i="1" s="1"/>
  <c r="J2403" i="1"/>
  <c r="L2403" i="1" s="1"/>
  <c r="J2404" i="1"/>
  <c r="L2404" i="1" s="1"/>
  <c r="J2405" i="1"/>
  <c r="L2405" i="1" s="1"/>
  <c r="J2406" i="1"/>
  <c r="L2406" i="1" s="1"/>
  <c r="J2407" i="1"/>
  <c r="L2407" i="1" s="1"/>
  <c r="J2408" i="1"/>
  <c r="L2408" i="1" s="1"/>
  <c r="J2409" i="1"/>
  <c r="L2409" i="1" s="1"/>
  <c r="J2410" i="1"/>
  <c r="L2410" i="1" s="1"/>
  <c r="J2411" i="1"/>
  <c r="L2411" i="1" s="1"/>
  <c r="J2412" i="1"/>
  <c r="L2412" i="1" s="1"/>
  <c r="J2413" i="1"/>
  <c r="L2413" i="1" s="1"/>
  <c r="J2414" i="1"/>
  <c r="L2414" i="1" s="1"/>
  <c r="J2415" i="1"/>
  <c r="L2415" i="1" s="1"/>
  <c r="J2416" i="1"/>
  <c r="L2416" i="1" s="1"/>
  <c r="J2417" i="1"/>
  <c r="L2417" i="1" s="1"/>
  <c r="J2418" i="1"/>
  <c r="L2418" i="1" s="1"/>
  <c r="J2419" i="1"/>
  <c r="L2419" i="1" s="1"/>
  <c r="J2420" i="1"/>
  <c r="L2420" i="1" s="1"/>
  <c r="J2421" i="1"/>
  <c r="L2421" i="1" s="1"/>
  <c r="J2422" i="1"/>
  <c r="L2422" i="1" s="1"/>
  <c r="J2423" i="1"/>
  <c r="L2423" i="1" s="1"/>
  <c r="J2424" i="1"/>
  <c r="L2424" i="1" s="1"/>
  <c r="J2425" i="1"/>
  <c r="L2425" i="1" s="1"/>
  <c r="J2426" i="1"/>
  <c r="L2426" i="1" s="1"/>
  <c r="J2427" i="1"/>
  <c r="L2427" i="1" s="1"/>
  <c r="J2428" i="1"/>
  <c r="L2428" i="1" s="1"/>
  <c r="J2429" i="1"/>
  <c r="L2429" i="1" s="1"/>
  <c r="J2430" i="1"/>
  <c r="L2430" i="1" s="1"/>
  <c r="J2431" i="1"/>
  <c r="L2431" i="1" s="1"/>
  <c r="J2432" i="1"/>
  <c r="L2432" i="1" s="1"/>
  <c r="J2433" i="1"/>
  <c r="L2433" i="1" s="1"/>
  <c r="J2434" i="1"/>
  <c r="L2434" i="1" s="1"/>
  <c r="J2435" i="1"/>
  <c r="L2435" i="1" s="1"/>
  <c r="J2436" i="1"/>
  <c r="L2436" i="1" s="1"/>
  <c r="J2437" i="1"/>
  <c r="L2437" i="1" s="1"/>
  <c r="J2438" i="1"/>
  <c r="L2438" i="1" s="1"/>
  <c r="J2439" i="1"/>
  <c r="L2439" i="1" s="1"/>
  <c r="J2440" i="1"/>
  <c r="L2440" i="1" s="1"/>
  <c r="J2441" i="1"/>
  <c r="L2441" i="1" s="1"/>
  <c r="J2442" i="1"/>
  <c r="L2442" i="1" s="1"/>
  <c r="J2443" i="1"/>
  <c r="L2443" i="1" s="1"/>
  <c r="J2444" i="1"/>
  <c r="L2444" i="1" s="1"/>
  <c r="J2445" i="1"/>
  <c r="L2445" i="1" s="1"/>
  <c r="J2446" i="1"/>
  <c r="L2446" i="1" s="1"/>
  <c r="J2447" i="1"/>
  <c r="L2447" i="1" s="1"/>
  <c r="J2448" i="1"/>
  <c r="L2448" i="1" s="1"/>
  <c r="J2449" i="1"/>
  <c r="L2449" i="1" s="1"/>
  <c r="J2450" i="1"/>
  <c r="L2450" i="1" s="1"/>
  <c r="J2451" i="1"/>
  <c r="L2451" i="1" s="1"/>
  <c r="J2452" i="1"/>
  <c r="L2452" i="1" s="1"/>
  <c r="J2453" i="1"/>
  <c r="L2453" i="1" s="1"/>
  <c r="J2454" i="1"/>
  <c r="L2454" i="1" s="1"/>
  <c r="J2455" i="1"/>
  <c r="L2455" i="1" s="1"/>
  <c r="J2456" i="1"/>
  <c r="L2456" i="1" s="1"/>
  <c r="J2457" i="1"/>
  <c r="L2457" i="1" s="1"/>
  <c r="J2458" i="1"/>
  <c r="L2458" i="1" s="1"/>
  <c r="J2459" i="1"/>
  <c r="L2459" i="1" s="1"/>
  <c r="J2460" i="1"/>
  <c r="L2460" i="1" s="1"/>
  <c r="J2461" i="1"/>
  <c r="L2461" i="1" s="1"/>
  <c r="J2462" i="1"/>
  <c r="L2462" i="1" s="1"/>
  <c r="J2463" i="1"/>
  <c r="L2463" i="1" s="1"/>
  <c r="J2464" i="1"/>
  <c r="L2464" i="1" s="1"/>
  <c r="J2465" i="1"/>
  <c r="L2465" i="1" s="1"/>
  <c r="J2466" i="1"/>
  <c r="L2466" i="1" s="1"/>
  <c r="J2467" i="1"/>
  <c r="L2467" i="1" s="1"/>
  <c r="J2468" i="1"/>
  <c r="L2468" i="1" s="1"/>
  <c r="J2469" i="1"/>
  <c r="L2469" i="1" s="1"/>
  <c r="J2470" i="1"/>
  <c r="L2470" i="1" s="1"/>
  <c r="J2471" i="1"/>
  <c r="L2471" i="1" s="1"/>
  <c r="J2472" i="1"/>
  <c r="L2472" i="1" s="1"/>
  <c r="J2473" i="1"/>
  <c r="L2473" i="1" s="1"/>
  <c r="J2474" i="1"/>
  <c r="L2474" i="1" s="1"/>
  <c r="J2475" i="1"/>
  <c r="L2475" i="1" s="1"/>
  <c r="J2476" i="1"/>
  <c r="L2476" i="1" s="1"/>
  <c r="J2477" i="1"/>
  <c r="L2477" i="1" s="1"/>
  <c r="J2478" i="1"/>
  <c r="L2478" i="1" s="1"/>
  <c r="J2479" i="1"/>
  <c r="L2479" i="1" s="1"/>
  <c r="J2480" i="1"/>
  <c r="L2480" i="1" s="1"/>
  <c r="J2481" i="1"/>
  <c r="L2481" i="1" s="1"/>
  <c r="J2482" i="1"/>
  <c r="L2482" i="1" s="1"/>
  <c r="J2483" i="1"/>
  <c r="L2483" i="1" s="1"/>
  <c r="J2484" i="1"/>
  <c r="L2484" i="1" s="1"/>
  <c r="J2485" i="1"/>
  <c r="L2485" i="1" s="1"/>
  <c r="J2486" i="1"/>
  <c r="L2486" i="1" s="1"/>
  <c r="J2487" i="1"/>
  <c r="L2487" i="1" s="1"/>
  <c r="J2488" i="1"/>
  <c r="L2488" i="1" s="1"/>
  <c r="J2489" i="1"/>
  <c r="L2489" i="1" s="1"/>
  <c r="J2490" i="1"/>
  <c r="L2490" i="1" s="1"/>
  <c r="J2491" i="1"/>
  <c r="L2491" i="1" s="1"/>
  <c r="J2492" i="1"/>
  <c r="L2492" i="1" s="1"/>
  <c r="J2493" i="1"/>
  <c r="L2493" i="1" s="1"/>
  <c r="J2494" i="1"/>
  <c r="L2494" i="1" s="1"/>
  <c r="J2495" i="1"/>
  <c r="L2495" i="1" s="1"/>
  <c r="J2496" i="1"/>
  <c r="L2496" i="1" s="1"/>
  <c r="J2497" i="1"/>
  <c r="L2497" i="1" s="1"/>
  <c r="J2498" i="1"/>
  <c r="L2498" i="1" s="1"/>
  <c r="J2499" i="1"/>
  <c r="L2499" i="1" s="1"/>
  <c r="J2500" i="1"/>
  <c r="L2500" i="1" s="1"/>
  <c r="J2501" i="1"/>
  <c r="L2501" i="1" s="1"/>
  <c r="J2502" i="1"/>
  <c r="L2502" i="1" s="1"/>
  <c r="J2503" i="1"/>
  <c r="L2503" i="1" s="1"/>
  <c r="J2504" i="1"/>
  <c r="L2504" i="1" s="1"/>
  <c r="J2505" i="1"/>
  <c r="L2505" i="1" s="1"/>
  <c r="J2506" i="1"/>
  <c r="L2506" i="1" s="1"/>
  <c r="J2507" i="1"/>
  <c r="L2507" i="1" s="1"/>
  <c r="J2508" i="1"/>
  <c r="L2508" i="1" s="1"/>
  <c r="J2509" i="1"/>
  <c r="L2509" i="1" s="1"/>
  <c r="J2510" i="1"/>
  <c r="L2510" i="1" s="1"/>
  <c r="J2511" i="1"/>
  <c r="L2511" i="1" s="1"/>
  <c r="J2512" i="1"/>
  <c r="L2512" i="1" s="1"/>
  <c r="J2513" i="1"/>
  <c r="L2513" i="1" s="1"/>
  <c r="J2514" i="1"/>
  <c r="L2514" i="1" s="1"/>
  <c r="J2515" i="1"/>
  <c r="L2515" i="1" s="1"/>
  <c r="J2516" i="1"/>
  <c r="L2516" i="1" s="1"/>
  <c r="J2517" i="1"/>
  <c r="L2517" i="1" s="1"/>
  <c r="J2518" i="1"/>
  <c r="L2518" i="1" s="1"/>
  <c r="J2519" i="1"/>
  <c r="L2519" i="1" s="1"/>
  <c r="J2520" i="1"/>
  <c r="L2520" i="1" s="1"/>
  <c r="J2521" i="1"/>
  <c r="L2521" i="1" s="1"/>
  <c r="J2522" i="1"/>
  <c r="L2522" i="1" s="1"/>
  <c r="J2523" i="1"/>
  <c r="L2523" i="1" s="1"/>
  <c r="J2524" i="1"/>
  <c r="L2524" i="1" s="1"/>
  <c r="J2525" i="1"/>
  <c r="L2525" i="1" s="1"/>
  <c r="J2526" i="1"/>
  <c r="L2526" i="1" s="1"/>
  <c r="J2527" i="1"/>
  <c r="L2527" i="1" s="1"/>
  <c r="J2528" i="1"/>
  <c r="L2528" i="1" s="1"/>
  <c r="J2529" i="1"/>
  <c r="L2529" i="1" s="1"/>
  <c r="J2530" i="1"/>
  <c r="L2530" i="1" s="1"/>
  <c r="J2531" i="1"/>
  <c r="L2531" i="1" s="1"/>
  <c r="J2532" i="1"/>
  <c r="L2532" i="1" s="1"/>
  <c r="J2533" i="1"/>
  <c r="L2533" i="1" s="1"/>
  <c r="J2534" i="1"/>
  <c r="L2534" i="1" s="1"/>
  <c r="J2535" i="1"/>
  <c r="L2535" i="1" s="1"/>
  <c r="J2536" i="1"/>
  <c r="L2536" i="1" s="1"/>
  <c r="J2537" i="1"/>
  <c r="L2537" i="1" s="1"/>
  <c r="J2538" i="1"/>
  <c r="L2538" i="1" s="1"/>
  <c r="J2539" i="1"/>
  <c r="L2539" i="1" s="1"/>
  <c r="J2540" i="1"/>
  <c r="L2540" i="1" s="1"/>
  <c r="J2541" i="1"/>
  <c r="L2541" i="1" s="1"/>
  <c r="J2542" i="1"/>
  <c r="L2542" i="1" s="1"/>
  <c r="J2543" i="1"/>
  <c r="L2543" i="1" s="1"/>
  <c r="J2544" i="1"/>
  <c r="L2544" i="1" s="1"/>
  <c r="J2545" i="1"/>
  <c r="L2545" i="1" s="1"/>
  <c r="J2546" i="1"/>
  <c r="L2546" i="1" s="1"/>
  <c r="J2547" i="1"/>
  <c r="L2547" i="1" s="1"/>
  <c r="J2548" i="1"/>
  <c r="L2548" i="1" s="1"/>
  <c r="J2549" i="1"/>
  <c r="L2549" i="1" s="1"/>
  <c r="J2550" i="1"/>
  <c r="L2550" i="1" s="1"/>
  <c r="J2551" i="1"/>
  <c r="L2551" i="1" s="1"/>
  <c r="J2552" i="1"/>
  <c r="L2552" i="1" s="1"/>
  <c r="J2553" i="1"/>
  <c r="L2553" i="1" s="1"/>
  <c r="J2554" i="1"/>
  <c r="L2554" i="1" s="1"/>
  <c r="J2555" i="1"/>
  <c r="L2555" i="1" s="1"/>
  <c r="J2556" i="1"/>
  <c r="L2556" i="1" s="1"/>
  <c r="J2557" i="1"/>
  <c r="L2557" i="1" s="1"/>
  <c r="J2558" i="1"/>
  <c r="L2558" i="1" s="1"/>
  <c r="J2559" i="1"/>
  <c r="L2559" i="1" s="1"/>
  <c r="J2560" i="1"/>
  <c r="L2560" i="1" s="1"/>
  <c r="J2561" i="1"/>
  <c r="L2561" i="1" s="1"/>
  <c r="J2562" i="1"/>
  <c r="L2562" i="1" s="1"/>
  <c r="J2563" i="1"/>
  <c r="L2563" i="1" s="1"/>
  <c r="J2564" i="1"/>
  <c r="L2564" i="1" s="1"/>
  <c r="J2565" i="1"/>
  <c r="L2565" i="1" s="1"/>
  <c r="J2566" i="1"/>
  <c r="L2566" i="1" s="1"/>
  <c r="J2567" i="1"/>
  <c r="L2567" i="1" s="1"/>
  <c r="J2568" i="1"/>
  <c r="L2568" i="1" s="1"/>
  <c r="J2569" i="1"/>
  <c r="L2569" i="1" s="1"/>
  <c r="J2570" i="1"/>
  <c r="L2570" i="1" s="1"/>
  <c r="J2571" i="1"/>
  <c r="L2571" i="1" s="1"/>
  <c r="J2572" i="1"/>
  <c r="L2572" i="1" s="1"/>
  <c r="J2573" i="1"/>
  <c r="L2573" i="1" s="1"/>
  <c r="J2574" i="1"/>
  <c r="L2574" i="1" s="1"/>
  <c r="J2575" i="1"/>
  <c r="L2575" i="1" s="1"/>
  <c r="J2576" i="1"/>
  <c r="L2576" i="1" s="1"/>
  <c r="J2577" i="1"/>
  <c r="L2577" i="1" s="1"/>
  <c r="J2578" i="1"/>
  <c r="L2578" i="1" s="1"/>
  <c r="J2579" i="1"/>
  <c r="L2579" i="1" s="1"/>
  <c r="J2580" i="1"/>
  <c r="L2580" i="1" s="1"/>
  <c r="J2581" i="1"/>
  <c r="L2581" i="1" s="1"/>
  <c r="J2582" i="1"/>
  <c r="L2582" i="1" s="1"/>
  <c r="J2583" i="1"/>
  <c r="L2583" i="1" s="1"/>
  <c r="J2584" i="1"/>
  <c r="L2584" i="1" s="1"/>
  <c r="J2585" i="1"/>
  <c r="L2585" i="1" s="1"/>
  <c r="J2586" i="1"/>
  <c r="L2586" i="1" s="1"/>
  <c r="J2587" i="1"/>
  <c r="L2587" i="1" s="1"/>
  <c r="J2588" i="1"/>
  <c r="L2588" i="1" s="1"/>
  <c r="J2589" i="1"/>
  <c r="L2589" i="1" s="1"/>
  <c r="J2590" i="1"/>
  <c r="L2590" i="1" s="1"/>
  <c r="J2591" i="1"/>
  <c r="L2591" i="1" s="1"/>
  <c r="J2592" i="1"/>
  <c r="L2592" i="1" s="1"/>
  <c r="J2593" i="1"/>
  <c r="L2593" i="1" s="1"/>
  <c r="J2594" i="1"/>
  <c r="L2594" i="1" s="1"/>
  <c r="J2595" i="1"/>
  <c r="L2595" i="1" s="1"/>
  <c r="J2596" i="1"/>
  <c r="L2596" i="1" s="1"/>
  <c r="J2597" i="1"/>
  <c r="L2597" i="1" s="1"/>
  <c r="J2598" i="1"/>
  <c r="L2598" i="1" s="1"/>
  <c r="J2599" i="1"/>
  <c r="L2599" i="1" s="1"/>
  <c r="J2600" i="1"/>
  <c r="L2600" i="1" s="1"/>
  <c r="J2601" i="1"/>
  <c r="L2601" i="1" s="1"/>
  <c r="J2602" i="1"/>
  <c r="L2602" i="1" s="1"/>
  <c r="J2603" i="1"/>
  <c r="L2603" i="1" s="1"/>
  <c r="J2604" i="1"/>
  <c r="L2604" i="1" s="1"/>
  <c r="J2605" i="1"/>
  <c r="L2605" i="1" s="1"/>
  <c r="J2606" i="1"/>
  <c r="L2606" i="1" s="1"/>
  <c r="J2607" i="1"/>
  <c r="L2607" i="1" s="1"/>
  <c r="J2608" i="1"/>
  <c r="L2608" i="1" s="1"/>
  <c r="J2609" i="1"/>
  <c r="L2609" i="1" s="1"/>
  <c r="J2610" i="1"/>
  <c r="L2610" i="1" s="1"/>
  <c r="J2611" i="1"/>
  <c r="L2611" i="1" s="1"/>
  <c r="J2612" i="1"/>
  <c r="L2612" i="1" s="1"/>
  <c r="J2613" i="1"/>
  <c r="L2613" i="1" s="1"/>
  <c r="J2614" i="1"/>
  <c r="L2614" i="1" s="1"/>
  <c r="J2615" i="1"/>
  <c r="L2615" i="1" s="1"/>
  <c r="J2616" i="1"/>
  <c r="L2616" i="1" s="1"/>
  <c r="J2617" i="1"/>
  <c r="L2617" i="1" s="1"/>
  <c r="J2618" i="1"/>
  <c r="L2618" i="1" s="1"/>
  <c r="J2619" i="1"/>
  <c r="L2619" i="1" s="1"/>
  <c r="J2620" i="1"/>
  <c r="L2620" i="1" s="1"/>
  <c r="J2621" i="1"/>
  <c r="L2621" i="1" s="1"/>
  <c r="J2622" i="1"/>
  <c r="L2622" i="1" s="1"/>
  <c r="J2623" i="1"/>
  <c r="L2623" i="1" s="1"/>
  <c r="J2624" i="1"/>
  <c r="L2624" i="1" s="1"/>
  <c r="J2625" i="1"/>
  <c r="L2625" i="1" s="1"/>
  <c r="J2626" i="1"/>
  <c r="L2626" i="1" s="1"/>
  <c r="J2627" i="1"/>
  <c r="L2627" i="1" s="1"/>
  <c r="J2628" i="1"/>
  <c r="L2628" i="1" s="1"/>
  <c r="J2629" i="1"/>
  <c r="L2629" i="1" s="1"/>
  <c r="J2630" i="1"/>
  <c r="L2630" i="1" s="1"/>
  <c r="J2631" i="1"/>
  <c r="L2631" i="1" s="1"/>
  <c r="J2632" i="1"/>
  <c r="L2632" i="1" s="1"/>
  <c r="J2633" i="1"/>
  <c r="L2633" i="1" s="1"/>
  <c r="J2634" i="1"/>
  <c r="L2634" i="1" s="1"/>
  <c r="J2635" i="1"/>
  <c r="L2635" i="1" s="1"/>
  <c r="J2636" i="1"/>
  <c r="L2636" i="1" s="1"/>
  <c r="J2637" i="1"/>
  <c r="L2637" i="1" s="1"/>
  <c r="J2638" i="1"/>
  <c r="L2638" i="1" s="1"/>
  <c r="J2639" i="1"/>
  <c r="L2639" i="1" s="1"/>
  <c r="J2640" i="1"/>
  <c r="L2640" i="1" s="1"/>
  <c r="J2641" i="1"/>
  <c r="L2641" i="1" s="1"/>
  <c r="J2642" i="1"/>
  <c r="L2642" i="1" s="1"/>
  <c r="J2643" i="1"/>
  <c r="L2643" i="1" s="1"/>
  <c r="J2644" i="1"/>
  <c r="L2644" i="1" s="1"/>
  <c r="J2645" i="1"/>
  <c r="L2645" i="1" s="1"/>
  <c r="J2646" i="1"/>
  <c r="L2646" i="1" s="1"/>
  <c r="J2647" i="1"/>
  <c r="L2647" i="1" s="1"/>
  <c r="J2648" i="1"/>
  <c r="L2648" i="1" s="1"/>
  <c r="J2649" i="1"/>
  <c r="L2649" i="1" s="1"/>
  <c r="J2650" i="1"/>
  <c r="L2650" i="1" s="1"/>
  <c r="J2651" i="1"/>
  <c r="L2651" i="1" s="1"/>
  <c r="J2652" i="1"/>
  <c r="L2652" i="1" s="1"/>
  <c r="J2653" i="1"/>
  <c r="L2653" i="1" s="1"/>
  <c r="J2654" i="1"/>
  <c r="L2654" i="1" s="1"/>
  <c r="J2655" i="1"/>
  <c r="L2655" i="1" s="1"/>
  <c r="J2656" i="1"/>
  <c r="L2656" i="1" s="1"/>
  <c r="J2657" i="1"/>
  <c r="L2657" i="1" s="1"/>
  <c r="J2658" i="1"/>
  <c r="L2658" i="1" s="1"/>
  <c r="J2659" i="1"/>
  <c r="L2659" i="1" s="1"/>
  <c r="J2660" i="1"/>
  <c r="L2660" i="1" s="1"/>
  <c r="J2661" i="1"/>
  <c r="L2661" i="1" s="1"/>
  <c r="J2662" i="1"/>
  <c r="L2662" i="1" s="1"/>
  <c r="J2663" i="1"/>
  <c r="L2663" i="1" s="1"/>
  <c r="J2664" i="1"/>
  <c r="L2664" i="1" s="1"/>
  <c r="J2665" i="1"/>
  <c r="L2665" i="1" s="1"/>
  <c r="J2666" i="1"/>
  <c r="L2666" i="1" s="1"/>
  <c r="J2667" i="1"/>
  <c r="L2667" i="1" s="1"/>
  <c r="J2668" i="1"/>
  <c r="L2668" i="1" s="1"/>
  <c r="J2669" i="1"/>
  <c r="L2669" i="1" s="1"/>
  <c r="J2670" i="1"/>
  <c r="L2670" i="1" s="1"/>
  <c r="J2671" i="1"/>
  <c r="L2671" i="1" s="1"/>
  <c r="J2672" i="1"/>
  <c r="L2672" i="1" s="1"/>
  <c r="J2673" i="1"/>
  <c r="L2673" i="1" s="1"/>
  <c r="J2674" i="1"/>
  <c r="L2674" i="1" s="1"/>
  <c r="J2675" i="1"/>
  <c r="L2675" i="1" s="1"/>
  <c r="J2676" i="1"/>
  <c r="L2676" i="1" s="1"/>
  <c r="J2677" i="1"/>
  <c r="L2677" i="1" s="1"/>
  <c r="J2678" i="1"/>
  <c r="L2678" i="1" s="1"/>
  <c r="J2679" i="1"/>
  <c r="L2679" i="1" s="1"/>
  <c r="J2680" i="1"/>
  <c r="L2680" i="1" s="1"/>
  <c r="J2681" i="1"/>
  <c r="L2681" i="1" s="1"/>
  <c r="J2682" i="1"/>
  <c r="L2682" i="1" s="1"/>
  <c r="J2683" i="1"/>
  <c r="L2683" i="1" s="1"/>
  <c r="J2684" i="1"/>
  <c r="L2684" i="1" s="1"/>
  <c r="J2685" i="1"/>
  <c r="L2685" i="1" s="1"/>
  <c r="J2686" i="1"/>
  <c r="L2686" i="1" s="1"/>
  <c r="J2687" i="1"/>
  <c r="L2687" i="1" s="1"/>
  <c r="J2688" i="1"/>
  <c r="L2688" i="1" s="1"/>
  <c r="J2689" i="1"/>
  <c r="L2689" i="1" s="1"/>
  <c r="J2690" i="1"/>
  <c r="L2690" i="1" s="1"/>
  <c r="J2691" i="1"/>
  <c r="L2691" i="1" s="1"/>
  <c r="J2692" i="1"/>
  <c r="L2692" i="1" s="1"/>
  <c r="J2693" i="1"/>
  <c r="L2693" i="1" s="1"/>
  <c r="J2694" i="1"/>
  <c r="L2694" i="1" s="1"/>
  <c r="J2695" i="1"/>
  <c r="L2695" i="1" s="1"/>
  <c r="J2696" i="1"/>
  <c r="L2696" i="1" s="1"/>
  <c r="J2697" i="1"/>
  <c r="L2697" i="1" s="1"/>
  <c r="J2698" i="1"/>
  <c r="L2698" i="1" s="1"/>
  <c r="J2699" i="1"/>
  <c r="L2699" i="1" s="1"/>
  <c r="J2700" i="1"/>
  <c r="L2700" i="1" s="1"/>
  <c r="J2701" i="1"/>
  <c r="L2701" i="1" s="1"/>
  <c r="J2702" i="1"/>
  <c r="L2702" i="1" s="1"/>
  <c r="J2703" i="1"/>
  <c r="L2703" i="1" s="1"/>
  <c r="J2704" i="1"/>
  <c r="L2704" i="1" s="1"/>
  <c r="J2705" i="1"/>
  <c r="L2705" i="1" s="1"/>
  <c r="J2706" i="1"/>
  <c r="L2706" i="1" s="1"/>
  <c r="J2707" i="1"/>
  <c r="L2707" i="1" s="1"/>
  <c r="J2708" i="1"/>
  <c r="L2708" i="1" s="1"/>
  <c r="J2709" i="1"/>
  <c r="L2709" i="1" s="1"/>
  <c r="J2710" i="1"/>
  <c r="L2710" i="1" s="1"/>
  <c r="J2711" i="1"/>
  <c r="L2711" i="1" s="1"/>
  <c r="J2712" i="1"/>
  <c r="L2712" i="1" s="1"/>
  <c r="J2713" i="1"/>
  <c r="L2713" i="1" s="1"/>
  <c r="J2714" i="1"/>
  <c r="L2714" i="1" s="1"/>
  <c r="J2715" i="1"/>
  <c r="L2715" i="1" s="1"/>
  <c r="J2716" i="1"/>
  <c r="L2716" i="1" s="1"/>
  <c r="J2717" i="1"/>
  <c r="L2717" i="1" s="1"/>
  <c r="J2718" i="1"/>
  <c r="L2718" i="1" s="1"/>
  <c r="J2719" i="1"/>
  <c r="L2719" i="1" s="1"/>
  <c r="J2720" i="1"/>
  <c r="L2720" i="1" s="1"/>
  <c r="J2721" i="1"/>
  <c r="L2721" i="1" s="1"/>
  <c r="J2722" i="1"/>
  <c r="L2722" i="1" s="1"/>
  <c r="J2723" i="1"/>
  <c r="L2723" i="1" s="1"/>
  <c r="J2724" i="1"/>
  <c r="L2724" i="1" s="1"/>
  <c r="J2725" i="1"/>
  <c r="L2725" i="1" s="1"/>
  <c r="J2726" i="1"/>
  <c r="L2726" i="1" s="1"/>
  <c r="J2727" i="1"/>
  <c r="L2727" i="1" s="1"/>
  <c r="J2728" i="1"/>
  <c r="L2728" i="1" s="1"/>
  <c r="J2729" i="1"/>
  <c r="L2729" i="1" s="1"/>
  <c r="J2730" i="1"/>
  <c r="L2730" i="1" s="1"/>
  <c r="J2731" i="1"/>
  <c r="L2731" i="1" s="1"/>
  <c r="J2732" i="1"/>
  <c r="L2732" i="1" s="1"/>
  <c r="J2733" i="1"/>
  <c r="L2733" i="1" s="1"/>
  <c r="J2734" i="1"/>
  <c r="L2734" i="1" s="1"/>
  <c r="J2735" i="1"/>
  <c r="L2735" i="1" s="1"/>
  <c r="J2736" i="1"/>
  <c r="L2736" i="1" s="1"/>
  <c r="J2737" i="1"/>
  <c r="L2737" i="1" s="1"/>
  <c r="J2738" i="1"/>
  <c r="L2738" i="1" s="1"/>
  <c r="J2739" i="1"/>
  <c r="L2739" i="1" s="1"/>
  <c r="J2740" i="1"/>
  <c r="L2740" i="1" s="1"/>
  <c r="J2741" i="1"/>
  <c r="L2741" i="1" s="1"/>
  <c r="J2742" i="1"/>
  <c r="L2742" i="1" s="1"/>
  <c r="J2743" i="1"/>
  <c r="L2743" i="1" s="1"/>
  <c r="J2744" i="1"/>
  <c r="L2744" i="1" s="1"/>
  <c r="J2745" i="1"/>
  <c r="L2745" i="1" s="1"/>
  <c r="J2746" i="1"/>
  <c r="L2746" i="1" s="1"/>
  <c r="J2747" i="1"/>
  <c r="L2747" i="1" s="1"/>
  <c r="J2748" i="1"/>
  <c r="L2748" i="1" s="1"/>
  <c r="J2749" i="1"/>
  <c r="L2749" i="1" s="1"/>
  <c r="J2750" i="1"/>
  <c r="L2750" i="1" s="1"/>
  <c r="J2751" i="1"/>
  <c r="L2751" i="1" s="1"/>
  <c r="J2752" i="1"/>
  <c r="L2752" i="1" s="1"/>
  <c r="J2753" i="1"/>
  <c r="L2753" i="1" s="1"/>
  <c r="J2754" i="1"/>
  <c r="L2754" i="1" s="1"/>
  <c r="J2755" i="1"/>
  <c r="L2755" i="1" s="1"/>
  <c r="J2756" i="1"/>
  <c r="L2756" i="1" s="1"/>
  <c r="J2757" i="1"/>
  <c r="L2757" i="1" s="1"/>
  <c r="J2758" i="1"/>
  <c r="L2758" i="1" s="1"/>
  <c r="J2759" i="1"/>
  <c r="L2759" i="1" s="1"/>
  <c r="J2760" i="1"/>
  <c r="L2760" i="1" s="1"/>
  <c r="J2761" i="1"/>
  <c r="L2761" i="1" s="1"/>
  <c r="J2762" i="1"/>
  <c r="L2762" i="1" s="1"/>
  <c r="J2763" i="1"/>
  <c r="L2763" i="1" s="1"/>
  <c r="J2764" i="1"/>
  <c r="L2764" i="1" s="1"/>
  <c r="J2765" i="1"/>
  <c r="L2765" i="1" s="1"/>
  <c r="J2766" i="1"/>
  <c r="L2766" i="1" s="1"/>
  <c r="J2767" i="1"/>
  <c r="L2767" i="1" s="1"/>
  <c r="J2768" i="1"/>
  <c r="L2768" i="1" s="1"/>
  <c r="J2769" i="1"/>
  <c r="L2769" i="1" s="1"/>
  <c r="J2770" i="1"/>
  <c r="L2770" i="1" s="1"/>
  <c r="J2771" i="1"/>
  <c r="L2771" i="1" s="1"/>
  <c r="J2772" i="1"/>
  <c r="L2772" i="1" s="1"/>
  <c r="J2773" i="1"/>
  <c r="L2773" i="1" s="1"/>
  <c r="J2774" i="1"/>
  <c r="L2774" i="1" s="1"/>
  <c r="J2775" i="1"/>
  <c r="L2775" i="1" s="1"/>
  <c r="J2776" i="1"/>
  <c r="L2776" i="1" s="1"/>
  <c r="J2777" i="1"/>
  <c r="L2777" i="1" s="1"/>
  <c r="J2778" i="1"/>
  <c r="L2778" i="1" s="1"/>
  <c r="J2779" i="1"/>
  <c r="L2779" i="1" s="1"/>
  <c r="J2780" i="1"/>
  <c r="L2780" i="1" s="1"/>
  <c r="J2781" i="1"/>
  <c r="L2781" i="1" s="1"/>
  <c r="J2782" i="1"/>
  <c r="L2782" i="1" s="1"/>
  <c r="J2783" i="1"/>
  <c r="L2783" i="1" s="1"/>
  <c r="J2784" i="1"/>
  <c r="L2784" i="1" s="1"/>
  <c r="J2785" i="1"/>
  <c r="L2785" i="1" s="1"/>
  <c r="J2786" i="1"/>
  <c r="L2786" i="1" s="1"/>
  <c r="J2787" i="1"/>
  <c r="L2787" i="1" s="1"/>
  <c r="J2788" i="1"/>
  <c r="L2788" i="1" s="1"/>
  <c r="J2789" i="1"/>
  <c r="L2789" i="1" s="1"/>
  <c r="J2790" i="1"/>
  <c r="L2790" i="1" s="1"/>
  <c r="J2791" i="1"/>
  <c r="L2791" i="1" s="1"/>
  <c r="J2792" i="1"/>
  <c r="L2792" i="1" s="1"/>
  <c r="J2793" i="1"/>
  <c r="L2793" i="1" s="1"/>
  <c r="J2794" i="1"/>
  <c r="L2794" i="1" s="1"/>
  <c r="J2795" i="1"/>
  <c r="L2795" i="1" s="1"/>
  <c r="J2796" i="1"/>
  <c r="L2796" i="1" s="1"/>
  <c r="J2797" i="1"/>
  <c r="L2797" i="1" s="1"/>
  <c r="J2798" i="1"/>
  <c r="L2798" i="1" s="1"/>
  <c r="J2799" i="1"/>
  <c r="L2799" i="1" s="1"/>
  <c r="J2800" i="1"/>
  <c r="L2800" i="1" s="1"/>
  <c r="J2801" i="1"/>
  <c r="L2801" i="1" s="1"/>
  <c r="J2802" i="1"/>
  <c r="L2802" i="1" s="1"/>
  <c r="J2803" i="1"/>
  <c r="L2803" i="1" s="1"/>
  <c r="J2804" i="1"/>
  <c r="L2804" i="1" s="1"/>
  <c r="J2805" i="1"/>
  <c r="L2805" i="1" s="1"/>
  <c r="J2806" i="1"/>
  <c r="L2806" i="1" s="1"/>
  <c r="J2807" i="1"/>
  <c r="L2807" i="1" s="1"/>
  <c r="J2808" i="1"/>
  <c r="L2808" i="1" s="1"/>
  <c r="J2809" i="1"/>
  <c r="L2809" i="1" s="1"/>
  <c r="J2810" i="1"/>
  <c r="L2810" i="1" s="1"/>
  <c r="J2811" i="1"/>
  <c r="L2811" i="1" s="1"/>
  <c r="J2812" i="1"/>
  <c r="L2812" i="1" s="1"/>
  <c r="J2813" i="1"/>
  <c r="L2813" i="1" s="1"/>
  <c r="J2814" i="1"/>
  <c r="L2814" i="1" s="1"/>
  <c r="J2815" i="1"/>
  <c r="L2815" i="1" s="1"/>
  <c r="J2816" i="1"/>
  <c r="L2816" i="1" s="1"/>
  <c r="J2817" i="1"/>
  <c r="L2817" i="1" s="1"/>
  <c r="J2818" i="1"/>
  <c r="L2818" i="1" s="1"/>
  <c r="J2819" i="1"/>
  <c r="L2819" i="1" s="1"/>
  <c r="J2820" i="1"/>
  <c r="L2820" i="1" s="1"/>
  <c r="J2821" i="1"/>
  <c r="L2821" i="1" s="1"/>
  <c r="J2822" i="1"/>
  <c r="L2822" i="1" s="1"/>
  <c r="J2823" i="1"/>
  <c r="L2823" i="1" s="1"/>
  <c r="J2824" i="1"/>
  <c r="L2824" i="1" s="1"/>
  <c r="J2825" i="1"/>
  <c r="L2825" i="1" s="1"/>
  <c r="J2826" i="1"/>
  <c r="L2826" i="1" s="1"/>
  <c r="J2827" i="1"/>
  <c r="L2827" i="1" s="1"/>
  <c r="J2828" i="1"/>
  <c r="L2828" i="1" s="1"/>
  <c r="J2829" i="1"/>
  <c r="L2829" i="1" s="1"/>
  <c r="J2830" i="1"/>
  <c r="L2830" i="1" s="1"/>
  <c r="J2831" i="1"/>
  <c r="L2831" i="1" s="1"/>
  <c r="J2832" i="1"/>
  <c r="L2832" i="1" s="1"/>
  <c r="J2833" i="1"/>
  <c r="L2833" i="1" s="1"/>
  <c r="J2834" i="1"/>
  <c r="L2834" i="1" s="1"/>
  <c r="J2835" i="1"/>
  <c r="L2835" i="1" s="1"/>
  <c r="J2836" i="1"/>
  <c r="L2836" i="1" s="1"/>
  <c r="J2837" i="1"/>
  <c r="L2837" i="1" s="1"/>
  <c r="J2838" i="1"/>
  <c r="L2838" i="1" s="1"/>
  <c r="J2839" i="1"/>
  <c r="L2839" i="1" s="1"/>
  <c r="J2840" i="1"/>
  <c r="L2840" i="1" s="1"/>
  <c r="J2841" i="1"/>
  <c r="L2841" i="1" s="1"/>
  <c r="J2842" i="1"/>
  <c r="L2842" i="1" s="1"/>
  <c r="J2843" i="1"/>
  <c r="L2843" i="1" s="1"/>
  <c r="J2844" i="1"/>
  <c r="L2844" i="1" s="1"/>
  <c r="J2845" i="1"/>
  <c r="L2845" i="1" s="1"/>
  <c r="J2846" i="1"/>
  <c r="L2846" i="1" s="1"/>
  <c r="J2847" i="1"/>
  <c r="L2847" i="1" s="1"/>
  <c r="J2848" i="1"/>
  <c r="L2848" i="1" s="1"/>
  <c r="J2849" i="1"/>
  <c r="L2849" i="1" s="1"/>
  <c r="J2850" i="1"/>
  <c r="L2850" i="1" s="1"/>
  <c r="J2851" i="1"/>
  <c r="L2851" i="1" s="1"/>
  <c r="J2852" i="1"/>
  <c r="L2852" i="1" s="1"/>
  <c r="J2853" i="1"/>
  <c r="L2853" i="1" s="1"/>
  <c r="J2854" i="1"/>
  <c r="L2854" i="1" s="1"/>
  <c r="J2855" i="1"/>
  <c r="L2855" i="1" s="1"/>
  <c r="J2856" i="1"/>
  <c r="L2856" i="1" s="1"/>
  <c r="J2857" i="1"/>
  <c r="L2857" i="1" s="1"/>
  <c r="J2858" i="1"/>
  <c r="L2858" i="1" s="1"/>
  <c r="J2859" i="1"/>
  <c r="L2859" i="1" s="1"/>
  <c r="J2860" i="1"/>
  <c r="L2860" i="1" s="1"/>
  <c r="J2861" i="1"/>
  <c r="L2861" i="1" s="1"/>
  <c r="J2862" i="1"/>
  <c r="L2862" i="1" s="1"/>
  <c r="J2863" i="1"/>
  <c r="L2863" i="1" s="1"/>
  <c r="J2864" i="1"/>
  <c r="L2864" i="1" s="1"/>
  <c r="J2865" i="1"/>
  <c r="L2865" i="1" s="1"/>
  <c r="J2866" i="1"/>
  <c r="L2866" i="1" s="1"/>
  <c r="J2867" i="1"/>
  <c r="L2867" i="1" s="1"/>
  <c r="J2868" i="1"/>
  <c r="L2868" i="1" s="1"/>
  <c r="J2869" i="1"/>
  <c r="L2869" i="1" s="1"/>
  <c r="J2870" i="1"/>
  <c r="L2870" i="1" s="1"/>
  <c r="J2871" i="1"/>
  <c r="L2871" i="1" s="1"/>
  <c r="J2872" i="1"/>
  <c r="L2872" i="1" s="1"/>
  <c r="J2873" i="1"/>
  <c r="L2873" i="1" s="1"/>
  <c r="J2874" i="1"/>
  <c r="L2874" i="1" s="1"/>
  <c r="J2875" i="1"/>
  <c r="L2875" i="1" s="1"/>
  <c r="J2876" i="1"/>
  <c r="L2876" i="1" s="1"/>
  <c r="J2877" i="1"/>
  <c r="L2877" i="1" s="1"/>
  <c r="J2878" i="1"/>
  <c r="L2878" i="1" s="1"/>
  <c r="J2879" i="1"/>
  <c r="L2879" i="1" s="1"/>
  <c r="J2880" i="1"/>
  <c r="L2880" i="1" s="1"/>
  <c r="J2881" i="1"/>
  <c r="L2881" i="1" s="1"/>
  <c r="J2882" i="1"/>
  <c r="L2882" i="1" s="1"/>
  <c r="J2883" i="1"/>
  <c r="L2883" i="1" s="1"/>
  <c r="J2884" i="1"/>
  <c r="L2884" i="1" s="1"/>
  <c r="J2885" i="1"/>
  <c r="L2885" i="1" s="1"/>
  <c r="J2886" i="1"/>
  <c r="L2886" i="1" s="1"/>
  <c r="J2887" i="1"/>
  <c r="L2887" i="1" s="1"/>
  <c r="J2888" i="1"/>
  <c r="L2888" i="1" s="1"/>
  <c r="J2889" i="1"/>
  <c r="L2889" i="1" s="1"/>
  <c r="J2890" i="1"/>
  <c r="L2890" i="1" s="1"/>
  <c r="J2891" i="1"/>
  <c r="L2891" i="1" s="1"/>
  <c r="J2892" i="1"/>
  <c r="L2892" i="1" s="1"/>
  <c r="J2893" i="1"/>
  <c r="L2893" i="1" s="1"/>
  <c r="J2894" i="1"/>
  <c r="L2894" i="1" s="1"/>
  <c r="J2895" i="1"/>
  <c r="L2895" i="1" s="1"/>
  <c r="J2896" i="1"/>
  <c r="L2896" i="1" s="1"/>
  <c r="J2897" i="1"/>
  <c r="L2897" i="1" s="1"/>
  <c r="J2898" i="1"/>
  <c r="L2898" i="1" s="1"/>
  <c r="J2899" i="1"/>
  <c r="L2899" i="1" s="1"/>
  <c r="J2900" i="1"/>
  <c r="L2900" i="1" s="1"/>
  <c r="J2901" i="1"/>
  <c r="L2901" i="1" s="1"/>
  <c r="J2902" i="1"/>
  <c r="L2902" i="1" s="1"/>
  <c r="J2903" i="1"/>
  <c r="L2903" i="1" s="1"/>
  <c r="J2904" i="1"/>
  <c r="L2904" i="1" s="1"/>
  <c r="J2905" i="1"/>
  <c r="L2905" i="1" s="1"/>
  <c r="J2906" i="1"/>
  <c r="L2906" i="1" s="1"/>
  <c r="J2907" i="1"/>
  <c r="L2907" i="1" s="1"/>
  <c r="J2908" i="1"/>
  <c r="L2908" i="1" s="1"/>
  <c r="J2909" i="1"/>
  <c r="L2909" i="1" s="1"/>
  <c r="J2910" i="1"/>
  <c r="L2910" i="1" s="1"/>
  <c r="J2911" i="1"/>
  <c r="L2911" i="1" s="1"/>
  <c r="J2912" i="1"/>
  <c r="L2912" i="1" s="1"/>
  <c r="J2913" i="1"/>
  <c r="L2913" i="1" s="1"/>
  <c r="J2914" i="1"/>
  <c r="L2914" i="1" s="1"/>
  <c r="J2915" i="1"/>
  <c r="L2915" i="1" s="1"/>
  <c r="J2916" i="1"/>
  <c r="L2916" i="1" s="1"/>
  <c r="J2917" i="1"/>
  <c r="L2917" i="1" s="1"/>
  <c r="J2918" i="1"/>
  <c r="L2918" i="1" s="1"/>
  <c r="J2919" i="1"/>
  <c r="L2919" i="1" s="1"/>
  <c r="J2920" i="1"/>
  <c r="L2920" i="1" s="1"/>
  <c r="J2921" i="1"/>
  <c r="L2921" i="1" s="1"/>
  <c r="J2922" i="1"/>
  <c r="L2922" i="1" s="1"/>
  <c r="J2923" i="1"/>
  <c r="L2923" i="1" s="1"/>
  <c r="J2924" i="1"/>
  <c r="L2924" i="1" s="1"/>
  <c r="J2925" i="1"/>
  <c r="L2925" i="1" s="1"/>
  <c r="J2926" i="1"/>
  <c r="L2926" i="1" s="1"/>
  <c r="J2927" i="1"/>
  <c r="L2927" i="1" s="1"/>
  <c r="J2928" i="1"/>
  <c r="L2928" i="1" s="1"/>
  <c r="J2929" i="1"/>
  <c r="L2929" i="1" s="1"/>
  <c r="J2930" i="1"/>
  <c r="L2930" i="1" s="1"/>
  <c r="J2931" i="1"/>
  <c r="L2931" i="1" s="1"/>
  <c r="J2932" i="1"/>
  <c r="L2932" i="1" s="1"/>
  <c r="J2933" i="1"/>
  <c r="L2933" i="1" s="1"/>
  <c r="J2934" i="1"/>
  <c r="L2934" i="1" s="1"/>
  <c r="J2935" i="1"/>
  <c r="L2935" i="1" s="1"/>
  <c r="J2936" i="1"/>
  <c r="L2936" i="1" s="1"/>
  <c r="J2937" i="1"/>
  <c r="L2937" i="1" s="1"/>
  <c r="J2938" i="1"/>
  <c r="L2938" i="1" s="1"/>
  <c r="J2939" i="1"/>
  <c r="L2939" i="1" s="1"/>
  <c r="J2940" i="1"/>
  <c r="L2940" i="1" s="1"/>
  <c r="J2941" i="1"/>
  <c r="L2941" i="1" s="1"/>
  <c r="J2942" i="1"/>
  <c r="L2942" i="1" s="1"/>
  <c r="J2943" i="1"/>
  <c r="L2943" i="1" s="1"/>
  <c r="J2944" i="1"/>
  <c r="L2944" i="1" s="1"/>
  <c r="J2945" i="1"/>
  <c r="L2945" i="1" s="1"/>
  <c r="J2946" i="1"/>
  <c r="L2946" i="1" s="1"/>
  <c r="J2947" i="1"/>
  <c r="L2947" i="1" s="1"/>
  <c r="J2948" i="1"/>
  <c r="L2948" i="1" s="1"/>
  <c r="J2949" i="1"/>
  <c r="L2949" i="1" s="1"/>
  <c r="J2950" i="1"/>
  <c r="L2950" i="1" s="1"/>
  <c r="J2951" i="1"/>
  <c r="L2951" i="1" s="1"/>
  <c r="J2952" i="1"/>
  <c r="L2952" i="1" s="1"/>
  <c r="J2953" i="1"/>
  <c r="L2953" i="1" s="1"/>
  <c r="J2954" i="1"/>
  <c r="L2954" i="1" s="1"/>
  <c r="J2955" i="1"/>
  <c r="L2955" i="1" s="1"/>
  <c r="J2956" i="1"/>
  <c r="L2956" i="1" s="1"/>
  <c r="J2957" i="1"/>
  <c r="L2957" i="1" s="1"/>
  <c r="J2958" i="1"/>
  <c r="L2958" i="1" s="1"/>
  <c r="J2959" i="1"/>
  <c r="L2959" i="1" s="1"/>
  <c r="J2960" i="1"/>
  <c r="L2960" i="1" s="1"/>
  <c r="J2961" i="1"/>
  <c r="L2961" i="1" s="1"/>
  <c r="J2962" i="1"/>
  <c r="L2962" i="1" s="1"/>
  <c r="J2963" i="1"/>
  <c r="L2963" i="1" s="1"/>
  <c r="J2964" i="1"/>
  <c r="L2964" i="1" s="1"/>
  <c r="J2965" i="1"/>
  <c r="L2965" i="1" s="1"/>
  <c r="J2966" i="1"/>
  <c r="L2966" i="1" s="1"/>
  <c r="J2967" i="1"/>
  <c r="L2967" i="1" s="1"/>
  <c r="J2968" i="1"/>
  <c r="L2968" i="1" s="1"/>
  <c r="J2969" i="1"/>
  <c r="L2969" i="1" s="1"/>
  <c r="J2970" i="1"/>
  <c r="L2970" i="1" s="1"/>
  <c r="J2971" i="1"/>
  <c r="L2971" i="1" s="1"/>
  <c r="J2972" i="1"/>
  <c r="L2972" i="1" s="1"/>
  <c r="J2973" i="1"/>
  <c r="L2973" i="1" s="1"/>
  <c r="J2974" i="1"/>
  <c r="L2974" i="1" s="1"/>
  <c r="J2975" i="1"/>
  <c r="L2975" i="1" s="1"/>
  <c r="J2976" i="1"/>
  <c r="L2976" i="1" s="1"/>
  <c r="J2977" i="1"/>
  <c r="L2977" i="1" s="1"/>
  <c r="J2978" i="1"/>
  <c r="L2978" i="1" s="1"/>
  <c r="J2979" i="1"/>
  <c r="L2979" i="1" s="1"/>
  <c r="J2980" i="1"/>
  <c r="L2980" i="1" s="1"/>
  <c r="J2981" i="1"/>
  <c r="L2981" i="1" s="1"/>
  <c r="J2982" i="1"/>
  <c r="L2982" i="1" s="1"/>
  <c r="J2983" i="1"/>
  <c r="L2983" i="1" s="1"/>
  <c r="J2984" i="1"/>
  <c r="L2984" i="1" s="1"/>
  <c r="J2985" i="1"/>
  <c r="L2985" i="1" s="1"/>
  <c r="J2986" i="1"/>
  <c r="L2986" i="1" s="1"/>
  <c r="J2987" i="1"/>
  <c r="L2987" i="1" s="1"/>
  <c r="J2988" i="1"/>
  <c r="L2988" i="1" s="1"/>
  <c r="J2989" i="1"/>
  <c r="L2989" i="1" s="1"/>
  <c r="J2990" i="1"/>
  <c r="L2990" i="1" s="1"/>
  <c r="J2991" i="1"/>
  <c r="L2991" i="1" s="1"/>
  <c r="J2992" i="1"/>
  <c r="L2992" i="1" s="1"/>
  <c r="J2993" i="1"/>
  <c r="L2993" i="1" s="1"/>
  <c r="J2994" i="1"/>
  <c r="L2994" i="1" s="1"/>
  <c r="J2995" i="1"/>
  <c r="L2995" i="1" s="1"/>
  <c r="J2996" i="1"/>
  <c r="L2996" i="1" s="1"/>
  <c r="J2997" i="1"/>
  <c r="L2997" i="1" s="1"/>
  <c r="J2998" i="1"/>
  <c r="L2998" i="1" s="1"/>
  <c r="J2999" i="1"/>
  <c r="L2999" i="1" s="1"/>
  <c r="J3000" i="1"/>
  <c r="L3000" i="1" s="1"/>
  <c r="J3001" i="1"/>
  <c r="L3001" i="1" s="1"/>
  <c r="J3002" i="1"/>
  <c r="L3002" i="1" s="1"/>
  <c r="J3003" i="1"/>
  <c r="L3003" i="1" s="1"/>
  <c r="J3004" i="1"/>
  <c r="L3004" i="1" s="1"/>
  <c r="J3005" i="1"/>
  <c r="L3005" i="1" s="1"/>
  <c r="J3006" i="1"/>
  <c r="L3006" i="1" s="1"/>
  <c r="J3007" i="1"/>
  <c r="L3007" i="1" s="1"/>
  <c r="J3008" i="1"/>
  <c r="L3008" i="1" s="1"/>
  <c r="J3009" i="1"/>
  <c r="L3009" i="1" s="1"/>
  <c r="J3010" i="1"/>
  <c r="L3010" i="1" s="1"/>
  <c r="J3011" i="1"/>
  <c r="L3011" i="1" s="1"/>
  <c r="J3012" i="1"/>
  <c r="L3012" i="1" s="1"/>
  <c r="J3013" i="1"/>
  <c r="L3013" i="1" s="1"/>
  <c r="J3014" i="1"/>
  <c r="L3014" i="1" s="1"/>
  <c r="J3015" i="1"/>
  <c r="L3015" i="1" s="1"/>
  <c r="J3016" i="1"/>
  <c r="L3016" i="1" s="1"/>
  <c r="J3017" i="1"/>
  <c r="L3017" i="1" s="1"/>
  <c r="J3018" i="1"/>
  <c r="L3018" i="1" s="1"/>
  <c r="J3019" i="1"/>
  <c r="L3019" i="1" s="1"/>
  <c r="J3020" i="1"/>
  <c r="L3020" i="1" s="1"/>
  <c r="J3021" i="1"/>
  <c r="L3021" i="1" s="1"/>
  <c r="J3022" i="1"/>
  <c r="L3022" i="1" s="1"/>
  <c r="J3023" i="1"/>
  <c r="L3023" i="1" s="1"/>
  <c r="J3024" i="1"/>
  <c r="L3024" i="1" s="1"/>
  <c r="J3025" i="1"/>
  <c r="L3025" i="1" s="1"/>
  <c r="J3026" i="1"/>
  <c r="L3026" i="1" s="1"/>
  <c r="J3027" i="1"/>
  <c r="L3027" i="1" s="1"/>
  <c r="J3028" i="1"/>
  <c r="L3028" i="1" s="1"/>
  <c r="J3029" i="1"/>
  <c r="L3029" i="1" s="1"/>
  <c r="J3030" i="1"/>
  <c r="L3030" i="1" s="1"/>
  <c r="J3031" i="1"/>
  <c r="L3031" i="1" s="1"/>
  <c r="J3032" i="1"/>
  <c r="L3032" i="1" s="1"/>
  <c r="J3033" i="1"/>
  <c r="L3033" i="1" s="1"/>
  <c r="J3034" i="1"/>
  <c r="L3034" i="1" s="1"/>
  <c r="J3035" i="1"/>
  <c r="L3035" i="1" s="1"/>
  <c r="J3036" i="1"/>
  <c r="L3036" i="1" s="1"/>
  <c r="J3037" i="1"/>
  <c r="L3037" i="1" s="1"/>
  <c r="J3038" i="1"/>
  <c r="L3038" i="1" s="1"/>
  <c r="J3039" i="1"/>
  <c r="L3039" i="1" s="1"/>
  <c r="J3040" i="1"/>
  <c r="L3040" i="1" s="1"/>
  <c r="J3041" i="1"/>
  <c r="L3041" i="1" s="1"/>
  <c r="J3042" i="1"/>
  <c r="L3042" i="1" s="1"/>
  <c r="J3043" i="1"/>
  <c r="L3043" i="1" s="1"/>
  <c r="J3044" i="1"/>
  <c r="L3044" i="1" s="1"/>
  <c r="J3045" i="1"/>
  <c r="L3045" i="1" s="1"/>
  <c r="J3046" i="1"/>
  <c r="L3046" i="1" s="1"/>
  <c r="J3047" i="1"/>
  <c r="L3047" i="1" s="1"/>
  <c r="J3048" i="1"/>
  <c r="L3048" i="1" s="1"/>
  <c r="J3049" i="1"/>
  <c r="L3049" i="1" s="1"/>
  <c r="J3050" i="1"/>
  <c r="L3050" i="1" s="1"/>
  <c r="J3051" i="1"/>
  <c r="L3051" i="1" s="1"/>
  <c r="J3052" i="1"/>
  <c r="L3052" i="1" s="1"/>
  <c r="J3053" i="1"/>
  <c r="L3053" i="1" s="1"/>
  <c r="J3054" i="1"/>
  <c r="L3054" i="1" s="1"/>
  <c r="J3055" i="1"/>
  <c r="L3055" i="1" s="1"/>
  <c r="J3056" i="1"/>
  <c r="L3056" i="1" s="1"/>
  <c r="J3057" i="1"/>
  <c r="L3057" i="1" s="1"/>
  <c r="J3058" i="1"/>
  <c r="L3058" i="1" s="1"/>
  <c r="J3059" i="1"/>
  <c r="L3059" i="1" s="1"/>
  <c r="J3060" i="1"/>
  <c r="L3060" i="1" s="1"/>
  <c r="J3061" i="1"/>
  <c r="L3061" i="1" s="1"/>
  <c r="J3062" i="1"/>
  <c r="L3062" i="1" s="1"/>
  <c r="J3063" i="1"/>
  <c r="L3063" i="1" s="1"/>
  <c r="J3064" i="1"/>
  <c r="L3064" i="1" s="1"/>
  <c r="J3065" i="1"/>
  <c r="L3065" i="1" s="1"/>
  <c r="J3066" i="1"/>
  <c r="L3066" i="1" s="1"/>
  <c r="J3067" i="1"/>
  <c r="L3067" i="1" s="1"/>
  <c r="J3068" i="1"/>
  <c r="L3068" i="1" s="1"/>
  <c r="J3069" i="1"/>
  <c r="L3069" i="1" s="1"/>
  <c r="J3070" i="1"/>
  <c r="L3070" i="1" s="1"/>
  <c r="J3071" i="1"/>
  <c r="L3071" i="1" s="1"/>
  <c r="J3072" i="1"/>
  <c r="L3072" i="1" s="1"/>
  <c r="J3073" i="1"/>
  <c r="L3073" i="1" s="1"/>
  <c r="J3074" i="1"/>
  <c r="L3074" i="1" s="1"/>
  <c r="J3075" i="1"/>
  <c r="L3075" i="1" s="1"/>
  <c r="J3076" i="1"/>
  <c r="L3076" i="1" s="1"/>
  <c r="J3077" i="1"/>
  <c r="L3077" i="1" s="1"/>
  <c r="J3078" i="1"/>
  <c r="L3078" i="1" s="1"/>
  <c r="J3079" i="1"/>
  <c r="L3079" i="1" s="1"/>
  <c r="J3080" i="1"/>
  <c r="L3080" i="1" s="1"/>
  <c r="J3081" i="1"/>
  <c r="L3081" i="1" s="1"/>
  <c r="J3082" i="1"/>
  <c r="L3082" i="1" s="1"/>
  <c r="J3083" i="1"/>
  <c r="L3083" i="1" s="1"/>
  <c r="J3084" i="1"/>
  <c r="L3084" i="1" s="1"/>
  <c r="J3085" i="1"/>
  <c r="L3085" i="1" s="1"/>
  <c r="J3086" i="1"/>
  <c r="L3086" i="1" s="1"/>
  <c r="J3087" i="1"/>
  <c r="L3087" i="1" s="1"/>
  <c r="J3088" i="1"/>
  <c r="L3088" i="1" s="1"/>
  <c r="J3089" i="1"/>
  <c r="L3089" i="1" s="1"/>
  <c r="J3090" i="1"/>
  <c r="L3090" i="1" s="1"/>
  <c r="J3091" i="1"/>
  <c r="L3091" i="1" s="1"/>
  <c r="J3092" i="1"/>
  <c r="L3092" i="1" s="1"/>
  <c r="J3093" i="1"/>
  <c r="L3093" i="1" s="1"/>
  <c r="J3094" i="1"/>
  <c r="L3094" i="1" s="1"/>
  <c r="J3095" i="1"/>
  <c r="L3095" i="1" s="1"/>
  <c r="J3096" i="1"/>
  <c r="L3096" i="1" s="1"/>
  <c r="J3097" i="1"/>
  <c r="L3097" i="1" s="1"/>
  <c r="J3098" i="1"/>
  <c r="L3098" i="1" s="1"/>
  <c r="J3099" i="1"/>
  <c r="L3099" i="1" s="1"/>
  <c r="J3100" i="1"/>
  <c r="L3100" i="1" s="1"/>
  <c r="J3101" i="1"/>
  <c r="L3101" i="1" s="1"/>
  <c r="J3102" i="1"/>
  <c r="L3102" i="1" s="1"/>
  <c r="J3103" i="1"/>
  <c r="L3103" i="1" s="1"/>
  <c r="J3104" i="1"/>
  <c r="L3104" i="1" s="1"/>
  <c r="J3105" i="1"/>
  <c r="L3105" i="1" s="1"/>
  <c r="J3106" i="1"/>
  <c r="L3106" i="1" s="1"/>
  <c r="J3107" i="1"/>
  <c r="L3107" i="1" s="1"/>
  <c r="J3108" i="1"/>
  <c r="L3108" i="1" s="1"/>
  <c r="J3109" i="1"/>
  <c r="L3109" i="1" s="1"/>
  <c r="J3110" i="1"/>
  <c r="L3110" i="1" s="1"/>
  <c r="J3111" i="1"/>
  <c r="L3111" i="1" s="1"/>
  <c r="J3112" i="1"/>
  <c r="L3112" i="1" s="1"/>
  <c r="J3113" i="1"/>
  <c r="L3113" i="1" s="1"/>
  <c r="J3114" i="1"/>
  <c r="L3114" i="1" s="1"/>
  <c r="J3115" i="1"/>
  <c r="L3115" i="1" s="1"/>
  <c r="J3116" i="1"/>
  <c r="L3116" i="1" s="1"/>
  <c r="J3117" i="1"/>
  <c r="L3117" i="1" s="1"/>
  <c r="J3118" i="1"/>
  <c r="L3118" i="1" s="1"/>
  <c r="J3119" i="1"/>
  <c r="L3119" i="1" s="1"/>
  <c r="J3120" i="1"/>
  <c r="L3120" i="1" s="1"/>
  <c r="J3121" i="1"/>
  <c r="L3121" i="1" s="1"/>
  <c r="J3122" i="1"/>
  <c r="L3122" i="1" s="1"/>
  <c r="J3123" i="1"/>
  <c r="L3123" i="1" s="1"/>
  <c r="J3124" i="1"/>
  <c r="L3124" i="1" s="1"/>
  <c r="J3125" i="1"/>
  <c r="L3125" i="1" s="1"/>
  <c r="J3126" i="1"/>
  <c r="L3126" i="1" s="1"/>
  <c r="J3127" i="1"/>
  <c r="L3127" i="1" s="1"/>
  <c r="J3128" i="1"/>
  <c r="L3128" i="1" s="1"/>
  <c r="J3129" i="1"/>
  <c r="L3129" i="1" s="1"/>
  <c r="J3130" i="1"/>
  <c r="L3130" i="1" s="1"/>
  <c r="J3131" i="1"/>
  <c r="L3131" i="1" s="1"/>
  <c r="J3132" i="1"/>
  <c r="L3132" i="1" s="1"/>
  <c r="J3133" i="1"/>
  <c r="L3133" i="1" s="1"/>
  <c r="J3134" i="1"/>
  <c r="L3134" i="1" s="1"/>
  <c r="J3135" i="1"/>
  <c r="L3135" i="1" s="1"/>
  <c r="J3136" i="1"/>
  <c r="L3136" i="1" s="1"/>
  <c r="J3137" i="1"/>
  <c r="L3137" i="1" s="1"/>
  <c r="J3138" i="1"/>
  <c r="L3138" i="1" s="1"/>
  <c r="J3139" i="1"/>
  <c r="L3139" i="1" s="1"/>
  <c r="J3140" i="1"/>
  <c r="L3140" i="1" s="1"/>
  <c r="J3141" i="1"/>
  <c r="L3141" i="1" s="1"/>
  <c r="J3142" i="1"/>
  <c r="L3142" i="1" s="1"/>
  <c r="J3143" i="1"/>
  <c r="L3143" i="1" s="1"/>
  <c r="J3144" i="1"/>
  <c r="L3144" i="1" s="1"/>
  <c r="J3145" i="1"/>
  <c r="L3145" i="1" s="1"/>
  <c r="J3146" i="1"/>
  <c r="L3146" i="1" s="1"/>
  <c r="J3147" i="1"/>
  <c r="L3147" i="1" s="1"/>
  <c r="J3148" i="1"/>
  <c r="L3148" i="1" s="1"/>
  <c r="J3149" i="1"/>
  <c r="L3149" i="1" s="1"/>
  <c r="J3150" i="1"/>
  <c r="L3150" i="1" s="1"/>
  <c r="J3151" i="1"/>
  <c r="L3151" i="1" s="1"/>
  <c r="J3152" i="1"/>
  <c r="L3152" i="1" s="1"/>
  <c r="J3153" i="1"/>
  <c r="L3153" i="1" s="1"/>
  <c r="J3154" i="1"/>
  <c r="L3154" i="1" s="1"/>
  <c r="J3155" i="1"/>
  <c r="L3155" i="1" s="1"/>
  <c r="J3156" i="1"/>
  <c r="L3156" i="1" s="1"/>
  <c r="J3157" i="1"/>
  <c r="L3157" i="1" s="1"/>
  <c r="J3158" i="1"/>
  <c r="L3158" i="1" s="1"/>
  <c r="J3159" i="1"/>
  <c r="L3159" i="1" s="1"/>
  <c r="J3160" i="1"/>
  <c r="L3160" i="1" s="1"/>
  <c r="J3161" i="1"/>
  <c r="L3161" i="1" s="1"/>
  <c r="J3162" i="1"/>
  <c r="L3162" i="1" s="1"/>
  <c r="J3163" i="1"/>
  <c r="L3163" i="1" s="1"/>
  <c r="J3164" i="1"/>
  <c r="L3164" i="1" s="1"/>
  <c r="J3165" i="1"/>
  <c r="L3165" i="1" s="1"/>
  <c r="J3166" i="1"/>
  <c r="L3166" i="1" s="1"/>
  <c r="J3167" i="1"/>
  <c r="L3167" i="1" s="1"/>
  <c r="J3168" i="1"/>
  <c r="L3168" i="1" s="1"/>
  <c r="J3169" i="1"/>
  <c r="L3169" i="1" s="1"/>
  <c r="J3170" i="1"/>
  <c r="L3170" i="1" s="1"/>
  <c r="J3171" i="1"/>
  <c r="L3171" i="1" s="1"/>
  <c r="J3172" i="1"/>
  <c r="L3172" i="1" s="1"/>
  <c r="J3173" i="1"/>
  <c r="L3173" i="1" s="1"/>
  <c r="J3174" i="1"/>
  <c r="L3174" i="1" s="1"/>
  <c r="J3175" i="1"/>
  <c r="L3175" i="1" s="1"/>
  <c r="J3176" i="1"/>
  <c r="L3176" i="1" s="1"/>
  <c r="J3177" i="1"/>
  <c r="L3177" i="1" s="1"/>
  <c r="J3178" i="1"/>
  <c r="L3178" i="1" s="1"/>
  <c r="J3179" i="1"/>
  <c r="L3179" i="1" s="1"/>
  <c r="J3180" i="1"/>
  <c r="L3180" i="1" s="1"/>
  <c r="J3181" i="1"/>
  <c r="L3181" i="1" s="1"/>
  <c r="J3182" i="1"/>
  <c r="L3182" i="1" s="1"/>
  <c r="J3183" i="1"/>
  <c r="L3183" i="1" s="1"/>
  <c r="J3184" i="1"/>
  <c r="L3184" i="1" s="1"/>
  <c r="J3185" i="1"/>
  <c r="L3185" i="1" s="1"/>
  <c r="J3186" i="1"/>
  <c r="L3186" i="1" s="1"/>
  <c r="J3187" i="1"/>
  <c r="L3187" i="1" s="1"/>
  <c r="J3188" i="1"/>
  <c r="L3188" i="1" s="1"/>
  <c r="J3189" i="1"/>
  <c r="L3189" i="1" s="1"/>
  <c r="J3190" i="1"/>
  <c r="L3190" i="1" s="1"/>
  <c r="J3191" i="1"/>
  <c r="L3191" i="1" s="1"/>
  <c r="J3192" i="1"/>
  <c r="L3192" i="1" s="1"/>
  <c r="J3193" i="1"/>
  <c r="L3193" i="1" s="1"/>
  <c r="J3194" i="1"/>
  <c r="L3194" i="1" s="1"/>
  <c r="J3195" i="1"/>
  <c r="L3195" i="1" s="1"/>
  <c r="J3196" i="1"/>
  <c r="L3196" i="1" s="1"/>
  <c r="J3197" i="1"/>
  <c r="L3197" i="1" s="1"/>
  <c r="J3198" i="1"/>
  <c r="L3198" i="1" s="1"/>
  <c r="J3199" i="1"/>
  <c r="L3199" i="1" s="1"/>
  <c r="J3200" i="1"/>
  <c r="L3200" i="1" s="1"/>
  <c r="J3201" i="1"/>
  <c r="L3201" i="1" s="1"/>
  <c r="J3202" i="1"/>
  <c r="L3202" i="1" s="1"/>
  <c r="J3203" i="1"/>
  <c r="L3203" i="1" s="1"/>
  <c r="J3204" i="1"/>
  <c r="L3204" i="1" s="1"/>
  <c r="J3205" i="1"/>
  <c r="L3205" i="1" s="1"/>
  <c r="J3206" i="1"/>
  <c r="L3206" i="1" s="1"/>
  <c r="J3207" i="1"/>
  <c r="L3207" i="1" s="1"/>
  <c r="J3208" i="1"/>
  <c r="L3208" i="1" s="1"/>
  <c r="J3209" i="1"/>
  <c r="L3209" i="1" s="1"/>
  <c r="J3210" i="1"/>
  <c r="L3210" i="1" s="1"/>
  <c r="J3211" i="1"/>
  <c r="L3211" i="1" s="1"/>
  <c r="J3212" i="1"/>
  <c r="L3212" i="1" s="1"/>
  <c r="J3213" i="1"/>
  <c r="L3213" i="1" s="1"/>
  <c r="J3214" i="1"/>
  <c r="L3214" i="1" s="1"/>
  <c r="J3215" i="1"/>
  <c r="L3215" i="1" s="1"/>
  <c r="J3216" i="1"/>
  <c r="L3216" i="1" s="1"/>
  <c r="J3217" i="1"/>
  <c r="L3217" i="1" s="1"/>
  <c r="J3218" i="1"/>
  <c r="L3218" i="1" s="1"/>
  <c r="J3219" i="1"/>
  <c r="L3219" i="1" s="1"/>
  <c r="J3220" i="1"/>
  <c r="L3220" i="1" s="1"/>
  <c r="J3221" i="1"/>
  <c r="L3221" i="1" s="1"/>
  <c r="J3222" i="1"/>
  <c r="L3222" i="1" s="1"/>
  <c r="J3223" i="1"/>
  <c r="L3223" i="1" s="1"/>
  <c r="J3224" i="1"/>
  <c r="L3224" i="1" s="1"/>
  <c r="J3225" i="1"/>
  <c r="L3225" i="1" s="1"/>
  <c r="J3226" i="1"/>
  <c r="L3226" i="1" s="1"/>
  <c r="J3227" i="1"/>
  <c r="L3227" i="1" s="1"/>
  <c r="J3228" i="1"/>
  <c r="L3228" i="1" s="1"/>
  <c r="J3229" i="1"/>
  <c r="L3229" i="1" s="1"/>
  <c r="J3230" i="1"/>
  <c r="L3230" i="1" s="1"/>
  <c r="J3231" i="1"/>
  <c r="L3231" i="1" s="1"/>
  <c r="J3232" i="1"/>
  <c r="L3232" i="1" s="1"/>
  <c r="J3233" i="1"/>
  <c r="L3233" i="1" s="1"/>
  <c r="J3234" i="1"/>
  <c r="L3234" i="1" s="1"/>
  <c r="J3235" i="1"/>
  <c r="L3235" i="1" s="1"/>
  <c r="J3236" i="1"/>
  <c r="L3236" i="1" s="1"/>
  <c r="J3237" i="1"/>
  <c r="L3237" i="1" s="1"/>
  <c r="J3238" i="1"/>
  <c r="L3238" i="1" s="1"/>
  <c r="J3239" i="1"/>
  <c r="L3239" i="1" s="1"/>
  <c r="J3240" i="1"/>
  <c r="L3240" i="1" s="1"/>
  <c r="J3241" i="1"/>
  <c r="L3241" i="1" s="1"/>
  <c r="J3242" i="1"/>
  <c r="L3242" i="1" s="1"/>
  <c r="J3243" i="1"/>
  <c r="L3243" i="1" s="1"/>
  <c r="J3244" i="1"/>
  <c r="L3244" i="1" s="1"/>
  <c r="J3245" i="1"/>
  <c r="L3245" i="1" s="1"/>
  <c r="J3246" i="1"/>
  <c r="L3246" i="1" s="1"/>
  <c r="J3247" i="1"/>
  <c r="L3247" i="1" s="1"/>
  <c r="J3248" i="1"/>
  <c r="L3248" i="1" s="1"/>
  <c r="J3249" i="1"/>
  <c r="L3249" i="1" s="1"/>
  <c r="J3250" i="1"/>
  <c r="L3250" i="1" s="1"/>
  <c r="J3251" i="1"/>
  <c r="L3251" i="1" s="1"/>
  <c r="J3252" i="1"/>
  <c r="L3252" i="1" s="1"/>
  <c r="J3253" i="1"/>
  <c r="L3253" i="1" s="1"/>
  <c r="J3254" i="1"/>
  <c r="L3254" i="1" s="1"/>
  <c r="J3255" i="1"/>
  <c r="L3255" i="1" s="1"/>
  <c r="J3256" i="1"/>
  <c r="L3256" i="1" s="1"/>
  <c r="J3257" i="1"/>
  <c r="L3257" i="1" s="1"/>
  <c r="J3258" i="1"/>
  <c r="L3258" i="1" s="1"/>
  <c r="J3259" i="1"/>
  <c r="L3259" i="1" s="1"/>
  <c r="J3260" i="1"/>
  <c r="L3260" i="1" s="1"/>
  <c r="J3261" i="1"/>
  <c r="L3261" i="1" s="1"/>
  <c r="J3262" i="1"/>
  <c r="L3262" i="1" s="1"/>
  <c r="J3263" i="1"/>
  <c r="L3263" i="1" s="1"/>
  <c r="J3264" i="1"/>
  <c r="L3264" i="1" s="1"/>
  <c r="J3265" i="1"/>
  <c r="L3265" i="1" s="1"/>
  <c r="J3266" i="1"/>
  <c r="L3266" i="1" s="1"/>
  <c r="J3267" i="1"/>
  <c r="L3267" i="1" s="1"/>
  <c r="J3268" i="1"/>
  <c r="L3268" i="1" s="1"/>
  <c r="J3269" i="1"/>
  <c r="L3269" i="1" s="1"/>
  <c r="J3270" i="1"/>
  <c r="L3270" i="1" s="1"/>
  <c r="J3271" i="1"/>
  <c r="L3271" i="1" s="1"/>
  <c r="J3272" i="1"/>
  <c r="L3272" i="1" s="1"/>
  <c r="J3273" i="1"/>
  <c r="L3273" i="1" s="1"/>
  <c r="J3274" i="1"/>
  <c r="L3274" i="1" s="1"/>
  <c r="J3275" i="1"/>
  <c r="L3275" i="1" s="1"/>
  <c r="J3276" i="1"/>
  <c r="L3276" i="1" s="1"/>
  <c r="J3277" i="1"/>
  <c r="L3277" i="1" s="1"/>
  <c r="J3278" i="1"/>
  <c r="L3278" i="1" s="1"/>
  <c r="J3279" i="1"/>
  <c r="L3279" i="1" s="1"/>
  <c r="J3280" i="1"/>
  <c r="L3280" i="1" s="1"/>
  <c r="J3281" i="1"/>
  <c r="L3281" i="1" s="1"/>
  <c r="J3282" i="1"/>
  <c r="L3282" i="1" s="1"/>
  <c r="J3283" i="1"/>
  <c r="L3283" i="1" s="1"/>
  <c r="J3284" i="1"/>
  <c r="L3284" i="1" s="1"/>
  <c r="J3285" i="1"/>
  <c r="L3285" i="1" s="1"/>
  <c r="J3286" i="1"/>
  <c r="L3286" i="1" s="1"/>
  <c r="J3287" i="1"/>
  <c r="L3287" i="1" s="1"/>
  <c r="J3288" i="1"/>
  <c r="L3288" i="1" s="1"/>
  <c r="J3289" i="1"/>
  <c r="L3289" i="1" s="1"/>
  <c r="J3290" i="1"/>
  <c r="L3290" i="1" s="1"/>
  <c r="J3291" i="1"/>
  <c r="L3291" i="1" s="1"/>
  <c r="J3292" i="1"/>
  <c r="L3292" i="1" s="1"/>
  <c r="J3293" i="1"/>
  <c r="L3293" i="1" s="1"/>
  <c r="J3294" i="1"/>
  <c r="L3294" i="1" s="1"/>
  <c r="J3295" i="1"/>
  <c r="L3295" i="1" s="1"/>
  <c r="J3296" i="1"/>
  <c r="L3296" i="1" s="1"/>
  <c r="J3297" i="1"/>
  <c r="L3297" i="1" s="1"/>
  <c r="J3298" i="1"/>
  <c r="L3298" i="1" s="1"/>
  <c r="J3299" i="1"/>
  <c r="L3299" i="1" s="1"/>
  <c r="J3300" i="1"/>
  <c r="L3300" i="1" s="1"/>
  <c r="J3301" i="1"/>
  <c r="L3301" i="1" s="1"/>
  <c r="J3302" i="1"/>
  <c r="L3302" i="1" s="1"/>
  <c r="J3303" i="1"/>
  <c r="L3303" i="1" s="1"/>
  <c r="J3304" i="1"/>
  <c r="L3304" i="1" s="1"/>
  <c r="J3305" i="1"/>
  <c r="L3305" i="1" s="1"/>
  <c r="J3306" i="1"/>
  <c r="L3306" i="1" s="1"/>
  <c r="J3307" i="1"/>
  <c r="L3307" i="1" s="1"/>
  <c r="J3308" i="1"/>
  <c r="L3308" i="1" s="1"/>
  <c r="J3309" i="1"/>
  <c r="L3309" i="1" s="1"/>
  <c r="J3310" i="1"/>
  <c r="L3310" i="1" s="1"/>
  <c r="J3311" i="1"/>
  <c r="L3311" i="1" s="1"/>
  <c r="J3312" i="1"/>
  <c r="L3312" i="1" s="1"/>
  <c r="J3313" i="1"/>
  <c r="L3313" i="1" s="1"/>
  <c r="J3314" i="1"/>
  <c r="L3314" i="1" s="1"/>
  <c r="J3315" i="1"/>
  <c r="L3315" i="1" s="1"/>
  <c r="J3316" i="1"/>
  <c r="L3316" i="1" s="1"/>
  <c r="J3317" i="1"/>
  <c r="L3317" i="1" s="1"/>
  <c r="J3318" i="1"/>
  <c r="L3318" i="1" s="1"/>
  <c r="J3319" i="1"/>
  <c r="L3319" i="1" s="1"/>
  <c r="J3320" i="1"/>
  <c r="L3320" i="1" s="1"/>
  <c r="J3321" i="1"/>
  <c r="L3321" i="1" s="1"/>
  <c r="J3322" i="1"/>
  <c r="L3322" i="1" s="1"/>
  <c r="J3323" i="1"/>
  <c r="L3323" i="1" s="1"/>
  <c r="J3324" i="1"/>
  <c r="L3324" i="1" s="1"/>
  <c r="J3325" i="1"/>
  <c r="L3325" i="1" s="1"/>
  <c r="J3326" i="1"/>
  <c r="L3326" i="1" s="1"/>
  <c r="J3327" i="1"/>
  <c r="L3327" i="1" s="1"/>
  <c r="J3328" i="1"/>
  <c r="L3328" i="1" s="1"/>
  <c r="J3329" i="1"/>
  <c r="L3329" i="1" s="1"/>
  <c r="J3330" i="1"/>
  <c r="L3330" i="1" s="1"/>
  <c r="J3331" i="1"/>
  <c r="L3331" i="1" s="1"/>
  <c r="J3332" i="1"/>
  <c r="L3332" i="1" s="1"/>
  <c r="J3333" i="1"/>
  <c r="L3333" i="1" s="1"/>
  <c r="J3334" i="1"/>
  <c r="L3334" i="1" s="1"/>
  <c r="J3335" i="1"/>
  <c r="L3335" i="1" s="1"/>
  <c r="J3336" i="1"/>
  <c r="L3336" i="1" s="1"/>
  <c r="J3337" i="1"/>
  <c r="L3337" i="1" s="1"/>
  <c r="J3338" i="1"/>
  <c r="L3338" i="1" s="1"/>
  <c r="J3339" i="1"/>
  <c r="L3339" i="1" s="1"/>
  <c r="J3340" i="1"/>
  <c r="L3340" i="1" s="1"/>
  <c r="J3341" i="1"/>
  <c r="L3341" i="1" s="1"/>
  <c r="J3342" i="1"/>
  <c r="L3342" i="1" s="1"/>
  <c r="J3343" i="1"/>
  <c r="L3343" i="1" s="1"/>
  <c r="J3344" i="1"/>
  <c r="L3344" i="1" s="1"/>
  <c r="J3345" i="1"/>
  <c r="L3345" i="1" s="1"/>
  <c r="J3346" i="1"/>
  <c r="L3346" i="1" s="1"/>
  <c r="J3347" i="1"/>
  <c r="L3347" i="1" s="1"/>
  <c r="J3348" i="1"/>
  <c r="L3348" i="1" s="1"/>
  <c r="J3349" i="1"/>
  <c r="L3349" i="1" s="1"/>
  <c r="J3350" i="1"/>
  <c r="L3350" i="1" s="1"/>
  <c r="J3351" i="1"/>
  <c r="L3351" i="1" s="1"/>
  <c r="J3352" i="1"/>
  <c r="L3352" i="1" s="1"/>
  <c r="J3353" i="1"/>
  <c r="L3353" i="1" s="1"/>
  <c r="J3354" i="1"/>
  <c r="L3354" i="1" s="1"/>
  <c r="J3355" i="1"/>
  <c r="L3355" i="1" s="1"/>
  <c r="J3356" i="1"/>
  <c r="L3356" i="1" s="1"/>
  <c r="J3357" i="1"/>
  <c r="L3357" i="1" s="1"/>
  <c r="J3358" i="1"/>
  <c r="L3358" i="1" s="1"/>
  <c r="J3359" i="1"/>
  <c r="L3359" i="1" s="1"/>
  <c r="J3360" i="1"/>
  <c r="L3360" i="1" s="1"/>
  <c r="J3361" i="1"/>
  <c r="L3361" i="1" s="1"/>
  <c r="J3362" i="1"/>
  <c r="L3362" i="1" s="1"/>
  <c r="J3363" i="1"/>
  <c r="L3363" i="1" s="1"/>
  <c r="J3364" i="1"/>
  <c r="L3364" i="1" s="1"/>
  <c r="J3365" i="1"/>
  <c r="L3365" i="1" s="1"/>
  <c r="J3366" i="1"/>
  <c r="L3366" i="1" s="1"/>
  <c r="J3367" i="1"/>
  <c r="L3367" i="1" s="1"/>
  <c r="J3368" i="1"/>
  <c r="L3368" i="1" s="1"/>
  <c r="J3369" i="1"/>
  <c r="L3369" i="1" s="1"/>
  <c r="J3370" i="1"/>
  <c r="L3370" i="1" s="1"/>
  <c r="J3371" i="1"/>
  <c r="L3371" i="1" s="1"/>
  <c r="J3372" i="1"/>
  <c r="L3372" i="1" s="1"/>
  <c r="J3373" i="1"/>
  <c r="L3373" i="1" s="1"/>
  <c r="J3374" i="1"/>
  <c r="L3374" i="1" s="1"/>
  <c r="J3375" i="1"/>
  <c r="L3375" i="1" s="1"/>
  <c r="J2" i="1"/>
  <c r="L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<sst xmlns="http://schemas.openxmlformats.org/spreadsheetml/2006/main" count="30384" uniqueCount="781">
  <si>
    <t>date</t>
  </si>
  <si>
    <t>month</t>
  </si>
  <si>
    <t>day</t>
  </si>
  <si>
    <t>meal_type</t>
  </si>
  <si>
    <t>meal_day</t>
  </si>
  <si>
    <t>category</t>
  </si>
  <si>
    <t>sub_category</t>
  </si>
  <si>
    <t>menu_items</t>
  </si>
  <si>
    <t>per pax</t>
  </si>
  <si>
    <t>quantity</t>
  </si>
  <si>
    <t>wastage</t>
  </si>
  <si>
    <t>ideal_weight</t>
  </si>
  <si>
    <t>ideal_pp</t>
  </si>
  <si>
    <t>client_mg</t>
  </si>
  <si>
    <t>vendor_mg</t>
  </si>
  <si>
    <t>day_type</t>
  </si>
  <si>
    <t>holiday_type</t>
  </si>
  <si>
    <t>Biryani Day</t>
  </si>
  <si>
    <t>April</t>
  </si>
  <si>
    <t>Monday</t>
  </si>
  <si>
    <t>Veg</t>
  </si>
  <si>
    <t>nonveg</t>
  </si>
  <si>
    <t xml:space="preserve">Dal </t>
  </si>
  <si>
    <t>Creamy Dal</t>
  </si>
  <si>
    <t>Dal Maharani</t>
  </si>
  <si>
    <t>Regular</t>
  </si>
  <si>
    <t>Not Applicable</t>
  </si>
  <si>
    <t>Flavour Rice</t>
  </si>
  <si>
    <t>pulao</t>
  </si>
  <si>
    <t>Jeera Mutter Pulao</t>
  </si>
  <si>
    <t>Indian Bread</t>
  </si>
  <si>
    <t>Plain Chapati</t>
  </si>
  <si>
    <t>Chapati</t>
  </si>
  <si>
    <t>Non veg</t>
  </si>
  <si>
    <t>Non Veg Curry</t>
  </si>
  <si>
    <t>South Chicken Gravy</t>
  </si>
  <si>
    <t>Chicken Kholapuri</t>
  </si>
  <si>
    <t>Rasam</t>
  </si>
  <si>
    <t>Pepper-Based</t>
  </si>
  <si>
    <t>Pepper Rasam</t>
  </si>
  <si>
    <t>Sambar</t>
  </si>
  <si>
    <t>Leaf Sambar</t>
  </si>
  <si>
    <t>Soppu Sambar</t>
  </si>
  <si>
    <t>Veg Curry</t>
  </si>
  <si>
    <t>paneer curry</t>
  </si>
  <si>
    <t>Paneer Dopyaza</t>
  </si>
  <si>
    <t>Veg Dry</t>
  </si>
  <si>
    <t>veg dry</t>
  </si>
  <si>
    <t>Tawa Veg</t>
  </si>
  <si>
    <t>White Rice</t>
  </si>
  <si>
    <t>Plain Rice</t>
  </si>
  <si>
    <t>Wednesday</t>
  </si>
  <si>
    <t>Homely Dal</t>
  </si>
  <si>
    <t>Masoor Dal</t>
  </si>
  <si>
    <t>Rajasthani Namkeen Pulao</t>
  </si>
  <si>
    <t>Flavour chapati</t>
  </si>
  <si>
    <t>Ajwain Chapati</t>
  </si>
  <si>
    <t>North Chicken Gravy</t>
  </si>
  <si>
    <t>Mughlai Chicken</t>
  </si>
  <si>
    <t>Tomato-Based</t>
  </si>
  <si>
    <t>Tomato Rasam</t>
  </si>
  <si>
    <t>Mixed Vegetables</t>
  </si>
  <si>
    <t>Mix Veg Sambar</t>
  </si>
  <si>
    <t>Mushroom curry</t>
  </si>
  <si>
    <t>Kadhai Mushroom</t>
  </si>
  <si>
    <t>Veg Jaipuri</t>
  </si>
  <si>
    <t>Thursday</t>
  </si>
  <si>
    <t>veg</t>
  </si>
  <si>
    <t>Dal Panchamel</t>
  </si>
  <si>
    <t xml:space="preserve">Capcicum Pulao </t>
  </si>
  <si>
    <t>Triangle Paratha</t>
  </si>
  <si>
    <t>Fruity Based</t>
  </si>
  <si>
    <t>Pineapple Rasam</t>
  </si>
  <si>
    <t>Pulses Sambar</t>
  </si>
  <si>
    <t xml:space="preserve">Mix Kaalu Sambar </t>
  </si>
  <si>
    <t>Kofta Curry</t>
  </si>
  <si>
    <t>Lauki Kofta Curry</t>
  </si>
  <si>
    <t>Matar dry</t>
  </si>
  <si>
    <t>Cabbage Tomato Masala</t>
  </si>
  <si>
    <t>Friday</t>
  </si>
  <si>
    <t>Dal Afghani</t>
  </si>
  <si>
    <t>Veg Biryani</t>
  </si>
  <si>
    <t>Paneer Dum Biryani</t>
  </si>
  <si>
    <t>Seasame Chapati</t>
  </si>
  <si>
    <t>Non Veg Biryani</t>
  </si>
  <si>
    <t>North chicken biryani</t>
  </si>
  <si>
    <t>Lucknowi Chicken Biryani</t>
  </si>
  <si>
    <t>Spice-Based</t>
  </si>
  <si>
    <t>Garlic Rasam</t>
  </si>
  <si>
    <t xml:space="preserve">Drumstick Mix Sambar </t>
  </si>
  <si>
    <t>mix curry</t>
  </si>
  <si>
    <t>Veg Handi</t>
  </si>
  <si>
    <t>Aloo Dry</t>
  </si>
  <si>
    <t>Chatpata Aloo</t>
  </si>
  <si>
    <t>Tadka-Based</t>
  </si>
  <si>
    <t>Dal Fry</t>
  </si>
  <si>
    <t>Makhani Pulao</t>
  </si>
  <si>
    <t>Palak Chapathi</t>
  </si>
  <si>
    <t>Pepper Chicken</t>
  </si>
  <si>
    <t>Jeera Rasam</t>
  </si>
  <si>
    <t xml:space="preserve"> Regional Sambar</t>
  </si>
  <si>
    <t>Mysore Sambar</t>
  </si>
  <si>
    <t>Palak Paneer</t>
  </si>
  <si>
    <t>Veg chinese dry</t>
  </si>
  <si>
    <t>Sweet Potato Stir Fry</t>
  </si>
  <si>
    <t>Tuesday</t>
  </si>
  <si>
    <t>Dal Methi</t>
  </si>
  <si>
    <t>Mint Pulao</t>
  </si>
  <si>
    <t>Regional Rasam</t>
  </si>
  <si>
    <t>Mysore Rasam</t>
  </si>
  <si>
    <t>Molake Kalu Sambar</t>
  </si>
  <si>
    <t>Chole curry</t>
  </si>
  <si>
    <t>Punjabi Chole Masala</t>
  </si>
  <si>
    <t>Dabha Style Mix Veg Dry</t>
  </si>
  <si>
    <t>Dal Bukara</t>
  </si>
  <si>
    <t>Ghee Rice</t>
  </si>
  <si>
    <t>Chicken Laziz</t>
  </si>
  <si>
    <t>Herbal Based</t>
  </si>
  <si>
    <t>Coriander Rasam</t>
  </si>
  <si>
    <t>Kadamba Sambar</t>
  </si>
  <si>
    <t>Malai Kofta Curry</t>
  </si>
  <si>
    <t>Carrot Mutter Bhujiya</t>
  </si>
  <si>
    <t>Regional Dal</t>
  </si>
  <si>
    <t>Kadhi</t>
  </si>
  <si>
    <t>Palak Pulao</t>
  </si>
  <si>
    <t>Carrot Chapati</t>
  </si>
  <si>
    <t>Madras Rasam</t>
  </si>
  <si>
    <t>Drumstick Sambar</t>
  </si>
  <si>
    <t>Sev curry</t>
  </si>
  <si>
    <t>Sev Tamatar Ki Sabzi</t>
  </si>
  <si>
    <t>soya dry</t>
  </si>
  <si>
    <t>Soya Keema Dry</t>
  </si>
  <si>
    <t>Gongurra Pappu</t>
  </si>
  <si>
    <t>Shahi Veg Biryani</t>
  </si>
  <si>
    <t>Methi Chapati</t>
  </si>
  <si>
    <t>Awadhi Chicken Biryani</t>
  </si>
  <si>
    <t>Ginger Rasam</t>
  </si>
  <si>
    <t>Gourd / Pumpkin Sambar</t>
  </si>
  <si>
    <t>Ridgeguard Sambar</t>
  </si>
  <si>
    <t>Aloo curry</t>
  </si>
  <si>
    <t>Punjabi Dum Aloo</t>
  </si>
  <si>
    <t>Veg Jalfrezi</t>
  </si>
  <si>
    <t>May</t>
  </si>
  <si>
    <t>Channa Dal Fry</t>
  </si>
  <si>
    <t>Kushka</t>
  </si>
  <si>
    <t>Masala Kushka</t>
  </si>
  <si>
    <t>Veg Amritsari</t>
  </si>
  <si>
    <t xml:space="preserve">Chatpata Soya </t>
  </si>
  <si>
    <t>Dal Cha</t>
  </si>
  <si>
    <t>Jeera Rice</t>
  </si>
  <si>
    <t>Palak Chicken Curry</t>
  </si>
  <si>
    <t>Lemon Rasam</t>
  </si>
  <si>
    <t>Tindli Sambar</t>
  </si>
  <si>
    <t>Kadhai Paneer</t>
  </si>
  <si>
    <t>Khatta Meetha Pumpkin</t>
  </si>
  <si>
    <t>Dal Triveni</t>
  </si>
  <si>
    <t>Methi Pulao</t>
  </si>
  <si>
    <t>Tangy Sambar</t>
  </si>
  <si>
    <t>Majjige Sambar</t>
  </si>
  <si>
    <t>Rajma curry</t>
  </si>
  <si>
    <t>Rajma Masala</t>
  </si>
  <si>
    <t>Subz Kurchan</t>
  </si>
  <si>
    <t>Bengali Kalai Dal</t>
  </si>
  <si>
    <t>Bombay Chicken Biryani</t>
  </si>
  <si>
    <t>Regional Sambar</t>
  </si>
  <si>
    <t>Kerala Sambar</t>
  </si>
  <si>
    <t>Veg Balls In Bhuna Gravy</t>
  </si>
  <si>
    <t>Aloo Jeera</t>
  </si>
  <si>
    <t>Dhaba Style Dal Tadka</t>
  </si>
  <si>
    <t>Chana Dry</t>
  </si>
  <si>
    <t>Black Chana Dry</t>
  </si>
  <si>
    <t>Mint Onion Pulao</t>
  </si>
  <si>
    <t>Phulka</t>
  </si>
  <si>
    <t>Pindi Choley Dry</t>
  </si>
  <si>
    <t>Veg Kolhapuri</t>
  </si>
  <si>
    <t>Choley Dry</t>
  </si>
  <si>
    <t>Paneer Achari Biryani</t>
  </si>
  <si>
    <t>South chicken biryani</t>
  </si>
  <si>
    <t>Donne Chicken Biryani</t>
  </si>
  <si>
    <t>Rogani Aloo</t>
  </si>
  <si>
    <t>Veg Ball Manchurian</t>
  </si>
  <si>
    <t>Louki Dalcha</t>
  </si>
  <si>
    <t>Corn Pulao</t>
  </si>
  <si>
    <t>Jeera Chapati</t>
  </si>
  <si>
    <t>Chicken Kosha With Fried Aloo</t>
  </si>
  <si>
    <t>Paneer Makhanwala</t>
  </si>
  <si>
    <t>Aloo Capcicum Dry</t>
  </si>
  <si>
    <t>Methi Chaman Pulao</t>
  </si>
  <si>
    <t>Lobia Masala</t>
  </si>
  <si>
    <t>Meloni Subz Dry</t>
  </si>
  <si>
    <t>Rice Bath</t>
  </si>
  <si>
    <t>Bisibele Bath With Khaara Boondi</t>
  </si>
  <si>
    <t>Butter Chicken</t>
  </si>
  <si>
    <t>Andhra Sambar</t>
  </si>
  <si>
    <t>Gathe Ki Sabzi</t>
  </si>
  <si>
    <t>Lahsooni Soya Masala Semi Dry</t>
  </si>
  <si>
    <t>Dal Amritsari</t>
  </si>
  <si>
    <t>Thonde Kai Sambar</t>
  </si>
  <si>
    <t>Paneer Kurma</t>
  </si>
  <si>
    <t>Dal Tadka</t>
  </si>
  <si>
    <t>Veg Nawabi Biryani</t>
  </si>
  <si>
    <t>Nawabi Chicken Biryani</t>
  </si>
  <si>
    <t>Manglore Cucumber Sambar</t>
  </si>
  <si>
    <t>Cabbage Matar Dry</t>
  </si>
  <si>
    <t>Banarasi Pulao</t>
  </si>
  <si>
    <t>Beans Aloo Bhujiya</t>
  </si>
  <si>
    <t>Andhra Pappu</t>
  </si>
  <si>
    <t>Peas Pulao</t>
  </si>
  <si>
    <t>Veg Makhanwala</t>
  </si>
  <si>
    <t>Soya Chilli</t>
  </si>
  <si>
    <t>Tawa Pulao</t>
  </si>
  <si>
    <t>Punjabi Chicken Curry</t>
  </si>
  <si>
    <t>Shahi Kofta</t>
  </si>
  <si>
    <t>Maa Ki Dal</t>
  </si>
  <si>
    <t>Raw Mango Sambar</t>
  </si>
  <si>
    <t>corn curry</t>
  </si>
  <si>
    <t>Corn Palak</t>
  </si>
  <si>
    <t>Schezwan Veg Balls</t>
  </si>
  <si>
    <t>Green Moong Dal</t>
  </si>
  <si>
    <t>Veg Hyd Biryani</t>
  </si>
  <si>
    <t>Hyderabadi Chicken Biryani</t>
  </si>
  <si>
    <t>More Kolambo</t>
  </si>
  <si>
    <t>Dahi Parwal</t>
  </si>
  <si>
    <t>Kala Channa Chatpata</t>
  </si>
  <si>
    <t>Chicken Angara</t>
  </si>
  <si>
    <t>Choley Paneer</t>
  </si>
  <si>
    <t>Butter Dal Fry</t>
  </si>
  <si>
    <t xml:space="preserve">Peas Pulao </t>
  </si>
  <si>
    <t>Mix Veg Dry</t>
  </si>
  <si>
    <t>Bombay Masala Pulao</t>
  </si>
  <si>
    <t>Chicken Chettinad</t>
  </si>
  <si>
    <t>Sprouts Sambar</t>
  </si>
  <si>
    <t>Methi Mutter Paneer</t>
  </si>
  <si>
    <t xml:space="preserve"> Veg Pepper Dry </t>
  </si>
  <si>
    <t>June</t>
  </si>
  <si>
    <t>Veg Khichdi</t>
  </si>
  <si>
    <t>Moong Dal Khichdi</t>
  </si>
  <si>
    <t>Tawa Soya Dry</t>
  </si>
  <si>
    <t>Kashmiri Pulao</t>
  </si>
  <si>
    <t>Kadhai Veg</t>
  </si>
  <si>
    <t>Dal Kolapuri</t>
  </si>
  <si>
    <t>Kerala Style Chicken Curry</t>
  </si>
  <si>
    <t>Achari Soya Dry</t>
  </si>
  <si>
    <t>Masoor Mango Dal</t>
  </si>
  <si>
    <t xml:space="preserve">Methi Chaman Pulao </t>
  </si>
  <si>
    <t>Gajar Matar Dry</t>
  </si>
  <si>
    <t>Moong Dal Fry</t>
  </si>
  <si>
    <t xml:space="preserve">Guntur Chicken Curry </t>
  </si>
  <si>
    <t>Paneer Angara</t>
  </si>
  <si>
    <t>Tawa Aloo Dry</t>
  </si>
  <si>
    <t xml:space="preserve">Green Moong Pulao </t>
  </si>
  <si>
    <t xml:space="preserve">Heerekayi Sambar </t>
  </si>
  <si>
    <t>Pakoda curry</t>
  </si>
  <si>
    <t>Kadhi Pakoda</t>
  </si>
  <si>
    <t>Aloo Ki Tehri</t>
  </si>
  <si>
    <t>Veg Kholapuri</t>
  </si>
  <si>
    <t>Gobi dry</t>
  </si>
  <si>
    <t>Patta Gobi Mutter  Dry</t>
  </si>
  <si>
    <t xml:space="preserve">Andhra Style Chicken Curry </t>
  </si>
  <si>
    <t>Bihari Aloo Bhujia</t>
  </si>
  <si>
    <t>Gujarati Dal</t>
  </si>
  <si>
    <t>Baby Corn Masala</t>
  </si>
  <si>
    <t>Dal Based</t>
  </si>
  <si>
    <t>Dal Rasam</t>
  </si>
  <si>
    <t>Paneer Lababdar</t>
  </si>
  <si>
    <t>Whole Moong Biryani</t>
  </si>
  <si>
    <t xml:space="preserve">Mysore Rasam </t>
  </si>
  <si>
    <t>Amritsari Choley Masala</t>
  </si>
  <si>
    <t>Chicken Dum Biryani</t>
  </si>
  <si>
    <t>Udupi Rasam</t>
  </si>
  <si>
    <t>Beetroot Chapati</t>
  </si>
  <si>
    <t>Kali Mirch Chicken Masala</t>
  </si>
  <si>
    <t>Subzi Banjara Gravy</t>
  </si>
  <si>
    <t>Makkai Pulao</t>
  </si>
  <si>
    <t>Methi Malai Paneer</t>
  </si>
  <si>
    <t>Aloo Mutter</t>
  </si>
  <si>
    <t>Kadhai Pulao</t>
  </si>
  <si>
    <t>Rara Chicken Masala</t>
  </si>
  <si>
    <t>Jaipuri Veg Dry</t>
  </si>
  <si>
    <t>Gajar Matar Pulao</t>
  </si>
  <si>
    <t>Chittenad Chicken Biryani</t>
  </si>
  <si>
    <t>Veg Sabnam Curry</t>
  </si>
  <si>
    <t>Pumkin Chana Dry</t>
  </si>
  <si>
    <t>Previous Day of Holiday</t>
  </si>
  <si>
    <t>Important Holiday</t>
  </si>
  <si>
    <t>July</t>
  </si>
  <si>
    <t>Darshini Pulao</t>
  </si>
  <si>
    <t>Guntur Chicken Curry</t>
  </si>
  <si>
    <t>Mutter curry</t>
  </si>
  <si>
    <t>Methi Malai Mutter</t>
  </si>
  <si>
    <t>Aloo Sabzi</t>
  </si>
  <si>
    <t>Pudina Pualo</t>
  </si>
  <si>
    <t>Chicken Kurma</t>
  </si>
  <si>
    <t>Paneer Veg Kurma</t>
  </si>
  <si>
    <t>Punjabi Dal Tadka</t>
  </si>
  <si>
    <t>Green Moong Pulao</t>
  </si>
  <si>
    <t>Dal Pappu</t>
  </si>
  <si>
    <t>Soya Biryani</t>
  </si>
  <si>
    <t>Cabbage Palya</t>
  </si>
  <si>
    <t>Chicken Hydrabadi Gravy</t>
  </si>
  <si>
    <t>Methi Carrot Pulao</t>
  </si>
  <si>
    <t>Soya curry</t>
  </si>
  <si>
    <t>Soya Mutter Masala</t>
  </si>
  <si>
    <t>Katta Mitha Dal</t>
  </si>
  <si>
    <t>Fried Rice</t>
  </si>
  <si>
    <t>Paneer Fried Rice</t>
  </si>
  <si>
    <t>Fusion Gravies</t>
  </si>
  <si>
    <t>Chicken Hongkong Dry</t>
  </si>
  <si>
    <t>Jaipuri Subzi</t>
  </si>
  <si>
    <t>Veg Dumplings Semi Dry</t>
  </si>
  <si>
    <t>Hyd Veg Biryani</t>
  </si>
  <si>
    <t>Aloo Saag</t>
  </si>
  <si>
    <t>Chow Chow Palya</t>
  </si>
  <si>
    <t>Carrot Mutter Pulao</t>
  </si>
  <si>
    <t>Amritsari Chicken</t>
  </si>
  <si>
    <t xml:space="preserve">Beetroot Rasam </t>
  </si>
  <si>
    <t>Paneer Laziz</t>
  </si>
  <si>
    <t>Spring Onion Pulao</t>
  </si>
  <si>
    <t>Kashmiri Dum Aloo</t>
  </si>
  <si>
    <t>Veg Banjara Dry</t>
  </si>
  <si>
    <t>Non-Important Holiday</t>
  </si>
  <si>
    <t>Aloo Palak</t>
  </si>
  <si>
    <t>Next Day of Holiday</t>
  </si>
  <si>
    <t>August</t>
  </si>
  <si>
    <t>Dal Gujarathi</t>
  </si>
  <si>
    <t>Chole Masala</t>
  </si>
  <si>
    <t>Beetroot Masala</t>
  </si>
  <si>
    <t>Chicken Rogan Josh</t>
  </si>
  <si>
    <t>Udupi Sambar</t>
  </si>
  <si>
    <t>Veg Pulao</t>
  </si>
  <si>
    <t>Chicken Banjara Gravy</t>
  </si>
  <si>
    <t>babycorn dry</t>
  </si>
  <si>
    <t>Masaledar Babycorn</t>
  </si>
  <si>
    <t>Compulsory Holiday</t>
  </si>
  <si>
    <t>Mix Veg Paneer</t>
  </si>
  <si>
    <t>Achari Paneer Biryani</t>
  </si>
  <si>
    <t>Veg Pepper Dry</t>
  </si>
  <si>
    <t>Sabzi Banjara Curry</t>
  </si>
  <si>
    <t>Babycorn Carot Dry</t>
  </si>
  <si>
    <t>Mix Veg Curry</t>
  </si>
  <si>
    <t>Rajasthani Lal Murgh</t>
  </si>
  <si>
    <t>Holiday</t>
  </si>
  <si>
    <t>September</t>
  </si>
  <si>
    <t>Makkai Palak</t>
  </si>
  <si>
    <t>Andhra Style Chicken Curry</t>
  </si>
  <si>
    <t>Rajasthani Chole Masala</t>
  </si>
  <si>
    <t>Chicken Chatpata</t>
  </si>
  <si>
    <t>Paneer Pepper Masala</t>
  </si>
  <si>
    <t>gram based Biryani</t>
  </si>
  <si>
    <t>Masur Biriyani</t>
  </si>
  <si>
    <t>Tendli Poriyal</t>
  </si>
  <si>
    <t>Murgh Lahsooni</t>
  </si>
  <si>
    <t>Paneer Khurchan</t>
  </si>
  <si>
    <t>Sunheri Moong</t>
  </si>
  <si>
    <t>Roti/paratha</t>
  </si>
  <si>
    <t>Ragi Roti</t>
  </si>
  <si>
    <t>Diwani Handi</t>
  </si>
  <si>
    <t>Moti Pulao</t>
  </si>
  <si>
    <t>Mullangi Sambar</t>
  </si>
  <si>
    <t>Chana Masala</t>
  </si>
  <si>
    <t>Black Chana Masala</t>
  </si>
  <si>
    <t>Akki Roti</t>
  </si>
  <si>
    <t>Mughlai Veg Biryani</t>
  </si>
  <si>
    <t>Mughlai Chicken Biryani</t>
  </si>
  <si>
    <t>Regular Sambar</t>
  </si>
  <si>
    <t>Tomato Sambar</t>
  </si>
  <si>
    <t>Beetroot Channa Poriyal</t>
  </si>
  <si>
    <t>Soya Capsicum</t>
  </si>
  <si>
    <t xml:space="preserve">Dal Tadka </t>
  </si>
  <si>
    <t>Jaipuri Besan Ka Subz</t>
  </si>
  <si>
    <t>Tomoto Dal</t>
  </si>
  <si>
    <t>Paneer Matar Masala</t>
  </si>
  <si>
    <t>October</t>
  </si>
  <si>
    <t>Sunheri Moong Dal</t>
  </si>
  <si>
    <t>Aloo Hara Pyaz</t>
  </si>
  <si>
    <t>Mix Veg Kushka</t>
  </si>
  <si>
    <t xml:space="preserve">Whole Masoor Biryani </t>
  </si>
  <si>
    <t>Aloo Methi</t>
  </si>
  <si>
    <t>Mushroom Biryani</t>
  </si>
  <si>
    <t>Chicken Korma Curry</t>
  </si>
  <si>
    <t>Mutter Panner</t>
  </si>
  <si>
    <t>Pyaaz Paratha</t>
  </si>
  <si>
    <t>Paneer Butter Masala</t>
  </si>
  <si>
    <t xml:space="preserve">Kadai gobi </t>
  </si>
  <si>
    <t>Tomato Bath</t>
  </si>
  <si>
    <t>Veg Sukha</t>
  </si>
  <si>
    <t>November</t>
  </si>
  <si>
    <t>Butter Green Peas Rice</t>
  </si>
  <si>
    <t>Meghana Veg Biryani</t>
  </si>
  <si>
    <t>Tawa Phulka</t>
  </si>
  <si>
    <t>Ginger Chicken With Green Beans &amp; Cilantro Sauce</t>
  </si>
  <si>
    <t>Small Onion Sambar</t>
  </si>
  <si>
    <t>Spaghetti Aglio Olio</t>
  </si>
  <si>
    <t>Paneer Satay Sticks</t>
  </si>
  <si>
    <t>Lachha Paratha</t>
  </si>
  <si>
    <t>Awadhi Murgh Roast</t>
  </si>
  <si>
    <t>Dahi Papdi Chaat</t>
  </si>
  <si>
    <t>Paneer  Lajawab</t>
  </si>
  <si>
    <t>Babycorn Bellpepper</t>
  </si>
  <si>
    <t>Paneer Kadai</t>
  </si>
  <si>
    <t>Gobi Mutter</t>
  </si>
  <si>
    <t>Lasooni Bhindi</t>
  </si>
  <si>
    <t>Brinjal Sambar</t>
  </si>
  <si>
    <t>Subz Banjara</t>
  </si>
  <si>
    <t>Horsegram Brinjal Masala</t>
  </si>
  <si>
    <t>December</t>
  </si>
  <si>
    <t>Highway Chicken Curry</t>
  </si>
  <si>
    <t>Methi Rasam</t>
  </si>
  <si>
    <t>Dum Aloo Biryani</t>
  </si>
  <si>
    <t>Urli Kalu Sambar</t>
  </si>
  <si>
    <t>White Kushka</t>
  </si>
  <si>
    <t>Mix Veg Kofta</t>
  </si>
  <si>
    <t>Bhindi Dry</t>
  </si>
  <si>
    <t>Bhindi Lasooni Dry</t>
  </si>
  <si>
    <t>gobi curry</t>
  </si>
  <si>
    <t>Gobi Mutter Masala</t>
  </si>
  <si>
    <t>Methi Chicken</t>
  </si>
  <si>
    <t>Aloo Green Masala</t>
  </si>
  <si>
    <t>Bhindi Dopyaza</t>
  </si>
  <si>
    <t>Veg Fried Rice</t>
  </si>
  <si>
    <t>Veg Manchurian Dry</t>
  </si>
  <si>
    <t>Mint Rasam</t>
  </si>
  <si>
    <t>Aloo Bhujia</t>
  </si>
  <si>
    <t>Ambur Chicken Biryani</t>
  </si>
  <si>
    <t>Lauki Dry</t>
  </si>
  <si>
    <t>Babycorn Jalfrezi</t>
  </si>
  <si>
    <t>Yellow Dal Fry</t>
  </si>
  <si>
    <t>Spinach Corn Pulao</t>
  </si>
  <si>
    <t>Chicken Patiyala</t>
  </si>
  <si>
    <t>Paneer Mutter Masala</t>
  </si>
  <si>
    <t>Aloo Bhindi Dry</t>
  </si>
  <si>
    <t>Tur Dal Fry</t>
  </si>
  <si>
    <t>Thalaserry Chicken Biryani</t>
  </si>
  <si>
    <t>Madurai Sambar</t>
  </si>
  <si>
    <t>January</t>
  </si>
  <si>
    <t>Matar Paneer</t>
  </si>
  <si>
    <t>Achari Bhindi</t>
  </si>
  <si>
    <t xml:space="preserve">Dal Triveni </t>
  </si>
  <si>
    <t xml:space="preserve">Paneer Dum Biryani </t>
  </si>
  <si>
    <t>Lemon Rice</t>
  </si>
  <si>
    <t>Pongal</t>
  </si>
  <si>
    <t>Khara Pongal</t>
  </si>
  <si>
    <t>Takkali Rasam</t>
  </si>
  <si>
    <t>Murungakai Kathrikai Sambar</t>
  </si>
  <si>
    <t>Chetinadu Kaikari Kurmah</t>
  </si>
  <si>
    <t>Vada</t>
  </si>
  <si>
    <t>Maddur Vada + Chutney</t>
  </si>
  <si>
    <t xml:space="preserve">Palak Methi Corn </t>
  </si>
  <si>
    <t>Heerekayi Kootu</t>
  </si>
  <si>
    <t>Paneer Birbali</t>
  </si>
  <si>
    <t>Subz Jalfrezi</t>
  </si>
  <si>
    <t>special ghee rice</t>
  </si>
  <si>
    <t>Brown Onion Ghee Rice</t>
  </si>
  <si>
    <t>Brinjal Peanut  Masala</t>
  </si>
  <si>
    <t>Aloo Podimas</t>
  </si>
  <si>
    <t>Moradabadi Chicken Biryani</t>
  </si>
  <si>
    <t xml:space="preserve">Gobi Kofta Curry </t>
  </si>
  <si>
    <t>Murgh Rizala</t>
  </si>
  <si>
    <t>Toor Dal Tadka</t>
  </si>
  <si>
    <t>Bread Pulao</t>
  </si>
  <si>
    <t>Meloni Subzi Dry</t>
  </si>
  <si>
    <t>Paneer  Pulao</t>
  </si>
  <si>
    <t>Murgh Methi Mala</t>
  </si>
  <si>
    <t>Andhra  Drumstick Sambar</t>
  </si>
  <si>
    <t xml:space="preserve">Anari gobi </t>
  </si>
  <si>
    <t>Zafrani Rice</t>
  </si>
  <si>
    <t>Kerala Rasam</t>
  </si>
  <si>
    <t>Madras Sambar</t>
  </si>
  <si>
    <t xml:space="preserve">Kolhapuri Dal Tadka </t>
  </si>
  <si>
    <t>Pudina Aloo Dry</t>
  </si>
  <si>
    <t>February</t>
  </si>
  <si>
    <t>Lasooni Corn Palak</t>
  </si>
  <si>
    <t>Shahi Dal Double Tadka</t>
  </si>
  <si>
    <t>Turai Aloo Ki Sabji</t>
  </si>
  <si>
    <t>Masala Mutter Pulao</t>
  </si>
  <si>
    <t>Hariyali Choley Masala</t>
  </si>
  <si>
    <t>Pudina Rasam</t>
  </si>
  <si>
    <t xml:space="preserve">Meloni Subz Hundi </t>
  </si>
  <si>
    <t>Beetroot Bhaaji</t>
  </si>
  <si>
    <t>Nawabi Paneer Biryani</t>
  </si>
  <si>
    <t>Lobia Capsicum Dry</t>
  </si>
  <si>
    <t>Baby Corn &amp; Veg Fried Rice</t>
  </si>
  <si>
    <t>Chilly gobi</t>
  </si>
  <si>
    <t>Peshawari Chole Masala</t>
  </si>
  <si>
    <t>Aloo Ghee Roast</t>
  </si>
  <si>
    <t xml:space="preserve">Green Moong Dal </t>
  </si>
  <si>
    <t>Amrithsari Pindi Chole Dry</t>
  </si>
  <si>
    <t>Chicken Patiala</t>
  </si>
  <si>
    <t>Veg Kofta Curry</t>
  </si>
  <si>
    <t>gobi Harapyaz</t>
  </si>
  <si>
    <t>Soya Capsicum Curry</t>
  </si>
  <si>
    <t>Bhindi Jalfrezi</t>
  </si>
  <si>
    <t>Vilaity Subz Biryani</t>
  </si>
  <si>
    <t>Rajmah Raseela</t>
  </si>
  <si>
    <t xml:space="preserve">Suran Channa </t>
  </si>
  <si>
    <t>Aloo Mushroom Raseela</t>
  </si>
  <si>
    <t>Awadhi Chicken Kurma</t>
  </si>
  <si>
    <t>Corn Capsicum Fried Rice</t>
  </si>
  <si>
    <t>March</t>
  </si>
  <si>
    <t xml:space="preserve">Dal Pappu </t>
  </si>
  <si>
    <t>Hyd Soya Biryani</t>
  </si>
  <si>
    <t>Aloo Capsicum Masala</t>
  </si>
  <si>
    <t>Paneer Kali Mirch</t>
  </si>
  <si>
    <t>Chilli Jeera Rice</t>
  </si>
  <si>
    <t>Pudina Chicken</t>
  </si>
  <si>
    <t>Manjal Poosanikai Sambar</t>
  </si>
  <si>
    <t>Mattar Pulao</t>
  </si>
  <si>
    <t>Parappu Rasam</t>
  </si>
  <si>
    <t>Aloo Tamatar Raseela</t>
  </si>
  <si>
    <t>Lasooni Palak Khicidi</t>
  </si>
  <si>
    <t>Lobiya Masala Dry</t>
  </si>
  <si>
    <t>Bagara Rice</t>
  </si>
  <si>
    <t>Palak Pakodi Kadi</t>
  </si>
  <si>
    <t>Lasooni Aloo Dry</t>
  </si>
  <si>
    <t>Bombay Paneer Biryani</t>
  </si>
  <si>
    <t>Pepper Garlic Rasam</t>
  </si>
  <si>
    <t>Thakali Vengaya Sambar</t>
  </si>
  <si>
    <t>Ennagai Masala</t>
  </si>
  <si>
    <t>Khatta Meetha Kaddu</t>
  </si>
  <si>
    <t>Cabbage Channadal Dry</t>
  </si>
  <si>
    <t>Pepper Jeera Rasam</t>
  </si>
  <si>
    <t>Bengali Dal</t>
  </si>
  <si>
    <t>Sprouts Pulao</t>
  </si>
  <si>
    <t>Amritsari Rajma Masala</t>
  </si>
  <si>
    <t>Banarasi Dum Aloo</t>
  </si>
  <si>
    <t>Turai Aur Moong Ki Sabzi</t>
  </si>
  <si>
    <t>Andhra Pumpkin Sambar</t>
  </si>
  <si>
    <t>Veg Tehri</t>
  </si>
  <si>
    <t>Bhuna Chicken Masala</t>
  </si>
  <si>
    <t xml:space="preserve">Saboot Masoor Dal </t>
  </si>
  <si>
    <t>Veg Patiyala</t>
  </si>
  <si>
    <t>Bihari Chicken Masala</t>
  </si>
  <si>
    <t>Carrot Beans Dry</t>
  </si>
  <si>
    <t>Mutter Pulao</t>
  </si>
  <si>
    <t>Mix Soppu Sambar</t>
  </si>
  <si>
    <t>Kaala Channa Sundal</t>
  </si>
  <si>
    <t>Aloo Capsicum Methi Kurma</t>
  </si>
  <si>
    <t>Special Sambar</t>
  </si>
  <si>
    <t>Soya Capsicum Masala</t>
  </si>
  <si>
    <t>Mix Veg Tehri</t>
  </si>
  <si>
    <t xml:space="preserve">Achari Paneer </t>
  </si>
  <si>
    <t>Curd Rice</t>
  </si>
  <si>
    <t>Malabar Chicken</t>
  </si>
  <si>
    <t>Shabnam Veg Curry</t>
  </si>
  <si>
    <t>Rajasthani Bhindi Dry</t>
  </si>
  <si>
    <t>Mysore Cucumber Sambar</t>
  </si>
  <si>
    <t xml:space="preserve">Turai Chanadal Subzi </t>
  </si>
  <si>
    <t>Barista Pulao</t>
  </si>
  <si>
    <t>Soya Matar Dry</t>
  </si>
  <si>
    <t>Lucknowi Subz Korma</t>
  </si>
  <si>
    <t>Chicken Tawa Masala</t>
  </si>
  <si>
    <t>Adraki gobi</t>
  </si>
  <si>
    <t>Dal Khichdi</t>
  </si>
  <si>
    <t xml:space="preserve">Paneer Kali Mirch </t>
  </si>
  <si>
    <t>Kadhai Bhindi Dry</t>
  </si>
  <si>
    <t>Subz Panchmel Dry</t>
  </si>
  <si>
    <t>Vegetable Tehri</t>
  </si>
  <si>
    <t>Punjabi Channa Dal</t>
  </si>
  <si>
    <t>Chicken Lazawab</t>
  </si>
  <si>
    <t>Corn &amp; Paneer Biriyani</t>
  </si>
  <si>
    <t>Dabha Style Mix Veg Curry</t>
  </si>
  <si>
    <t>Bhindi Pyaz Harimirch Sukha</t>
  </si>
  <si>
    <t>White Urad Dal</t>
  </si>
  <si>
    <t>Masoor Dal Khichdi</t>
  </si>
  <si>
    <t>Gajar Beans Matar Methi</t>
  </si>
  <si>
    <t>Udupi Drumstick Sambar</t>
  </si>
  <si>
    <t>Paneer  Makhani</t>
  </si>
  <si>
    <t>Pumpkin Sambar</t>
  </si>
  <si>
    <t>Sabz Shabnam  Curry</t>
  </si>
  <si>
    <t>Exotic Veggies Fried Rice</t>
  </si>
  <si>
    <t>Veg Sambar</t>
  </si>
  <si>
    <t>Kadhai Aloo Mutter</t>
  </si>
  <si>
    <t>Aamti Dal</t>
  </si>
  <si>
    <t>Mango Chitranna</t>
  </si>
  <si>
    <t xml:space="preserve">Raw Mango Rasam </t>
  </si>
  <si>
    <t>Firangi Subzi Desi Tadka</t>
  </si>
  <si>
    <t>Chicken Do Pyaza</t>
  </si>
  <si>
    <t>Sunheri Dal</t>
  </si>
  <si>
    <t>Whole Masoor Pulao</t>
  </si>
  <si>
    <t>Bhindi Tawa Masala</t>
  </si>
  <si>
    <t>Kaddu Tamater Bhaji</t>
  </si>
  <si>
    <t>Palak Khichdi</t>
  </si>
  <si>
    <t>Gugni Masala</t>
  </si>
  <si>
    <t>Mix Veg Khicdi</t>
  </si>
  <si>
    <t>Highway Chicken Masala</t>
  </si>
  <si>
    <t>Rajastani Rajma Masala</t>
  </si>
  <si>
    <t>Bhujiya Aloo Sabzi</t>
  </si>
  <si>
    <t>Spring Onion Veg Fried Rice</t>
  </si>
  <si>
    <t>Mix Veg Chilli</t>
  </si>
  <si>
    <t>Chicken Makhni Gravy</t>
  </si>
  <si>
    <t>Paneer Mutter Gravy</t>
  </si>
  <si>
    <t>Punjabi Yellow Dal Tadka</t>
  </si>
  <si>
    <t>Hongkong Fried Rice</t>
  </si>
  <si>
    <t>Soya Manchurian</t>
  </si>
  <si>
    <t>Haveli Mix Veg Dry</t>
  </si>
  <si>
    <t>Schezwan Fried Rice</t>
  </si>
  <si>
    <t>Andhra Chilli Chicken</t>
  </si>
  <si>
    <t>Tatta Payaru Saaru</t>
  </si>
  <si>
    <t>Mix Dal Fry</t>
  </si>
  <si>
    <t>Masaledar Black Chana Dry</t>
  </si>
  <si>
    <t>Dal Palak</t>
  </si>
  <si>
    <t>Singapore Fried Rice</t>
  </si>
  <si>
    <t>Chicken  Schezwan</t>
  </si>
  <si>
    <t>Paneer Manchurian Gravy</t>
  </si>
  <si>
    <t>Masala Khichidi</t>
  </si>
  <si>
    <t>Butter Chicken Biryani</t>
  </si>
  <si>
    <t>Peanut Tindli Fry</t>
  </si>
  <si>
    <t>Chicken Kashmiri</t>
  </si>
  <si>
    <t>Herbed Schezwan Fried Rice</t>
  </si>
  <si>
    <t>Paneer Veg Makhanwala</t>
  </si>
  <si>
    <t>Cabbage Munchurian</t>
  </si>
  <si>
    <t>Grapes Curd Rice</t>
  </si>
  <si>
    <t>Lahori Chicken Curry</t>
  </si>
  <si>
    <t>Thai Fried Rice</t>
  </si>
  <si>
    <t>Aloo Mattar Curry</t>
  </si>
  <si>
    <t>Bhindi Chatpata</t>
  </si>
  <si>
    <t>Mushroom &amp; Bellpeppers Fried Rice</t>
  </si>
  <si>
    <t>Sweet Corn Ball Manchurian</t>
  </si>
  <si>
    <t>Paneer &amp; Corn Biryani</t>
  </si>
  <si>
    <t>Veg Lababdar</t>
  </si>
  <si>
    <t>Gujrati Green Moong Dry</t>
  </si>
  <si>
    <t>Panchratan Dal</t>
  </si>
  <si>
    <t xml:space="preserve">Bottleguard Sambar </t>
  </si>
  <si>
    <t>Stir Fry Roasted Veggies In Hot Garlic Sauce</t>
  </si>
  <si>
    <t xml:space="preserve">Hyderabadi Dalcha </t>
  </si>
  <si>
    <t>Methi Khichdi</t>
  </si>
  <si>
    <t>Kadhu Tamatar Dry</t>
  </si>
  <si>
    <t>Sabz Banjara</t>
  </si>
  <si>
    <t>Babycorn Fried Rice</t>
  </si>
  <si>
    <t>Chicken Manchurian Gravy</t>
  </si>
  <si>
    <t>Udupi Pumpkin Sambar</t>
  </si>
  <si>
    <t>Veg Schezwan Semi Gravy</t>
  </si>
  <si>
    <t>Langarwali Dal</t>
  </si>
  <si>
    <t>Green Moong Usli</t>
  </si>
  <si>
    <t>Malabar Paneer Biryani</t>
  </si>
  <si>
    <t>Malabar Chicken Biryani</t>
  </si>
  <si>
    <t>Malai Chicken Curry</t>
  </si>
  <si>
    <t>Sorekayi Sambar</t>
  </si>
  <si>
    <t>Aloo Chutneywale</t>
  </si>
  <si>
    <t>Curry Leaf Rice</t>
  </si>
  <si>
    <t>Mutter Khichidi</t>
  </si>
  <si>
    <t>Nawabi Chicken Curry</t>
  </si>
  <si>
    <t>Fried Veg With Hot Garlic Sauce</t>
  </si>
  <si>
    <t>Firangi Veg Biryani</t>
  </si>
  <si>
    <t>Paneer Kofta Curry</t>
  </si>
  <si>
    <t>Chettinad Veg Korma</t>
  </si>
  <si>
    <t>Beerakai Aloo Palya</t>
  </si>
  <si>
    <t>Mughlai Dal Tadka</t>
  </si>
  <si>
    <t>Basanti Pulao</t>
  </si>
  <si>
    <t>Jalandhari Paneer Masala</t>
  </si>
  <si>
    <t>Lahori Dal Fry</t>
  </si>
  <si>
    <t>Butter Garlic Rice</t>
  </si>
  <si>
    <t>Chilli Chicken Gravy</t>
  </si>
  <si>
    <t>Triveni Dal</t>
  </si>
  <si>
    <t>Punjabi Pakodi Kadi</t>
  </si>
  <si>
    <t>Hydrabadi Khatti Dal</t>
  </si>
  <si>
    <t>Surathi Undhiyu</t>
  </si>
  <si>
    <t>Punjabi Aloo Methi</t>
  </si>
  <si>
    <t>Malka Masur Dal</t>
  </si>
  <si>
    <t>Sukhi Miloni Subz</t>
  </si>
  <si>
    <t>Palak Dal</t>
  </si>
  <si>
    <t>Hongkong Chicken Gravy</t>
  </si>
  <si>
    <t>Matar  Khichdi</t>
  </si>
  <si>
    <t>Dabha Style Dum Aloo</t>
  </si>
  <si>
    <t>Methi Gajjar Matar Dry</t>
  </si>
  <si>
    <t>Gujarathi Khichdi</t>
  </si>
  <si>
    <t>Achari Louki Dry</t>
  </si>
  <si>
    <t>Kolkata Dum Aloo</t>
  </si>
  <si>
    <t>Stir Fry Veggies In Hot Garlic Sauce</t>
  </si>
  <si>
    <t>Masaledar Jeera Aloo</t>
  </si>
  <si>
    <t>Punjabi Rajma Masala</t>
  </si>
  <si>
    <t>Kadhai Chicken</t>
  </si>
  <si>
    <t>Shahi Paneer</t>
  </si>
  <si>
    <t>Chicken Changezi</t>
  </si>
  <si>
    <t>Pyaz Masur Dal Tadka</t>
  </si>
  <si>
    <t>Mushroom Mutter Curry</t>
  </si>
  <si>
    <t>Turai Methi Malai</t>
  </si>
  <si>
    <t>Kung Pao Veg Semi Dry</t>
  </si>
  <si>
    <t>Palak Carrot Pulao</t>
  </si>
  <si>
    <t>Channadal Pulao</t>
  </si>
  <si>
    <t xml:space="preserve">Reshmi Aloo Masala  </t>
  </si>
  <si>
    <t>Achari Chatpata Soya</t>
  </si>
  <si>
    <t>Paneer Capsicum Masala</t>
  </si>
  <si>
    <t>Masoor Dal Pulao</t>
  </si>
  <si>
    <t>Subz Makhani Curry</t>
  </si>
  <si>
    <t>Achari Dal Dhaba</t>
  </si>
  <si>
    <t>Mushroom Corn Biryani</t>
  </si>
  <si>
    <t>White Pumpkin Sambar</t>
  </si>
  <si>
    <t>Veg Kurma Masala</t>
  </si>
  <si>
    <t>Masala Chapati</t>
  </si>
  <si>
    <t xml:space="preserve">Chow Chow Sambar </t>
  </si>
  <si>
    <t>Punjabi Urud Dal Tadka</t>
  </si>
  <si>
    <t>Bombay Tawa Pulao</t>
  </si>
  <si>
    <t>Chicken Saagwala</t>
  </si>
  <si>
    <t>Firangi Sabz Banjara</t>
  </si>
  <si>
    <t>Veg Tempure With Hot Garlic Sauce</t>
  </si>
  <si>
    <t>Red Rice</t>
  </si>
  <si>
    <t>Milagu Rasam</t>
  </si>
  <si>
    <t>Kerala Style Kadala Curry</t>
  </si>
  <si>
    <t>Cabbage Carrot Thoran</t>
  </si>
  <si>
    <t>Palak Kofta Curry</t>
  </si>
  <si>
    <t xml:space="preserve">Sindhi Tidali Dal </t>
  </si>
  <si>
    <t>Makhani Chicken Curry</t>
  </si>
  <si>
    <t xml:space="preserve">Maharashtrian Dal </t>
  </si>
  <si>
    <t>Malvani Chicken Masala</t>
  </si>
  <si>
    <t>Subz Shabnam Curry</t>
  </si>
  <si>
    <t>Chatpata Bhuna Lauki</t>
  </si>
  <si>
    <t>Ghar Ka Kushka</t>
  </si>
  <si>
    <t>Pahadi Aloo Dry</t>
  </si>
  <si>
    <t>Rajasthani Dal Banjara</t>
  </si>
  <si>
    <t>Veg Haveli</t>
  </si>
  <si>
    <t>Kollu Sambar</t>
  </si>
  <si>
    <t>Delhi Style Rajma Masala</t>
  </si>
  <si>
    <t>Lobia Capsicum Masala</t>
  </si>
  <si>
    <t>Lasooni Dal Tadka</t>
  </si>
  <si>
    <t>Milagu Sadam</t>
  </si>
  <si>
    <t>Drumstick Soppu Sambar</t>
  </si>
  <si>
    <t>Subz Peshawari</t>
  </si>
  <si>
    <t>Dal Kabila</t>
  </si>
  <si>
    <t>Hydrabadi Kushka</t>
  </si>
  <si>
    <t>Mughlai Murgh</t>
  </si>
  <si>
    <t>Kashmiri Aloo Dum</t>
  </si>
  <si>
    <t>Vegetable Masala Khichdi</t>
  </si>
  <si>
    <t>Chicken Peshawari</t>
  </si>
  <si>
    <t>Gujarathi Kadhi Pakora</t>
  </si>
  <si>
    <t>Achari Soya Tamatar Matar</t>
  </si>
  <si>
    <t>Veg Diwani Handi</t>
  </si>
  <si>
    <t>Sabz Mirch Masala</t>
  </si>
  <si>
    <t>Pyaz Masoor Dal</t>
  </si>
  <si>
    <t>Veg Anarkali</t>
  </si>
  <si>
    <t>Dhaba Style Chana Dal Fry</t>
  </si>
  <si>
    <t>Tamil Nadu Rasam</t>
  </si>
  <si>
    <t>Pui Shak Ghonto</t>
  </si>
  <si>
    <t>Pachi Pulusu Rasam</t>
  </si>
  <si>
    <t>Punjabi Aloo Matar</t>
  </si>
  <si>
    <t>Kashmiri Chicken Curry</t>
  </si>
  <si>
    <t>Hyderabadi Kofta Curry</t>
  </si>
  <si>
    <t>Nawabi Dal</t>
  </si>
  <si>
    <t>Spinach Dal Lentil</t>
  </si>
  <si>
    <t>Coriander Pulao</t>
  </si>
  <si>
    <t xml:space="preserve">Aloo Pepper </t>
  </si>
  <si>
    <t>Pachmela Dal</t>
  </si>
  <si>
    <t>Bombay Veg Biryani</t>
  </si>
  <si>
    <t>Methi Besan Matar</t>
  </si>
  <si>
    <t>Saag Ki Dal</t>
  </si>
  <si>
    <t>Miloni Sabz Chatpata</t>
  </si>
  <si>
    <t>Urud Dal</t>
  </si>
  <si>
    <t>Nawabi Veg Biryani</t>
  </si>
  <si>
    <t>Veg Lahori</t>
  </si>
  <si>
    <t>Karnataka Style Chicken Masala</t>
  </si>
  <si>
    <t>Aloo Chana Methi</t>
  </si>
  <si>
    <t>Veg Tahari</t>
  </si>
  <si>
    <t>Paneer Capsicum  Lababdar</t>
  </si>
  <si>
    <t>Red Pumpkin Sambar</t>
  </si>
  <si>
    <t>Lobia Kadai  Masala</t>
  </si>
  <si>
    <t>Dill Leaves Sorekai Sambar</t>
  </si>
  <si>
    <t>Snake Guard Sambar</t>
  </si>
  <si>
    <t xml:space="preserve">Gongura Dal </t>
  </si>
  <si>
    <t>Shimla Chicken Curry</t>
  </si>
  <si>
    <t xml:space="preserve">Dhaba Style Achari Dal </t>
  </si>
  <si>
    <t xml:space="preserve">Dal Rasam </t>
  </si>
  <si>
    <t>Corn Methi Malai</t>
  </si>
  <si>
    <t>Veg Peshawari</t>
  </si>
  <si>
    <t>Dhaba Style Achari Dal</t>
  </si>
  <si>
    <t>Bangalore Kushka Rice</t>
  </si>
  <si>
    <t>Kaali Mirch Chicken Masala</t>
  </si>
  <si>
    <t>Aloo Gajar Mutter Dry</t>
  </si>
  <si>
    <t>Chicken Bhuna Masala</t>
  </si>
  <si>
    <t>Awadhi Veg Biriyani</t>
  </si>
  <si>
    <t>Parsi Brown Rice</t>
  </si>
  <si>
    <t>Thalaserry Ghee Rice</t>
  </si>
  <si>
    <t>Lauki Sambar</t>
  </si>
  <si>
    <t>Gongura Dal</t>
  </si>
  <si>
    <t>Yakhni Pulao</t>
  </si>
  <si>
    <t>Gujrathi Urud Dal</t>
  </si>
  <si>
    <t>Missi Roti</t>
  </si>
  <si>
    <t>Dal Muradabadi</t>
  </si>
  <si>
    <t>Butter Corn Herbed Rice</t>
  </si>
  <si>
    <t>Chicken Lababdar</t>
  </si>
  <si>
    <t>Tomato Galic Rasam</t>
  </si>
  <si>
    <t xml:space="preserve">Mild Rice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</si>
</sst>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14" fontId="0" fillId="2" borderId="0" xfId="0" applyNumberFormat="1" applyFill="1"/>
    <xf numFmtId="14" fontId="0" fillId="0" borderId="0" xfId="0" applyNumberFormat="1"/>
    <xf numFmtId="2" fontId="0" fillId="0" borderId="0" xfId="0" applyNumberFormat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1B08F-4D9D-4DB2-AB8B-2A901BD052CD}">
  <dimension ref="A1:R3375"/>
  <sheetViews>
    <sheetView topLeftCell="H1" workbookViewId="0">
      <selection activeCell="Q2" sqref="Q2"/>
    </sheetView>
  </sheetViews>
  <sheetFormatPr defaultRowHeight="15" x14ac:dyDescent="0.25"/>
  <cols>
    <col min="1" max="1" width="10.42578125" style="3" bestFit="1" customWidth="1"/>
    <col min="2" max="2" width="10.28515625" bestFit="1" customWidth="1"/>
    <col min="3" max="3" width="11.140625" bestFit="1" customWidth="1"/>
    <col min="4" max="4" width="12.140625" bestFit="1" customWidth="1"/>
    <col min="5" max="5" width="11.7109375" bestFit="1" customWidth="1"/>
    <col min="6" max="6" width="15" bestFit="1" customWidth="1"/>
    <col min="7" max="7" width="23.5703125" bestFit="1" customWidth="1"/>
    <col min="8" max="8" width="46" bestFit="1" customWidth="1"/>
    <col min="9" max="9" width="7.42578125" bestFit="1" customWidth="1"/>
    <col min="10" max="10" width="8.140625" bestFit="1" customWidth="1"/>
    <col min="11" max="11" width="8.28515625" bestFit="1" customWidth="1"/>
    <col min="12" max="12" width="12" bestFit="1" customWidth="1"/>
    <col min="13" max="13" width="12" customWidth="1"/>
    <col min="14" max="14" width="9.42578125" bestFit="1" customWidth="1"/>
    <col min="15" max="15" width="10.5703125" bestFit="1" customWidth="1"/>
    <col min="16" max="16" width="22" bestFit="1" customWidth="1"/>
    <col min="17" max="17" width="21.7109375" bestFit="1" customWidth="1"/>
    <col min="18" max="18" width="10.85546875" bestFit="1" customWidth="1"/>
  </cols>
  <sheetData>
    <row r="1" spans="1:18" x14ac:dyDescent="0.25">
      <c r="A1" s="2" t="s">
        <v>0</v>
      </c>
      <c r="B1" s="1" t="s">
        <v>1</v>
      </c>
      <c r="C1" s="1" t="s">
        <v>2</v>
      </c>
      <c r="D1" s="1" t="s">
        <v>3</v>
      </c>
      <c r="E1" s="5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5" t="s">
        <v>17</v>
      </c>
    </row>
    <row r="2" spans="1:18" x14ac:dyDescent="0.25">
      <c r="A2" s="3">
        <v>45033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8.5000000000000006E-2</v>
      </c>
      <c r="J2">
        <f>I2*O2</f>
        <v>59.500000000000007</v>
      </c>
      <c r="K2">
        <v>0</v>
      </c>
      <c r="L2">
        <f>J2-K2</f>
        <v>59.500000000000007</v>
      </c>
      <c r="M2" s="4">
        <f>((I2*O2)-K2)/N2</f>
        <v>8.5000000000000006E-2</v>
      </c>
      <c r="N2">
        <v>700</v>
      </c>
      <c r="O2">
        <v>700</v>
      </c>
      <c r="P2" t="s">
        <v>25</v>
      </c>
      <c r="Q2" t="s">
        <v>26</v>
      </c>
      <c r="R2" t="str">
        <f>IF(COUNTIF(Sheet2!B:B, A2) &gt; 0, "Yes", "No")</f>
        <v>No</v>
      </c>
    </row>
    <row r="3" spans="1:18" x14ac:dyDescent="0.25">
      <c r="A3" s="3">
        <v>45033</v>
      </c>
      <c r="B3" t="s">
        <v>18</v>
      </c>
      <c r="C3" t="s">
        <v>19</v>
      </c>
      <c r="D3" t="s">
        <v>20</v>
      </c>
      <c r="E3" t="s">
        <v>21</v>
      </c>
      <c r="F3" t="s">
        <v>27</v>
      </c>
      <c r="G3" t="s">
        <v>28</v>
      </c>
      <c r="H3" t="s">
        <v>29</v>
      </c>
      <c r="I3">
        <v>0.11</v>
      </c>
      <c r="J3">
        <f t="shared" ref="J3:J66" si="0">I3*O3</f>
        <v>77</v>
      </c>
      <c r="K3">
        <v>3</v>
      </c>
      <c r="L3">
        <f t="shared" ref="L3:L66" si="1">J3-K3</f>
        <v>74</v>
      </c>
      <c r="M3" s="4">
        <f t="shared" ref="M3:M66" si="2">((I3*O3)-K3)/N3</f>
        <v>0.10571428571428572</v>
      </c>
      <c r="N3">
        <v>700</v>
      </c>
      <c r="O3">
        <v>700</v>
      </c>
      <c r="P3" t="s">
        <v>25</v>
      </c>
      <c r="Q3" t="s">
        <v>26</v>
      </c>
      <c r="R3" t="str">
        <f>IF(COUNTIF(Sheet2!B:B, A3) &gt; 0, "Yes", "No")</f>
        <v>No</v>
      </c>
    </row>
    <row r="4" spans="1:18" x14ac:dyDescent="0.25">
      <c r="A4" s="3">
        <v>45033</v>
      </c>
      <c r="B4" t="s">
        <v>18</v>
      </c>
      <c r="C4" t="s">
        <v>19</v>
      </c>
      <c r="D4" t="s">
        <v>20</v>
      </c>
      <c r="E4" t="s">
        <v>21</v>
      </c>
      <c r="F4" t="s">
        <v>30</v>
      </c>
      <c r="G4" t="s">
        <v>31</v>
      </c>
      <c r="H4" t="s">
        <v>32</v>
      </c>
      <c r="I4">
        <v>0.09</v>
      </c>
      <c r="J4">
        <f t="shared" si="0"/>
        <v>63</v>
      </c>
      <c r="K4">
        <v>0</v>
      </c>
      <c r="L4">
        <f t="shared" si="1"/>
        <v>63</v>
      </c>
      <c r="M4" s="4">
        <f t="shared" si="2"/>
        <v>0.09</v>
      </c>
      <c r="N4">
        <v>700</v>
      </c>
      <c r="O4">
        <v>700</v>
      </c>
      <c r="P4" t="s">
        <v>25</v>
      </c>
      <c r="Q4" t="s">
        <v>26</v>
      </c>
      <c r="R4" t="str">
        <f>IF(COUNTIF(Sheet2!B:B, A4) &gt; 0, "Yes", "No")</f>
        <v>No</v>
      </c>
    </row>
    <row r="5" spans="1:18" x14ac:dyDescent="0.25">
      <c r="A5" s="3">
        <v>45033</v>
      </c>
      <c r="B5" t="s">
        <v>18</v>
      </c>
      <c r="C5" t="s">
        <v>19</v>
      </c>
      <c r="D5" t="s">
        <v>33</v>
      </c>
      <c r="E5" t="s">
        <v>21</v>
      </c>
      <c r="F5" t="s">
        <v>34</v>
      </c>
      <c r="G5" t="s">
        <v>35</v>
      </c>
      <c r="H5" t="s">
        <v>36</v>
      </c>
      <c r="I5">
        <v>0.15</v>
      </c>
      <c r="J5">
        <f t="shared" si="0"/>
        <v>52.5</v>
      </c>
      <c r="K5">
        <v>0</v>
      </c>
      <c r="L5">
        <f t="shared" si="1"/>
        <v>52.5</v>
      </c>
      <c r="M5" s="4">
        <f t="shared" si="2"/>
        <v>0.15</v>
      </c>
      <c r="N5">
        <v>350</v>
      </c>
      <c r="O5">
        <v>350</v>
      </c>
      <c r="P5" t="s">
        <v>25</v>
      </c>
      <c r="Q5" t="s">
        <v>26</v>
      </c>
      <c r="R5" t="str">
        <f>IF(COUNTIF(Sheet2!B:B, A5) &gt; 0, "Yes", "No")</f>
        <v>No</v>
      </c>
    </row>
    <row r="6" spans="1:18" x14ac:dyDescent="0.25">
      <c r="A6" s="3">
        <v>45033</v>
      </c>
      <c r="B6" t="s">
        <v>18</v>
      </c>
      <c r="C6" t="s">
        <v>19</v>
      </c>
      <c r="D6" t="s">
        <v>20</v>
      </c>
      <c r="E6" t="s">
        <v>21</v>
      </c>
      <c r="F6" t="s">
        <v>37</v>
      </c>
      <c r="G6" t="s">
        <v>38</v>
      </c>
      <c r="H6" t="s">
        <v>39</v>
      </c>
      <c r="I6">
        <v>0.03</v>
      </c>
      <c r="J6">
        <f t="shared" si="0"/>
        <v>21</v>
      </c>
      <c r="K6">
        <v>3</v>
      </c>
      <c r="L6">
        <f t="shared" si="1"/>
        <v>18</v>
      </c>
      <c r="M6" s="4">
        <f t="shared" si="2"/>
        <v>2.5714285714285714E-2</v>
      </c>
      <c r="N6">
        <v>700</v>
      </c>
      <c r="O6">
        <v>700</v>
      </c>
      <c r="P6" t="s">
        <v>25</v>
      </c>
      <c r="Q6" t="s">
        <v>26</v>
      </c>
      <c r="R6" t="str">
        <f>IF(COUNTIF(Sheet2!B:B, A6) &gt; 0, "Yes", "No")</f>
        <v>No</v>
      </c>
    </row>
    <row r="7" spans="1:18" x14ac:dyDescent="0.25">
      <c r="A7" s="3">
        <v>45033</v>
      </c>
      <c r="B7" t="s">
        <v>18</v>
      </c>
      <c r="C7" t="s">
        <v>19</v>
      </c>
      <c r="D7" t="s">
        <v>20</v>
      </c>
      <c r="E7" t="s">
        <v>21</v>
      </c>
      <c r="F7" t="s">
        <v>40</v>
      </c>
      <c r="G7" t="s">
        <v>41</v>
      </c>
      <c r="H7" t="s">
        <v>42</v>
      </c>
      <c r="I7">
        <v>4.4999999999999998E-2</v>
      </c>
      <c r="J7">
        <f t="shared" si="0"/>
        <v>31.5</v>
      </c>
      <c r="K7">
        <v>0</v>
      </c>
      <c r="L7">
        <f t="shared" si="1"/>
        <v>31.5</v>
      </c>
      <c r="M7" s="4">
        <f t="shared" si="2"/>
        <v>4.4999999999999998E-2</v>
      </c>
      <c r="N7">
        <v>700</v>
      </c>
      <c r="O7">
        <v>700</v>
      </c>
      <c r="P7" t="s">
        <v>25</v>
      </c>
      <c r="Q7" t="s">
        <v>26</v>
      </c>
      <c r="R7" t="str">
        <f>IF(COUNTIF(Sheet2!B:B, A7) &gt; 0, "Yes", "No")</f>
        <v>No</v>
      </c>
    </row>
    <row r="8" spans="1:18" x14ac:dyDescent="0.25">
      <c r="A8" s="3">
        <v>45033</v>
      </c>
      <c r="B8" t="s">
        <v>18</v>
      </c>
      <c r="C8" t="s">
        <v>19</v>
      </c>
      <c r="D8" t="s">
        <v>20</v>
      </c>
      <c r="E8" t="s">
        <v>21</v>
      </c>
      <c r="F8" t="s">
        <v>43</v>
      </c>
      <c r="G8" t="s">
        <v>44</v>
      </c>
      <c r="H8" t="s">
        <v>45</v>
      </c>
      <c r="I8">
        <v>0.11</v>
      </c>
      <c r="J8">
        <f t="shared" si="0"/>
        <v>77</v>
      </c>
      <c r="K8">
        <v>0</v>
      </c>
      <c r="L8">
        <f t="shared" si="1"/>
        <v>77</v>
      </c>
      <c r="M8" s="4">
        <f t="shared" si="2"/>
        <v>0.11</v>
      </c>
      <c r="N8">
        <v>700</v>
      </c>
      <c r="O8">
        <v>700</v>
      </c>
      <c r="P8" t="s">
        <v>25</v>
      </c>
      <c r="Q8" t="s">
        <v>26</v>
      </c>
      <c r="R8" t="str">
        <f>IF(COUNTIF(Sheet2!B:B, A8) &gt; 0, "Yes", "No")</f>
        <v>No</v>
      </c>
    </row>
    <row r="9" spans="1:18" x14ac:dyDescent="0.25">
      <c r="A9" s="3">
        <v>45033</v>
      </c>
      <c r="B9" t="s">
        <v>18</v>
      </c>
      <c r="C9" t="s">
        <v>19</v>
      </c>
      <c r="D9" t="s">
        <v>20</v>
      </c>
      <c r="E9" t="s">
        <v>21</v>
      </c>
      <c r="F9" t="s">
        <v>46</v>
      </c>
      <c r="G9" t="s">
        <v>47</v>
      </c>
      <c r="H9" t="s">
        <v>48</v>
      </c>
      <c r="I9">
        <v>8.5000000000000006E-2</v>
      </c>
      <c r="J9">
        <f t="shared" si="0"/>
        <v>59.500000000000007</v>
      </c>
      <c r="K9">
        <v>4</v>
      </c>
      <c r="L9">
        <f t="shared" si="1"/>
        <v>55.500000000000007</v>
      </c>
      <c r="M9" s="4">
        <f t="shared" si="2"/>
        <v>7.9285714285714293E-2</v>
      </c>
      <c r="N9">
        <v>700</v>
      </c>
      <c r="O9">
        <v>700</v>
      </c>
      <c r="P9" t="s">
        <v>25</v>
      </c>
      <c r="Q9" t="s">
        <v>26</v>
      </c>
      <c r="R9" t="str">
        <f>IF(COUNTIF(Sheet2!B:B, A9) &gt; 0, "Yes", "No")</f>
        <v>No</v>
      </c>
    </row>
    <row r="10" spans="1:18" x14ac:dyDescent="0.25">
      <c r="A10" s="3">
        <v>45033</v>
      </c>
      <c r="B10" t="s">
        <v>18</v>
      </c>
      <c r="C10" t="s">
        <v>19</v>
      </c>
      <c r="D10" t="s">
        <v>20</v>
      </c>
      <c r="E10" t="s">
        <v>21</v>
      </c>
      <c r="F10" t="s">
        <v>49</v>
      </c>
      <c r="G10" t="s">
        <v>50</v>
      </c>
      <c r="H10" t="s">
        <v>49</v>
      </c>
      <c r="I10">
        <v>0.09</v>
      </c>
      <c r="J10">
        <f t="shared" si="0"/>
        <v>63</v>
      </c>
      <c r="K10">
        <v>4</v>
      </c>
      <c r="L10">
        <f t="shared" si="1"/>
        <v>59</v>
      </c>
      <c r="M10" s="4">
        <f t="shared" si="2"/>
        <v>8.4285714285714283E-2</v>
      </c>
      <c r="N10">
        <v>700</v>
      </c>
      <c r="O10">
        <v>700</v>
      </c>
      <c r="P10" t="s">
        <v>25</v>
      </c>
      <c r="Q10" t="s">
        <v>26</v>
      </c>
      <c r="R10" t="str">
        <f>IF(COUNTIF(Sheet2!B:B, A10) &gt; 0, "Yes", "No")</f>
        <v>No</v>
      </c>
    </row>
    <row r="11" spans="1:18" x14ac:dyDescent="0.25">
      <c r="A11" s="3">
        <v>45035</v>
      </c>
      <c r="B11" t="s">
        <v>18</v>
      </c>
      <c r="C11" t="s">
        <v>51</v>
      </c>
      <c r="D11" t="s">
        <v>20</v>
      </c>
      <c r="E11" t="s">
        <v>21</v>
      </c>
      <c r="F11" t="s">
        <v>22</v>
      </c>
      <c r="G11" t="s">
        <v>52</v>
      </c>
      <c r="H11" t="s">
        <v>53</v>
      </c>
      <c r="I11">
        <v>8.5000000000000006E-2</v>
      </c>
      <c r="J11">
        <f t="shared" si="0"/>
        <v>68</v>
      </c>
      <c r="K11">
        <v>10</v>
      </c>
      <c r="L11">
        <f t="shared" si="1"/>
        <v>58</v>
      </c>
      <c r="M11" s="4">
        <f t="shared" si="2"/>
        <v>7.2499999999999995E-2</v>
      </c>
      <c r="N11">
        <v>800</v>
      </c>
      <c r="O11">
        <v>800</v>
      </c>
      <c r="P11" t="s">
        <v>25</v>
      </c>
      <c r="Q11" t="s">
        <v>26</v>
      </c>
      <c r="R11" t="str">
        <f>IF(COUNTIF(Sheet2!B:B, A11) &gt; 0, "Yes", "No")</f>
        <v>No</v>
      </c>
    </row>
    <row r="12" spans="1:18" x14ac:dyDescent="0.25">
      <c r="A12" s="3">
        <v>45035</v>
      </c>
      <c r="B12" t="s">
        <v>18</v>
      </c>
      <c r="C12" t="s">
        <v>51</v>
      </c>
      <c r="D12" t="s">
        <v>20</v>
      </c>
      <c r="E12" t="s">
        <v>21</v>
      </c>
      <c r="F12" t="s">
        <v>27</v>
      </c>
      <c r="G12" t="s">
        <v>28</v>
      </c>
      <c r="H12" t="s">
        <v>54</v>
      </c>
      <c r="I12">
        <v>0.11</v>
      </c>
      <c r="J12">
        <f t="shared" si="0"/>
        <v>88</v>
      </c>
      <c r="K12">
        <v>2.5</v>
      </c>
      <c r="L12">
        <f t="shared" si="1"/>
        <v>85.5</v>
      </c>
      <c r="M12" s="4">
        <f t="shared" si="2"/>
        <v>0.106875</v>
      </c>
      <c r="N12">
        <v>800</v>
      </c>
      <c r="O12">
        <v>800</v>
      </c>
      <c r="P12" t="s">
        <v>25</v>
      </c>
      <c r="Q12" t="s">
        <v>26</v>
      </c>
      <c r="R12" t="str">
        <f>IF(COUNTIF(Sheet2!B:B, A12) &gt; 0, "Yes", "No")</f>
        <v>No</v>
      </c>
    </row>
    <row r="13" spans="1:18" x14ac:dyDescent="0.25">
      <c r="A13" s="3">
        <v>45035</v>
      </c>
      <c r="B13" t="s">
        <v>18</v>
      </c>
      <c r="C13" t="s">
        <v>51</v>
      </c>
      <c r="D13" t="s">
        <v>20</v>
      </c>
      <c r="E13" t="s">
        <v>21</v>
      </c>
      <c r="F13" t="s">
        <v>30</v>
      </c>
      <c r="G13" t="s">
        <v>55</v>
      </c>
      <c r="H13" t="s">
        <v>56</v>
      </c>
      <c r="I13">
        <v>0.09</v>
      </c>
      <c r="J13">
        <f t="shared" si="0"/>
        <v>72</v>
      </c>
      <c r="K13">
        <v>0.5</v>
      </c>
      <c r="L13">
        <f t="shared" si="1"/>
        <v>71.5</v>
      </c>
      <c r="M13" s="4">
        <f t="shared" si="2"/>
        <v>8.9374999999999996E-2</v>
      </c>
      <c r="N13">
        <v>800</v>
      </c>
      <c r="O13">
        <v>800</v>
      </c>
      <c r="P13" t="s">
        <v>25</v>
      </c>
      <c r="Q13" t="s">
        <v>26</v>
      </c>
      <c r="R13" t="str">
        <f>IF(COUNTIF(Sheet2!B:B, A13) &gt; 0, "Yes", "No")</f>
        <v>No</v>
      </c>
    </row>
    <row r="14" spans="1:18" x14ac:dyDescent="0.25">
      <c r="A14" s="3">
        <v>45035</v>
      </c>
      <c r="B14" t="s">
        <v>18</v>
      </c>
      <c r="C14" t="s">
        <v>51</v>
      </c>
      <c r="D14" t="s">
        <v>33</v>
      </c>
      <c r="E14" t="s">
        <v>21</v>
      </c>
      <c r="F14" t="s">
        <v>34</v>
      </c>
      <c r="G14" t="s">
        <v>57</v>
      </c>
      <c r="H14" t="s">
        <v>58</v>
      </c>
      <c r="I14">
        <v>0.15</v>
      </c>
      <c r="J14">
        <f t="shared" si="0"/>
        <v>60</v>
      </c>
      <c r="K14">
        <v>0</v>
      </c>
      <c r="L14">
        <f t="shared" si="1"/>
        <v>60</v>
      </c>
      <c r="M14" s="4">
        <f t="shared" si="2"/>
        <v>0.15</v>
      </c>
      <c r="N14">
        <v>400</v>
      </c>
      <c r="O14">
        <v>400</v>
      </c>
      <c r="P14" t="s">
        <v>25</v>
      </c>
      <c r="Q14" t="s">
        <v>26</v>
      </c>
      <c r="R14" t="str">
        <f>IF(COUNTIF(Sheet2!B:B, A14) &gt; 0, "Yes", "No")</f>
        <v>No</v>
      </c>
    </row>
    <row r="15" spans="1:18" x14ac:dyDescent="0.25">
      <c r="A15" s="3">
        <v>45035</v>
      </c>
      <c r="B15" t="s">
        <v>18</v>
      </c>
      <c r="C15" t="s">
        <v>51</v>
      </c>
      <c r="D15" t="s">
        <v>20</v>
      </c>
      <c r="E15" t="s">
        <v>21</v>
      </c>
      <c r="F15" t="s">
        <v>37</v>
      </c>
      <c r="G15" t="s">
        <v>59</v>
      </c>
      <c r="H15" t="s">
        <v>60</v>
      </c>
      <c r="I15">
        <v>0.03</v>
      </c>
      <c r="J15">
        <f t="shared" si="0"/>
        <v>24</v>
      </c>
      <c r="K15">
        <v>7</v>
      </c>
      <c r="L15">
        <f t="shared" si="1"/>
        <v>17</v>
      </c>
      <c r="M15" s="4">
        <f t="shared" si="2"/>
        <v>2.1250000000000002E-2</v>
      </c>
      <c r="N15">
        <v>800</v>
      </c>
      <c r="O15">
        <v>800</v>
      </c>
      <c r="P15" t="s">
        <v>25</v>
      </c>
      <c r="Q15" t="s">
        <v>26</v>
      </c>
      <c r="R15" t="str">
        <f>IF(COUNTIF(Sheet2!B:B, A15) &gt; 0, "Yes", "No")</f>
        <v>No</v>
      </c>
    </row>
    <row r="16" spans="1:18" x14ac:dyDescent="0.25">
      <c r="A16" s="3">
        <v>45035</v>
      </c>
      <c r="B16" t="s">
        <v>18</v>
      </c>
      <c r="C16" t="s">
        <v>51</v>
      </c>
      <c r="D16" t="s">
        <v>20</v>
      </c>
      <c r="E16" t="s">
        <v>21</v>
      </c>
      <c r="F16" t="s">
        <v>40</v>
      </c>
      <c r="G16" t="s">
        <v>61</v>
      </c>
      <c r="H16" t="s">
        <v>62</v>
      </c>
      <c r="I16">
        <v>4.4999999999999998E-2</v>
      </c>
      <c r="J16">
        <f t="shared" si="0"/>
        <v>36</v>
      </c>
      <c r="K16">
        <v>3</v>
      </c>
      <c r="L16">
        <f t="shared" si="1"/>
        <v>33</v>
      </c>
      <c r="M16" s="4">
        <f t="shared" si="2"/>
        <v>4.1250000000000002E-2</v>
      </c>
      <c r="N16">
        <v>800</v>
      </c>
      <c r="O16">
        <v>800</v>
      </c>
      <c r="P16" t="s">
        <v>25</v>
      </c>
      <c r="Q16" t="s">
        <v>26</v>
      </c>
      <c r="R16" t="str">
        <f>IF(COUNTIF(Sheet2!B:B, A16) &gt; 0, "Yes", "No")</f>
        <v>No</v>
      </c>
    </row>
    <row r="17" spans="1:18" x14ac:dyDescent="0.25">
      <c r="A17" s="3">
        <v>45035</v>
      </c>
      <c r="B17" t="s">
        <v>18</v>
      </c>
      <c r="C17" t="s">
        <v>51</v>
      </c>
      <c r="D17" t="s">
        <v>20</v>
      </c>
      <c r="E17" t="s">
        <v>21</v>
      </c>
      <c r="F17" t="s">
        <v>43</v>
      </c>
      <c r="G17" t="s">
        <v>63</v>
      </c>
      <c r="H17" t="s">
        <v>64</v>
      </c>
      <c r="I17">
        <v>0.11</v>
      </c>
      <c r="J17">
        <f t="shared" si="0"/>
        <v>88</v>
      </c>
      <c r="K17">
        <v>0</v>
      </c>
      <c r="L17">
        <f t="shared" si="1"/>
        <v>88</v>
      </c>
      <c r="M17" s="4">
        <f t="shared" si="2"/>
        <v>0.11</v>
      </c>
      <c r="N17">
        <v>800</v>
      </c>
      <c r="O17">
        <v>800</v>
      </c>
      <c r="P17" t="s">
        <v>25</v>
      </c>
      <c r="Q17" t="s">
        <v>26</v>
      </c>
      <c r="R17" t="str">
        <f>IF(COUNTIF(Sheet2!B:B, A17) &gt; 0, "Yes", "No")</f>
        <v>No</v>
      </c>
    </row>
    <row r="18" spans="1:18" x14ac:dyDescent="0.25">
      <c r="A18" s="3">
        <v>45035</v>
      </c>
      <c r="B18" t="s">
        <v>18</v>
      </c>
      <c r="C18" t="s">
        <v>51</v>
      </c>
      <c r="D18" t="s">
        <v>20</v>
      </c>
      <c r="E18" t="s">
        <v>21</v>
      </c>
      <c r="F18" t="s">
        <v>46</v>
      </c>
      <c r="G18" t="s">
        <v>47</v>
      </c>
      <c r="H18" t="s">
        <v>65</v>
      </c>
      <c r="I18">
        <v>8.5000000000000006E-2</v>
      </c>
      <c r="J18">
        <f t="shared" si="0"/>
        <v>68</v>
      </c>
      <c r="K18">
        <v>20</v>
      </c>
      <c r="L18">
        <f t="shared" si="1"/>
        <v>48</v>
      </c>
      <c r="M18" s="4">
        <f t="shared" si="2"/>
        <v>0.06</v>
      </c>
      <c r="N18">
        <v>800</v>
      </c>
      <c r="O18">
        <v>800</v>
      </c>
      <c r="P18" t="s">
        <v>25</v>
      </c>
      <c r="Q18" t="s">
        <v>26</v>
      </c>
      <c r="R18" t="str">
        <f>IF(COUNTIF(Sheet2!B:B, A18) &gt; 0, "Yes", "No")</f>
        <v>No</v>
      </c>
    </row>
    <row r="19" spans="1:18" x14ac:dyDescent="0.25">
      <c r="A19" s="3">
        <v>45035</v>
      </c>
      <c r="B19" t="s">
        <v>18</v>
      </c>
      <c r="C19" t="s">
        <v>51</v>
      </c>
      <c r="D19" t="s">
        <v>20</v>
      </c>
      <c r="E19" t="s">
        <v>21</v>
      </c>
      <c r="F19" t="s">
        <v>49</v>
      </c>
      <c r="G19" t="s">
        <v>50</v>
      </c>
      <c r="H19" t="s">
        <v>49</v>
      </c>
      <c r="I19">
        <v>0.09</v>
      </c>
      <c r="J19">
        <f t="shared" si="0"/>
        <v>72</v>
      </c>
      <c r="K19">
        <v>11</v>
      </c>
      <c r="L19">
        <f t="shared" si="1"/>
        <v>61</v>
      </c>
      <c r="M19" s="4">
        <f t="shared" si="2"/>
        <v>7.6249999999999998E-2</v>
      </c>
      <c r="N19">
        <v>800</v>
      </c>
      <c r="O19">
        <v>800</v>
      </c>
      <c r="P19" t="s">
        <v>25</v>
      </c>
      <c r="Q19" t="s">
        <v>26</v>
      </c>
      <c r="R19" t="str">
        <f>IF(COUNTIF(Sheet2!B:B, A19) &gt; 0, "Yes", "No")</f>
        <v>No</v>
      </c>
    </row>
    <row r="20" spans="1:18" x14ac:dyDescent="0.25">
      <c r="A20" s="3">
        <v>45036</v>
      </c>
      <c r="B20" t="s">
        <v>18</v>
      </c>
      <c r="C20" t="s">
        <v>66</v>
      </c>
      <c r="D20" t="s">
        <v>20</v>
      </c>
      <c r="E20" t="s">
        <v>67</v>
      </c>
      <c r="F20" t="s">
        <v>22</v>
      </c>
      <c r="G20" t="s">
        <v>52</v>
      </c>
      <c r="H20" t="s">
        <v>68</v>
      </c>
      <c r="I20">
        <v>8.5000000000000006E-2</v>
      </c>
      <c r="J20">
        <f t="shared" si="0"/>
        <v>63.750000000000007</v>
      </c>
      <c r="K20">
        <v>10</v>
      </c>
      <c r="L20">
        <f t="shared" si="1"/>
        <v>53.750000000000007</v>
      </c>
      <c r="M20" s="4">
        <f t="shared" si="2"/>
        <v>7.166666666666667E-2</v>
      </c>
      <c r="N20">
        <v>750</v>
      </c>
      <c r="O20">
        <v>750</v>
      </c>
      <c r="P20" t="s">
        <v>25</v>
      </c>
      <c r="Q20" t="s">
        <v>26</v>
      </c>
      <c r="R20" t="str">
        <f>IF(COUNTIF(Sheet2!B:B, A20) &gt; 0, "Yes", "No")</f>
        <v>No</v>
      </c>
    </row>
    <row r="21" spans="1:18" x14ac:dyDescent="0.25">
      <c r="A21" s="3">
        <v>45036</v>
      </c>
      <c r="B21" t="s">
        <v>18</v>
      </c>
      <c r="C21" t="s">
        <v>66</v>
      </c>
      <c r="D21" t="s">
        <v>20</v>
      </c>
      <c r="E21" t="s">
        <v>67</v>
      </c>
      <c r="F21" t="s">
        <v>27</v>
      </c>
      <c r="G21" t="s">
        <v>28</v>
      </c>
      <c r="H21" t="s">
        <v>69</v>
      </c>
      <c r="I21">
        <v>0.11</v>
      </c>
      <c r="J21">
        <f t="shared" si="0"/>
        <v>82.5</v>
      </c>
      <c r="K21">
        <v>2.5</v>
      </c>
      <c r="L21">
        <f t="shared" si="1"/>
        <v>80</v>
      </c>
      <c r="M21" s="4">
        <f t="shared" si="2"/>
        <v>0.10666666666666667</v>
      </c>
      <c r="N21">
        <v>750</v>
      </c>
      <c r="O21">
        <v>750</v>
      </c>
      <c r="P21" t="s">
        <v>25</v>
      </c>
      <c r="Q21" t="s">
        <v>26</v>
      </c>
      <c r="R21" t="str">
        <f>IF(COUNTIF(Sheet2!B:B, A21) &gt; 0, "Yes", "No")</f>
        <v>No</v>
      </c>
    </row>
    <row r="22" spans="1:18" x14ac:dyDescent="0.25">
      <c r="A22" s="3">
        <v>45036</v>
      </c>
      <c r="B22" t="s">
        <v>18</v>
      </c>
      <c r="C22" t="s">
        <v>66</v>
      </c>
      <c r="D22" t="s">
        <v>20</v>
      </c>
      <c r="E22" t="s">
        <v>67</v>
      </c>
      <c r="F22" t="s">
        <v>30</v>
      </c>
      <c r="G22" t="s">
        <v>31</v>
      </c>
      <c r="H22" t="s">
        <v>70</v>
      </c>
      <c r="I22">
        <v>0.09</v>
      </c>
      <c r="J22">
        <f t="shared" si="0"/>
        <v>67.5</v>
      </c>
      <c r="K22">
        <v>0.5</v>
      </c>
      <c r="L22">
        <f t="shared" si="1"/>
        <v>67</v>
      </c>
      <c r="M22" s="4">
        <f t="shared" si="2"/>
        <v>8.9333333333333334E-2</v>
      </c>
      <c r="N22">
        <v>750</v>
      </c>
      <c r="O22">
        <v>750</v>
      </c>
      <c r="P22" t="s">
        <v>25</v>
      </c>
      <c r="Q22" t="s">
        <v>26</v>
      </c>
      <c r="R22" t="str">
        <f>IF(COUNTIF(Sheet2!B:B, A22) &gt; 0, "Yes", "No")</f>
        <v>No</v>
      </c>
    </row>
    <row r="23" spans="1:18" x14ac:dyDescent="0.25">
      <c r="A23" s="3">
        <v>45036</v>
      </c>
      <c r="B23" t="s">
        <v>18</v>
      </c>
      <c r="C23" t="s">
        <v>66</v>
      </c>
      <c r="D23" t="s">
        <v>20</v>
      </c>
      <c r="E23" t="s">
        <v>67</v>
      </c>
      <c r="F23" t="s">
        <v>37</v>
      </c>
      <c r="G23" t="s">
        <v>71</v>
      </c>
      <c r="H23" t="s">
        <v>72</v>
      </c>
      <c r="I23">
        <v>3.5000000000000003E-2</v>
      </c>
      <c r="J23">
        <f t="shared" si="0"/>
        <v>26.250000000000004</v>
      </c>
      <c r="K23">
        <v>7</v>
      </c>
      <c r="L23">
        <f t="shared" si="1"/>
        <v>19.250000000000004</v>
      </c>
      <c r="M23" s="4">
        <f t="shared" si="2"/>
        <v>2.5666666666666671E-2</v>
      </c>
      <c r="N23">
        <v>750</v>
      </c>
      <c r="O23">
        <v>750</v>
      </c>
      <c r="P23" t="s">
        <v>25</v>
      </c>
      <c r="Q23" t="s">
        <v>26</v>
      </c>
      <c r="R23" t="str">
        <f>IF(COUNTIF(Sheet2!B:B, A23) &gt; 0, "Yes", "No")</f>
        <v>No</v>
      </c>
    </row>
    <row r="24" spans="1:18" x14ac:dyDescent="0.25">
      <c r="A24" s="3">
        <v>45036</v>
      </c>
      <c r="B24" t="s">
        <v>18</v>
      </c>
      <c r="C24" t="s">
        <v>66</v>
      </c>
      <c r="D24" t="s">
        <v>20</v>
      </c>
      <c r="E24" t="s">
        <v>67</v>
      </c>
      <c r="F24" t="s">
        <v>40</v>
      </c>
      <c r="G24" t="s">
        <v>73</v>
      </c>
      <c r="H24" t="s">
        <v>74</v>
      </c>
      <c r="I24">
        <v>0.05</v>
      </c>
      <c r="J24">
        <f t="shared" si="0"/>
        <v>37.5</v>
      </c>
      <c r="K24">
        <v>3</v>
      </c>
      <c r="L24">
        <f t="shared" si="1"/>
        <v>34.5</v>
      </c>
      <c r="M24" s="4">
        <f t="shared" si="2"/>
        <v>4.5999999999999999E-2</v>
      </c>
      <c r="N24">
        <v>750</v>
      </c>
      <c r="O24">
        <v>750</v>
      </c>
      <c r="P24" t="s">
        <v>25</v>
      </c>
      <c r="Q24" t="s">
        <v>26</v>
      </c>
      <c r="R24" t="str">
        <f>IF(COUNTIF(Sheet2!B:B, A24) &gt; 0, "Yes", "No")</f>
        <v>No</v>
      </c>
    </row>
    <row r="25" spans="1:18" x14ac:dyDescent="0.25">
      <c r="A25" s="3">
        <v>45036</v>
      </c>
      <c r="B25" t="s">
        <v>18</v>
      </c>
      <c r="C25" t="s">
        <v>66</v>
      </c>
      <c r="D25" t="s">
        <v>20</v>
      </c>
      <c r="E25" t="s">
        <v>67</v>
      </c>
      <c r="F25" t="s">
        <v>43</v>
      </c>
      <c r="G25" t="s">
        <v>75</v>
      </c>
      <c r="H25" t="s">
        <v>76</v>
      </c>
      <c r="I25">
        <v>0.11</v>
      </c>
      <c r="J25">
        <f t="shared" si="0"/>
        <v>82.5</v>
      </c>
      <c r="K25">
        <v>0</v>
      </c>
      <c r="L25">
        <f t="shared" si="1"/>
        <v>82.5</v>
      </c>
      <c r="M25" s="4">
        <f t="shared" si="2"/>
        <v>0.11</v>
      </c>
      <c r="N25">
        <v>750</v>
      </c>
      <c r="O25">
        <v>750</v>
      </c>
      <c r="P25" t="s">
        <v>25</v>
      </c>
      <c r="Q25" t="s">
        <v>26</v>
      </c>
      <c r="R25" t="str">
        <f>IF(COUNTIF(Sheet2!B:B, A25) &gt; 0, "Yes", "No")</f>
        <v>No</v>
      </c>
    </row>
    <row r="26" spans="1:18" x14ac:dyDescent="0.25">
      <c r="A26" s="3">
        <v>45036</v>
      </c>
      <c r="B26" t="s">
        <v>18</v>
      </c>
      <c r="C26" t="s">
        <v>66</v>
      </c>
      <c r="D26" t="s">
        <v>20</v>
      </c>
      <c r="E26" t="s">
        <v>67</v>
      </c>
      <c r="F26" t="s">
        <v>46</v>
      </c>
      <c r="G26" t="s">
        <v>77</v>
      </c>
      <c r="H26" t="s">
        <v>78</v>
      </c>
      <c r="I26">
        <v>8.5000000000000006E-2</v>
      </c>
      <c r="J26">
        <f t="shared" si="0"/>
        <v>63.750000000000007</v>
      </c>
      <c r="K26">
        <v>20</v>
      </c>
      <c r="L26">
        <f t="shared" si="1"/>
        <v>43.750000000000007</v>
      </c>
      <c r="M26" s="4">
        <f t="shared" si="2"/>
        <v>5.8333333333333341E-2</v>
      </c>
      <c r="N26">
        <v>750</v>
      </c>
      <c r="O26">
        <v>750</v>
      </c>
      <c r="P26" t="s">
        <v>25</v>
      </c>
      <c r="Q26" t="s">
        <v>26</v>
      </c>
      <c r="R26" t="str">
        <f>IF(COUNTIF(Sheet2!B:B, A26) &gt; 0, "Yes", "No")</f>
        <v>No</v>
      </c>
    </row>
    <row r="27" spans="1:18" x14ac:dyDescent="0.25">
      <c r="A27" s="3">
        <v>45036</v>
      </c>
      <c r="B27" t="s">
        <v>18</v>
      </c>
      <c r="C27" t="s">
        <v>66</v>
      </c>
      <c r="D27" t="s">
        <v>20</v>
      </c>
      <c r="E27" t="s">
        <v>67</v>
      </c>
      <c r="F27" t="s">
        <v>49</v>
      </c>
      <c r="G27" t="s">
        <v>50</v>
      </c>
      <c r="H27" t="s">
        <v>49</v>
      </c>
      <c r="I27">
        <v>0.09</v>
      </c>
      <c r="J27">
        <f t="shared" si="0"/>
        <v>67.5</v>
      </c>
      <c r="K27">
        <v>11</v>
      </c>
      <c r="L27">
        <f t="shared" si="1"/>
        <v>56.5</v>
      </c>
      <c r="M27" s="4">
        <f t="shared" si="2"/>
        <v>7.5333333333333335E-2</v>
      </c>
      <c r="N27">
        <v>750</v>
      </c>
      <c r="O27">
        <v>750</v>
      </c>
      <c r="P27" t="s">
        <v>25</v>
      </c>
      <c r="Q27" t="s">
        <v>26</v>
      </c>
      <c r="R27" t="str">
        <f>IF(COUNTIF(Sheet2!B:B, A27) &gt; 0, "Yes", "No")</f>
        <v>No</v>
      </c>
    </row>
    <row r="28" spans="1:18" x14ac:dyDescent="0.25">
      <c r="A28" s="3">
        <v>45037</v>
      </c>
      <c r="B28" t="s">
        <v>18</v>
      </c>
      <c r="C28" t="s">
        <v>79</v>
      </c>
      <c r="D28" t="s">
        <v>20</v>
      </c>
      <c r="E28" t="s">
        <v>21</v>
      </c>
      <c r="F28" t="s">
        <v>22</v>
      </c>
      <c r="G28" t="s">
        <v>23</v>
      </c>
      <c r="H28" t="s">
        <v>80</v>
      </c>
      <c r="I28" s="5">
        <v>0.06</v>
      </c>
      <c r="J28">
        <f t="shared" si="0"/>
        <v>46.8</v>
      </c>
      <c r="K28">
        <v>12</v>
      </c>
      <c r="L28">
        <f t="shared" si="1"/>
        <v>34.799999999999997</v>
      </c>
      <c r="M28" s="4">
        <f t="shared" si="2"/>
        <v>4.4615384615384612E-2</v>
      </c>
      <c r="N28">
        <v>780</v>
      </c>
      <c r="O28">
        <v>780</v>
      </c>
      <c r="P28" t="s">
        <v>25</v>
      </c>
      <c r="Q28" t="s">
        <v>26</v>
      </c>
      <c r="R28" t="str">
        <f>IF(COUNTIF(Sheet2!B:B, A28) &gt; 0, "Yes", "No")</f>
        <v>Yes</v>
      </c>
    </row>
    <row r="29" spans="1:18" x14ac:dyDescent="0.25">
      <c r="A29" s="3">
        <v>45037</v>
      </c>
      <c r="B29" t="s">
        <v>18</v>
      </c>
      <c r="C29" t="s">
        <v>79</v>
      </c>
      <c r="D29" t="s">
        <v>20</v>
      </c>
      <c r="E29" t="s">
        <v>21</v>
      </c>
      <c r="F29" t="s">
        <v>27</v>
      </c>
      <c r="G29" t="s">
        <v>81</v>
      </c>
      <c r="H29" t="s">
        <v>82</v>
      </c>
      <c r="I29" s="5">
        <v>0.1</v>
      </c>
      <c r="J29">
        <f t="shared" si="0"/>
        <v>78</v>
      </c>
      <c r="K29">
        <v>4</v>
      </c>
      <c r="L29">
        <f t="shared" si="1"/>
        <v>74</v>
      </c>
      <c r="M29" s="4">
        <f t="shared" si="2"/>
        <v>9.4871794871794868E-2</v>
      </c>
      <c r="N29">
        <v>780</v>
      </c>
      <c r="O29">
        <v>780</v>
      </c>
      <c r="P29" t="s">
        <v>25</v>
      </c>
      <c r="Q29" t="s">
        <v>26</v>
      </c>
      <c r="R29" t="str">
        <f>IF(COUNTIF(Sheet2!B:B, A29) &gt; 0, "Yes", "No")</f>
        <v>Yes</v>
      </c>
    </row>
    <row r="30" spans="1:18" x14ac:dyDescent="0.25">
      <c r="A30" s="3">
        <v>45037</v>
      </c>
      <c r="B30" t="s">
        <v>18</v>
      </c>
      <c r="C30" t="s">
        <v>79</v>
      </c>
      <c r="D30" t="s">
        <v>20</v>
      </c>
      <c r="E30" t="s">
        <v>21</v>
      </c>
      <c r="F30" t="s">
        <v>30</v>
      </c>
      <c r="G30" t="s">
        <v>55</v>
      </c>
      <c r="H30" t="s">
        <v>83</v>
      </c>
      <c r="I30" s="5">
        <v>0.06</v>
      </c>
      <c r="J30">
        <f t="shared" si="0"/>
        <v>46.8</v>
      </c>
      <c r="K30">
        <v>2</v>
      </c>
      <c r="L30">
        <f t="shared" si="1"/>
        <v>44.8</v>
      </c>
      <c r="M30" s="4">
        <f t="shared" si="2"/>
        <v>5.7435897435897429E-2</v>
      </c>
      <c r="N30">
        <v>780</v>
      </c>
      <c r="O30">
        <v>780</v>
      </c>
      <c r="P30" t="s">
        <v>25</v>
      </c>
      <c r="Q30" t="s">
        <v>26</v>
      </c>
      <c r="R30" t="str">
        <f>IF(COUNTIF(Sheet2!B:B, A30) &gt; 0, "Yes", "No")</f>
        <v>Yes</v>
      </c>
    </row>
    <row r="31" spans="1:18" x14ac:dyDescent="0.25">
      <c r="A31" s="3">
        <v>45037</v>
      </c>
      <c r="B31" t="s">
        <v>18</v>
      </c>
      <c r="C31" t="s">
        <v>79</v>
      </c>
      <c r="D31" t="s">
        <v>33</v>
      </c>
      <c r="E31" t="s">
        <v>21</v>
      </c>
      <c r="F31" t="s">
        <v>84</v>
      </c>
      <c r="G31" t="s">
        <v>85</v>
      </c>
      <c r="H31" t="s">
        <v>86</v>
      </c>
      <c r="I31" s="5">
        <v>0.3</v>
      </c>
      <c r="J31">
        <f t="shared" si="0"/>
        <v>117</v>
      </c>
      <c r="K31">
        <v>0</v>
      </c>
      <c r="L31">
        <f t="shared" si="1"/>
        <v>117</v>
      </c>
      <c r="M31" s="4">
        <f t="shared" si="2"/>
        <v>0.3</v>
      </c>
      <c r="N31">
        <v>390</v>
      </c>
      <c r="O31">
        <v>390</v>
      </c>
      <c r="P31" t="s">
        <v>25</v>
      </c>
      <c r="Q31" t="s">
        <v>26</v>
      </c>
      <c r="R31" t="str">
        <f>IF(COUNTIF(Sheet2!B:B, A31) &gt; 0, "Yes", "No")</f>
        <v>Yes</v>
      </c>
    </row>
    <row r="32" spans="1:18" x14ac:dyDescent="0.25">
      <c r="A32" s="3">
        <v>45037</v>
      </c>
      <c r="B32" t="s">
        <v>18</v>
      </c>
      <c r="C32" t="s">
        <v>79</v>
      </c>
      <c r="D32" t="s">
        <v>20</v>
      </c>
      <c r="E32" t="s">
        <v>21</v>
      </c>
      <c r="F32" t="s">
        <v>37</v>
      </c>
      <c r="G32" t="s">
        <v>87</v>
      </c>
      <c r="H32" t="s">
        <v>88</v>
      </c>
      <c r="I32" s="5">
        <v>2.5000000000000001E-2</v>
      </c>
      <c r="J32">
        <f t="shared" si="0"/>
        <v>19.5</v>
      </c>
      <c r="K32">
        <v>5</v>
      </c>
      <c r="L32">
        <f t="shared" si="1"/>
        <v>14.5</v>
      </c>
      <c r="M32" s="4">
        <f t="shared" si="2"/>
        <v>1.858974358974359E-2</v>
      </c>
      <c r="N32">
        <v>780</v>
      </c>
      <c r="O32">
        <v>780</v>
      </c>
      <c r="P32" t="s">
        <v>25</v>
      </c>
      <c r="Q32" t="s">
        <v>26</v>
      </c>
      <c r="R32" t="str">
        <f>IF(COUNTIF(Sheet2!B:B, A32) &gt; 0, "Yes", "No")</f>
        <v>Yes</v>
      </c>
    </row>
    <row r="33" spans="1:18" x14ac:dyDescent="0.25">
      <c r="A33" s="3">
        <v>45037</v>
      </c>
      <c r="B33" t="s">
        <v>18</v>
      </c>
      <c r="C33" t="s">
        <v>79</v>
      </c>
      <c r="D33" t="s">
        <v>20</v>
      </c>
      <c r="E33" t="s">
        <v>21</v>
      </c>
      <c r="F33" t="s">
        <v>40</v>
      </c>
      <c r="G33" t="s">
        <v>61</v>
      </c>
      <c r="H33" t="s">
        <v>89</v>
      </c>
      <c r="I33" s="5">
        <v>0.04</v>
      </c>
      <c r="J33">
        <f t="shared" si="0"/>
        <v>31.2</v>
      </c>
      <c r="K33">
        <v>6</v>
      </c>
      <c r="L33">
        <f t="shared" si="1"/>
        <v>25.2</v>
      </c>
      <c r="M33" s="4">
        <f t="shared" si="2"/>
        <v>3.2307692307692308E-2</v>
      </c>
      <c r="N33">
        <v>780</v>
      </c>
      <c r="O33">
        <v>780</v>
      </c>
      <c r="P33" t="s">
        <v>25</v>
      </c>
      <c r="Q33" t="s">
        <v>26</v>
      </c>
      <c r="R33" t="str">
        <f>IF(COUNTIF(Sheet2!B:B, A33) &gt; 0, "Yes", "No")</f>
        <v>Yes</v>
      </c>
    </row>
    <row r="34" spans="1:18" x14ac:dyDescent="0.25">
      <c r="A34" s="3">
        <v>45037</v>
      </c>
      <c r="B34" t="s">
        <v>18</v>
      </c>
      <c r="C34" t="s">
        <v>79</v>
      </c>
      <c r="D34" t="s">
        <v>20</v>
      </c>
      <c r="E34" t="s">
        <v>21</v>
      </c>
      <c r="F34" t="s">
        <v>43</v>
      </c>
      <c r="G34" t="s">
        <v>90</v>
      </c>
      <c r="H34" t="s">
        <v>91</v>
      </c>
      <c r="I34" s="5">
        <v>7.4999999999999997E-2</v>
      </c>
      <c r="J34">
        <f t="shared" si="0"/>
        <v>58.5</v>
      </c>
      <c r="K34">
        <v>0</v>
      </c>
      <c r="L34">
        <f t="shared" si="1"/>
        <v>58.5</v>
      </c>
      <c r="M34" s="4">
        <f t="shared" si="2"/>
        <v>7.4999999999999997E-2</v>
      </c>
      <c r="N34">
        <v>780</v>
      </c>
      <c r="O34">
        <v>780</v>
      </c>
      <c r="P34" t="s">
        <v>25</v>
      </c>
      <c r="Q34" t="s">
        <v>26</v>
      </c>
      <c r="R34" t="str">
        <f>IF(COUNTIF(Sheet2!B:B, A34) &gt; 0, "Yes", "No")</f>
        <v>Yes</v>
      </c>
    </row>
    <row r="35" spans="1:18" x14ac:dyDescent="0.25">
      <c r="A35" s="3">
        <v>45037</v>
      </c>
      <c r="B35" t="s">
        <v>18</v>
      </c>
      <c r="C35" t="s">
        <v>79</v>
      </c>
      <c r="D35" t="s">
        <v>20</v>
      </c>
      <c r="E35" t="s">
        <v>21</v>
      </c>
      <c r="F35" t="s">
        <v>46</v>
      </c>
      <c r="G35" t="s">
        <v>92</v>
      </c>
      <c r="H35" t="s">
        <v>93</v>
      </c>
      <c r="I35" s="5">
        <v>0.06</v>
      </c>
      <c r="J35">
        <f t="shared" si="0"/>
        <v>46.8</v>
      </c>
      <c r="K35">
        <v>5</v>
      </c>
      <c r="L35">
        <f t="shared" si="1"/>
        <v>41.8</v>
      </c>
      <c r="M35" s="4">
        <f t="shared" si="2"/>
        <v>5.3589743589743589E-2</v>
      </c>
      <c r="N35">
        <v>780</v>
      </c>
      <c r="O35">
        <v>780</v>
      </c>
      <c r="P35" t="s">
        <v>25</v>
      </c>
      <c r="Q35" t="s">
        <v>26</v>
      </c>
      <c r="R35" t="str">
        <f>IF(COUNTIF(Sheet2!B:B, A35) &gt; 0, "Yes", "No")</f>
        <v>Yes</v>
      </c>
    </row>
    <row r="36" spans="1:18" x14ac:dyDescent="0.25">
      <c r="A36" s="3">
        <v>45037</v>
      </c>
      <c r="B36" t="s">
        <v>18</v>
      </c>
      <c r="C36" t="s">
        <v>79</v>
      </c>
      <c r="D36" t="s">
        <v>20</v>
      </c>
      <c r="E36" t="s">
        <v>21</v>
      </c>
      <c r="F36" t="s">
        <v>49</v>
      </c>
      <c r="G36" t="s">
        <v>50</v>
      </c>
      <c r="H36" t="s">
        <v>49</v>
      </c>
      <c r="I36" s="5">
        <v>0.04</v>
      </c>
      <c r="J36">
        <f t="shared" si="0"/>
        <v>31.2</v>
      </c>
      <c r="K36">
        <v>0</v>
      </c>
      <c r="L36">
        <f t="shared" si="1"/>
        <v>31.2</v>
      </c>
      <c r="M36" s="4">
        <f t="shared" si="2"/>
        <v>0.04</v>
      </c>
      <c r="N36">
        <v>780</v>
      </c>
      <c r="O36">
        <v>780</v>
      </c>
      <c r="P36" t="s">
        <v>25</v>
      </c>
      <c r="Q36" t="s">
        <v>26</v>
      </c>
      <c r="R36" t="str">
        <f>IF(COUNTIF(Sheet2!B:B, A36) &gt; 0, "Yes", "No")</f>
        <v>Yes</v>
      </c>
    </row>
    <row r="37" spans="1:18" x14ac:dyDescent="0.25">
      <c r="A37" s="3">
        <v>45040</v>
      </c>
      <c r="B37" t="s">
        <v>18</v>
      </c>
      <c r="C37" t="s">
        <v>19</v>
      </c>
      <c r="D37" t="s">
        <v>20</v>
      </c>
      <c r="E37" t="s">
        <v>21</v>
      </c>
      <c r="F37" t="s">
        <v>22</v>
      </c>
      <c r="G37" t="s">
        <v>94</v>
      </c>
      <c r="H37" t="s">
        <v>95</v>
      </c>
      <c r="I37">
        <v>8.5000000000000006E-2</v>
      </c>
      <c r="J37">
        <f t="shared" si="0"/>
        <v>63.750000000000007</v>
      </c>
      <c r="K37">
        <v>0</v>
      </c>
      <c r="L37">
        <f t="shared" si="1"/>
        <v>63.750000000000007</v>
      </c>
      <c r="M37" s="4">
        <f t="shared" si="2"/>
        <v>8.5000000000000006E-2</v>
      </c>
      <c r="N37">
        <v>750</v>
      </c>
      <c r="O37">
        <v>750</v>
      </c>
      <c r="P37" t="s">
        <v>25</v>
      </c>
      <c r="Q37" t="s">
        <v>26</v>
      </c>
      <c r="R37" t="str">
        <f>IF(COUNTIF(Sheet2!B:B, A37) &gt; 0, "Yes", "No")</f>
        <v>No</v>
      </c>
    </row>
    <row r="38" spans="1:18" x14ac:dyDescent="0.25">
      <c r="A38" s="3">
        <v>45040</v>
      </c>
      <c r="B38" t="s">
        <v>18</v>
      </c>
      <c r="C38" t="s">
        <v>19</v>
      </c>
      <c r="D38" t="s">
        <v>20</v>
      </c>
      <c r="E38" t="s">
        <v>21</v>
      </c>
      <c r="F38" t="s">
        <v>27</v>
      </c>
      <c r="G38" t="s">
        <v>28</v>
      </c>
      <c r="H38" t="s">
        <v>96</v>
      </c>
      <c r="I38">
        <v>0.11</v>
      </c>
      <c r="J38">
        <f t="shared" si="0"/>
        <v>82.5</v>
      </c>
      <c r="K38">
        <v>11</v>
      </c>
      <c r="L38">
        <f t="shared" si="1"/>
        <v>71.5</v>
      </c>
      <c r="M38" s="4">
        <f t="shared" si="2"/>
        <v>9.5333333333333339E-2</v>
      </c>
      <c r="N38">
        <v>750</v>
      </c>
      <c r="O38">
        <v>750</v>
      </c>
      <c r="P38" t="s">
        <v>25</v>
      </c>
      <c r="Q38" t="s">
        <v>26</v>
      </c>
      <c r="R38" t="str">
        <f>IF(COUNTIF(Sheet2!B:B, A38) &gt; 0, "Yes", "No")</f>
        <v>No</v>
      </c>
    </row>
    <row r="39" spans="1:18" x14ac:dyDescent="0.25">
      <c r="A39" s="3">
        <v>45040</v>
      </c>
      <c r="B39" t="s">
        <v>18</v>
      </c>
      <c r="C39" t="s">
        <v>19</v>
      </c>
      <c r="D39" t="s">
        <v>20</v>
      </c>
      <c r="E39" t="s">
        <v>21</v>
      </c>
      <c r="F39" t="s">
        <v>30</v>
      </c>
      <c r="G39" t="s">
        <v>55</v>
      </c>
      <c r="H39" t="s">
        <v>97</v>
      </c>
      <c r="I39">
        <v>0.09</v>
      </c>
      <c r="J39">
        <f t="shared" si="0"/>
        <v>67.5</v>
      </c>
      <c r="K39">
        <v>3</v>
      </c>
      <c r="L39">
        <f t="shared" si="1"/>
        <v>64.5</v>
      </c>
      <c r="M39" s="4">
        <f t="shared" si="2"/>
        <v>8.5999999999999993E-2</v>
      </c>
      <c r="N39">
        <v>750</v>
      </c>
      <c r="O39">
        <v>750</v>
      </c>
      <c r="P39" t="s">
        <v>25</v>
      </c>
      <c r="Q39" t="s">
        <v>26</v>
      </c>
      <c r="R39" t="str">
        <f>IF(COUNTIF(Sheet2!B:B, A39) &gt; 0, "Yes", "No")</f>
        <v>No</v>
      </c>
    </row>
    <row r="40" spans="1:18" x14ac:dyDescent="0.25">
      <c r="A40" s="3">
        <v>45040</v>
      </c>
      <c r="B40" t="s">
        <v>18</v>
      </c>
      <c r="C40" t="s">
        <v>19</v>
      </c>
      <c r="D40" t="s">
        <v>33</v>
      </c>
      <c r="E40" t="s">
        <v>21</v>
      </c>
      <c r="F40" t="s">
        <v>34</v>
      </c>
      <c r="G40" t="s">
        <v>57</v>
      </c>
      <c r="H40" t="s">
        <v>98</v>
      </c>
      <c r="I40">
        <v>0.15</v>
      </c>
      <c r="J40">
        <f t="shared" si="0"/>
        <v>56.25</v>
      </c>
      <c r="K40">
        <v>0</v>
      </c>
      <c r="L40">
        <f t="shared" si="1"/>
        <v>56.25</v>
      </c>
      <c r="M40" s="4">
        <f t="shared" si="2"/>
        <v>0.15</v>
      </c>
      <c r="N40">
        <v>375</v>
      </c>
      <c r="O40">
        <v>375</v>
      </c>
      <c r="P40" t="s">
        <v>25</v>
      </c>
      <c r="Q40" t="s">
        <v>26</v>
      </c>
      <c r="R40" t="str">
        <f>IF(COUNTIF(Sheet2!B:B, A40) &gt; 0, "Yes", "No")</f>
        <v>No</v>
      </c>
    </row>
    <row r="41" spans="1:18" x14ac:dyDescent="0.25">
      <c r="A41" s="3">
        <v>45040</v>
      </c>
      <c r="B41" t="s">
        <v>18</v>
      </c>
      <c r="C41" t="s">
        <v>19</v>
      </c>
      <c r="D41" t="s">
        <v>20</v>
      </c>
      <c r="E41" t="s">
        <v>21</v>
      </c>
      <c r="F41" t="s">
        <v>37</v>
      </c>
      <c r="G41" t="s">
        <v>87</v>
      </c>
      <c r="H41" t="s">
        <v>99</v>
      </c>
      <c r="I41">
        <v>0.03</v>
      </c>
      <c r="J41">
        <f t="shared" si="0"/>
        <v>22.5</v>
      </c>
      <c r="K41">
        <v>6</v>
      </c>
      <c r="L41">
        <f t="shared" si="1"/>
        <v>16.5</v>
      </c>
      <c r="M41" s="4">
        <f t="shared" si="2"/>
        <v>2.1999999999999999E-2</v>
      </c>
      <c r="N41">
        <v>750</v>
      </c>
      <c r="O41">
        <v>750</v>
      </c>
      <c r="P41" t="s">
        <v>25</v>
      </c>
      <c r="Q41" t="s">
        <v>26</v>
      </c>
      <c r="R41" t="str">
        <f>IF(COUNTIF(Sheet2!B:B, A41) &gt; 0, "Yes", "No")</f>
        <v>No</v>
      </c>
    </row>
    <row r="42" spans="1:18" x14ac:dyDescent="0.25">
      <c r="A42" s="3">
        <v>45040</v>
      </c>
      <c r="B42" t="s">
        <v>18</v>
      </c>
      <c r="C42" t="s">
        <v>19</v>
      </c>
      <c r="D42" t="s">
        <v>20</v>
      </c>
      <c r="E42" t="s">
        <v>21</v>
      </c>
      <c r="F42" t="s">
        <v>40</v>
      </c>
      <c r="G42" t="s">
        <v>100</v>
      </c>
      <c r="H42" t="s">
        <v>101</v>
      </c>
      <c r="I42">
        <v>4.4999999999999998E-2</v>
      </c>
      <c r="J42">
        <f t="shared" si="0"/>
        <v>33.75</v>
      </c>
      <c r="K42">
        <v>4</v>
      </c>
      <c r="L42">
        <f t="shared" si="1"/>
        <v>29.75</v>
      </c>
      <c r="M42" s="4">
        <f t="shared" si="2"/>
        <v>3.966666666666667E-2</v>
      </c>
      <c r="N42">
        <v>750</v>
      </c>
      <c r="O42">
        <v>750</v>
      </c>
      <c r="P42" t="s">
        <v>25</v>
      </c>
      <c r="Q42" t="s">
        <v>26</v>
      </c>
      <c r="R42" t="str">
        <f>IF(COUNTIF(Sheet2!B:B, A42) &gt; 0, "Yes", "No")</f>
        <v>No</v>
      </c>
    </row>
    <row r="43" spans="1:18" x14ac:dyDescent="0.25">
      <c r="A43" s="3">
        <v>45040</v>
      </c>
      <c r="B43" t="s">
        <v>18</v>
      </c>
      <c r="C43" t="s">
        <v>19</v>
      </c>
      <c r="D43" t="s">
        <v>20</v>
      </c>
      <c r="E43" t="s">
        <v>21</v>
      </c>
      <c r="F43" t="s">
        <v>43</v>
      </c>
      <c r="G43" t="s">
        <v>44</v>
      </c>
      <c r="H43" t="s">
        <v>102</v>
      </c>
      <c r="I43">
        <v>0.11</v>
      </c>
      <c r="J43">
        <f t="shared" si="0"/>
        <v>82.5</v>
      </c>
      <c r="K43">
        <v>0</v>
      </c>
      <c r="L43">
        <f t="shared" si="1"/>
        <v>82.5</v>
      </c>
      <c r="M43" s="4">
        <f t="shared" si="2"/>
        <v>0.11</v>
      </c>
      <c r="N43">
        <v>750</v>
      </c>
      <c r="O43">
        <v>750</v>
      </c>
      <c r="P43" t="s">
        <v>25</v>
      </c>
      <c r="Q43" t="s">
        <v>26</v>
      </c>
      <c r="R43" t="str">
        <f>IF(COUNTIF(Sheet2!B:B, A43) &gt; 0, "Yes", "No")</f>
        <v>No</v>
      </c>
    </row>
    <row r="44" spans="1:18" x14ac:dyDescent="0.25">
      <c r="A44" s="3">
        <v>45040</v>
      </c>
      <c r="B44" t="s">
        <v>18</v>
      </c>
      <c r="C44" t="s">
        <v>19</v>
      </c>
      <c r="D44" t="s">
        <v>20</v>
      </c>
      <c r="E44" t="s">
        <v>21</v>
      </c>
      <c r="F44" t="s">
        <v>46</v>
      </c>
      <c r="G44" t="s">
        <v>103</v>
      </c>
      <c r="H44" t="s">
        <v>104</v>
      </c>
      <c r="I44">
        <v>0.09</v>
      </c>
      <c r="J44">
        <f t="shared" si="0"/>
        <v>67.5</v>
      </c>
      <c r="K44">
        <v>12</v>
      </c>
      <c r="L44">
        <f t="shared" si="1"/>
        <v>55.5</v>
      </c>
      <c r="M44" s="4">
        <f t="shared" si="2"/>
        <v>7.3999999999999996E-2</v>
      </c>
      <c r="N44">
        <v>750</v>
      </c>
      <c r="O44">
        <v>750</v>
      </c>
      <c r="P44" t="s">
        <v>25</v>
      </c>
      <c r="Q44" t="s">
        <v>26</v>
      </c>
      <c r="R44" t="str">
        <f>IF(COUNTIF(Sheet2!B:B, A44) &gt; 0, "Yes", "No")</f>
        <v>No</v>
      </c>
    </row>
    <row r="45" spans="1:18" x14ac:dyDescent="0.25">
      <c r="A45" s="3">
        <v>45040</v>
      </c>
      <c r="B45" t="s">
        <v>18</v>
      </c>
      <c r="C45" t="s">
        <v>19</v>
      </c>
      <c r="D45" t="s">
        <v>20</v>
      </c>
      <c r="E45" t="s">
        <v>21</v>
      </c>
      <c r="F45" t="s">
        <v>49</v>
      </c>
      <c r="G45" t="s">
        <v>50</v>
      </c>
      <c r="H45" t="s">
        <v>49</v>
      </c>
      <c r="I45">
        <v>0.09</v>
      </c>
      <c r="J45">
        <f t="shared" si="0"/>
        <v>67.5</v>
      </c>
      <c r="K45">
        <v>0</v>
      </c>
      <c r="L45">
        <f t="shared" si="1"/>
        <v>67.5</v>
      </c>
      <c r="M45" s="4">
        <f t="shared" si="2"/>
        <v>0.09</v>
      </c>
      <c r="N45">
        <v>750</v>
      </c>
      <c r="O45">
        <v>750</v>
      </c>
      <c r="P45" t="s">
        <v>25</v>
      </c>
      <c r="Q45" t="s">
        <v>26</v>
      </c>
      <c r="R45" t="str">
        <f>IF(COUNTIF(Sheet2!B:B, A45) &gt; 0, "Yes", "No")</f>
        <v>No</v>
      </c>
    </row>
    <row r="46" spans="1:18" x14ac:dyDescent="0.25">
      <c r="A46" s="3">
        <v>45041</v>
      </c>
      <c r="B46" t="s">
        <v>18</v>
      </c>
      <c r="C46" t="s">
        <v>105</v>
      </c>
      <c r="D46" t="s">
        <v>20</v>
      </c>
      <c r="E46" t="s">
        <v>67</v>
      </c>
      <c r="F46" t="s">
        <v>22</v>
      </c>
      <c r="G46" t="s">
        <v>23</v>
      </c>
      <c r="H46" t="s">
        <v>106</v>
      </c>
      <c r="I46">
        <v>8.5000000000000006E-2</v>
      </c>
      <c r="J46">
        <f t="shared" si="0"/>
        <v>59.500000000000007</v>
      </c>
      <c r="K46">
        <v>0</v>
      </c>
      <c r="L46">
        <f t="shared" si="1"/>
        <v>59.500000000000007</v>
      </c>
      <c r="M46" s="4">
        <f t="shared" si="2"/>
        <v>8.5000000000000006E-2</v>
      </c>
      <c r="N46">
        <v>700</v>
      </c>
      <c r="O46">
        <v>700</v>
      </c>
      <c r="P46" t="s">
        <v>25</v>
      </c>
      <c r="Q46" t="s">
        <v>26</v>
      </c>
      <c r="R46" t="str">
        <f>IF(COUNTIF(Sheet2!B:B, A46) &gt; 0, "Yes", "No")</f>
        <v>No</v>
      </c>
    </row>
    <row r="47" spans="1:18" x14ac:dyDescent="0.25">
      <c r="A47" s="3">
        <v>45041</v>
      </c>
      <c r="B47" t="s">
        <v>18</v>
      </c>
      <c r="C47" t="s">
        <v>105</v>
      </c>
      <c r="D47" t="s">
        <v>20</v>
      </c>
      <c r="E47" t="s">
        <v>67</v>
      </c>
      <c r="F47" t="s">
        <v>27</v>
      </c>
      <c r="G47" t="s">
        <v>28</v>
      </c>
      <c r="H47" t="s">
        <v>107</v>
      </c>
      <c r="I47">
        <v>0.11</v>
      </c>
      <c r="J47">
        <f t="shared" si="0"/>
        <v>77</v>
      </c>
      <c r="K47">
        <v>1.5</v>
      </c>
      <c r="L47">
        <f t="shared" si="1"/>
        <v>75.5</v>
      </c>
      <c r="M47" s="4">
        <f t="shared" si="2"/>
        <v>0.10785714285714286</v>
      </c>
      <c r="N47">
        <v>700</v>
      </c>
      <c r="O47">
        <v>700</v>
      </c>
      <c r="P47" t="s">
        <v>25</v>
      </c>
      <c r="Q47" t="s">
        <v>26</v>
      </c>
      <c r="R47" t="str">
        <f>IF(COUNTIF(Sheet2!B:B, A47) &gt; 0, "Yes", "No")</f>
        <v>No</v>
      </c>
    </row>
    <row r="48" spans="1:18" x14ac:dyDescent="0.25">
      <c r="A48" s="3">
        <v>45041</v>
      </c>
      <c r="B48" t="s">
        <v>18</v>
      </c>
      <c r="C48" t="s">
        <v>105</v>
      </c>
      <c r="D48" t="s">
        <v>20</v>
      </c>
      <c r="E48" t="s">
        <v>67</v>
      </c>
      <c r="F48" t="s">
        <v>30</v>
      </c>
      <c r="G48" t="s">
        <v>31</v>
      </c>
      <c r="H48" t="s">
        <v>31</v>
      </c>
      <c r="I48">
        <v>0.09</v>
      </c>
      <c r="J48">
        <f t="shared" si="0"/>
        <v>63</v>
      </c>
      <c r="K48">
        <v>0</v>
      </c>
      <c r="L48">
        <f t="shared" si="1"/>
        <v>63</v>
      </c>
      <c r="M48" s="4">
        <f t="shared" si="2"/>
        <v>0.09</v>
      </c>
      <c r="N48">
        <v>700</v>
      </c>
      <c r="O48">
        <v>700</v>
      </c>
      <c r="P48" t="s">
        <v>25</v>
      </c>
      <c r="Q48" t="s">
        <v>26</v>
      </c>
      <c r="R48" t="str">
        <f>IF(COUNTIF(Sheet2!B:B, A48) &gt; 0, "Yes", "No")</f>
        <v>No</v>
      </c>
    </row>
    <row r="49" spans="1:18" x14ac:dyDescent="0.25">
      <c r="A49" s="3">
        <v>45041</v>
      </c>
      <c r="B49" t="s">
        <v>18</v>
      </c>
      <c r="C49" t="s">
        <v>105</v>
      </c>
      <c r="D49" t="s">
        <v>20</v>
      </c>
      <c r="E49" t="s">
        <v>67</v>
      </c>
      <c r="F49" t="s">
        <v>37</v>
      </c>
      <c r="G49" t="s">
        <v>108</v>
      </c>
      <c r="H49" t="s">
        <v>109</v>
      </c>
      <c r="I49">
        <v>3.5000000000000003E-2</v>
      </c>
      <c r="J49">
        <f t="shared" si="0"/>
        <v>24.500000000000004</v>
      </c>
      <c r="K49">
        <v>1</v>
      </c>
      <c r="L49">
        <f t="shared" si="1"/>
        <v>23.500000000000004</v>
      </c>
      <c r="M49" s="4">
        <f t="shared" si="2"/>
        <v>3.3571428571428578E-2</v>
      </c>
      <c r="N49">
        <v>700</v>
      </c>
      <c r="O49">
        <v>700</v>
      </c>
      <c r="P49" t="s">
        <v>25</v>
      </c>
      <c r="Q49" t="s">
        <v>26</v>
      </c>
      <c r="R49" t="str">
        <f>IF(COUNTIF(Sheet2!B:B, A49) &gt; 0, "Yes", "No")</f>
        <v>No</v>
      </c>
    </row>
    <row r="50" spans="1:18" x14ac:dyDescent="0.25">
      <c r="A50" s="3">
        <v>45041</v>
      </c>
      <c r="B50" t="s">
        <v>18</v>
      </c>
      <c r="C50" t="s">
        <v>105</v>
      </c>
      <c r="D50" t="s">
        <v>20</v>
      </c>
      <c r="E50" t="s">
        <v>67</v>
      </c>
      <c r="F50" t="s">
        <v>40</v>
      </c>
      <c r="G50" t="s">
        <v>73</v>
      </c>
      <c r="H50" t="s">
        <v>110</v>
      </c>
      <c r="I50">
        <v>0.05</v>
      </c>
      <c r="J50">
        <f t="shared" si="0"/>
        <v>35</v>
      </c>
      <c r="K50">
        <v>1</v>
      </c>
      <c r="L50">
        <f t="shared" si="1"/>
        <v>34</v>
      </c>
      <c r="M50" s="4">
        <f t="shared" si="2"/>
        <v>4.8571428571428571E-2</v>
      </c>
      <c r="N50">
        <v>700</v>
      </c>
      <c r="O50">
        <v>700</v>
      </c>
      <c r="P50" t="s">
        <v>25</v>
      </c>
      <c r="Q50" t="s">
        <v>26</v>
      </c>
      <c r="R50" t="str">
        <f>IF(COUNTIF(Sheet2!B:B, A50) &gt; 0, "Yes", "No")</f>
        <v>No</v>
      </c>
    </row>
    <row r="51" spans="1:18" x14ac:dyDescent="0.25">
      <c r="A51" s="3">
        <v>45041</v>
      </c>
      <c r="B51" t="s">
        <v>18</v>
      </c>
      <c r="C51" t="s">
        <v>105</v>
      </c>
      <c r="D51" t="s">
        <v>20</v>
      </c>
      <c r="E51" t="s">
        <v>67</v>
      </c>
      <c r="F51" t="s">
        <v>43</v>
      </c>
      <c r="G51" t="s">
        <v>111</v>
      </c>
      <c r="H51" t="s">
        <v>112</v>
      </c>
      <c r="I51">
        <v>0.11</v>
      </c>
      <c r="J51">
        <f t="shared" si="0"/>
        <v>77</v>
      </c>
      <c r="K51">
        <v>1.5</v>
      </c>
      <c r="L51">
        <f t="shared" si="1"/>
        <v>75.5</v>
      </c>
      <c r="M51" s="4">
        <f t="shared" si="2"/>
        <v>0.10785714285714286</v>
      </c>
      <c r="N51">
        <v>700</v>
      </c>
      <c r="O51">
        <v>700</v>
      </c>
      <c r="P51" t="s">
        <v>25</v>
      </c>
      <c r="Q51" t="s">
        <v>26</v>
      </c>
      <c r="R51" t="str">
        <f>IF(COUNTIF(Sheet2!B:B, A51) &gt; 0, "Yes", "No")</f>
        <v>No</v>
      </c>
    </row>
    <row r="52" spans="1:18" x14ac:dyDescent="0.25">
      <c r="A52" s="3">
        <v>45041</v>
      </c>
      <c r="B52" t="s">
        <v>18</v>
      </c>
      <c r="C52" t="s">
        <v>105</v>
      </c>
      <c r="D52" t="s">
        <v>20</v>
      </c>
      <c r="E52" t="s">
        <v>67</v>
      </c>
      <c r="F52" t="s">
        <v>46</v>
      </c>
      <c r="G52" t="s">
        <v>47</v>
      </c>
      <c r="H52" t="s">
        <v>113</v>
      </c>
      <c r="I52">
        <v>8.5000000000000006E-2</v>
      </c>
      <c r="J52">
        <f t="shared" si="0"/>
        <v>59.500000000000007</v>
      </c>
      <c r="K52">
        <v>0</v>
      </c>
      <c r="L52">
        <f t="shared" si="1"/>
        <v>59.500000000000007</v>
      </c>
      <c r="M52" s="4">
        <f t="shared" si="2"/>
        <v>8.5000000000000006E-2</v>
      </c>
      <c r="N52">
        <v>700</v>
      </c>
      <c r="O52">
        <v>700</v>
      </c>
      <c r="P52" t="s">
        <v>25</v>
      </c>
      <c r="Q52" t="s">
        <v>26</v>
      </c>
      <c r="R52" t="str">
        <f>IF(COUNTIF(Sheet2!B:B, A52) &gt; 0, "Yes", "No")</f>
        <v>No</v>
      </c>
    </row>
    <row r="53" spans="1:18" x14ac:dyDescent="0.25">
      <c r="A53" s="3">
        <v>45041</v>
      </c>
      <c r="B53" t="s">
        <v>18</v>
      </c>
      <c r="C53" t="s">
        <v>105</v>
      </c>
      <c r="D53" t="s">
        <v>20</v>
      </c>
      <c r="E53" t="s">
        <v>67</v>
      </c>
      <c r="F53" t="s">
        <v>49</v>
      </c>
      <c r="G53" t="s">
        <v>50</v>
      </c>
      <c r="H53" t="s">
        <v>49</v>
      </c>
      <c r="I53">
        <v>0.09</v>
      </c>
      <c r="J53">
        <f t="shared" si="0"/>
        <v>63</v>
      </c>
      <c r="K53">
        <v>0</v>
      </c>
      <c r="L53">
        <f t="shared" si="1"/>
        <v>63</v>
      </c>
      <c r="M53" s="4">
        <f t="shared" si="2"/>
        <v>0.09</v>
      </c>
      <c r="N53">
        <v>700</v>
      </c>
      <c r="O53">
        <v>700</v>
      </c>
      <c r="P53" t="s">
        <v>25</v>
      </c>
      <c r="Q53" t="s">
        <v>26</v>
      </c>
      <c r="R53" t="str">
        <f>IF(COUNTIF(Sheet2!B:B, A53) &gt; 0, "Yes", "No")</f>
        <v>No</v>
      </c>
    </row>
    <row r="54" spans="1:18" x14ac:dyDescent="0.25">
      <c r="A54" s="3">
        <v>45042</v>
      </c>
      <c r="B54" t="s">
        <v>18</v>
      </c>
      <c r="C54" t="s">
        <v>51</v>
      </c>
      <c r="D54" t="s">
        <v>20</v>
      </c>
      <c r="E54" t="s">
        <v>21</v>
      </c>
      <c r="F54" t="s">
        <v>22</v>
      </c>
      <c r="G54" t="s">
        <v>23</v>
      </c>
      <c r="H54" t="s">
        <v>114</v>
      </c>
      <c r="I54">
        <v>8.5000000000000006E-2</v>
      </c>
      <c r="J54">
        <f t="shared" si="0"/>
        <v>68</v>
      </c>
      <c r="K54">
        <v>3</v>
      </c>
      <c r="L54">
        <f t="shared" si="1"/>
        <v>65</v>
      </c>
      <c r="M54" s="4">
        <f t="shared" si="2"/>
        <v>8.1250000000000003E-2</v>
      </c>
      <c r="N54">
        <v>800</v>
      </c>
      <c r="O54">
        <v>800</v>
      </c>
      <c r="P54" t="s">
        <v>25</v>
      </c>
      <c r="Q54" t="s">
        <v>26</v>
      </c>
      <c r="R54" t="str">
        <f>IF(COUNTIF(Sheet2!B:B, A54) &gt; 0, "Yes", "No")</f>
        <v>No</v>
      </c>
    </row>
    <row r="55" spans="1:18" x14ac:dyDescent="0.25">
      <c r="A55" s="3">
        <v>45042</v>
      </c>
      <c r="B55" t="s">
        <v>18</v>
      </c>
      <c r="C55" t="s">
        <v>51</v>
      </c>
      <c r="D55" t="s">
        <v>20</v>
      </c>
      <c r="E55" t="s">
        <v>21</v>
      </c>
      <c r="F55" t="s">
        <v>27</v>
      </c>
      <c r="G55" t="s">
        <v>115</v>
      </c>
      <c r="H55" t="s">
        <v>115</v>
      </c>
      <c r="I55">
        <v>0.11</v>
      </c>
      <c r="J55">
        <f t="shared" si="0"/>
        <v>88</v>
      </c>
      <c r="K55">
        <v>4</v>
      </c>
      <c r="L55">
        <f t="shared" si="1"/>
        <v>84</v>
      </c>
      <c r="M55" s="4">
        <f t="shared" si="2"/>
        <v>0.105</v>
      </c>
      <c r="N55">
        <v>800</v>
      </c>
      <c r="O55">
        <v>800</v>
      </c>
      <c r="P55" t="s">
        <v>25</v>
      </c>
      <c r="Q55" t="s">
        <v>26</v>
      </c>
      <c r="R55" t="str">
        <f>IF(COUNTIF(Sheet2!B:B, A55) &gt; 0, "Yes", "No")</f>
        <v>No</v>
      </c>
    </row>
    <row r="56" spans="1:18" x14ac:dyDescent="0.25">
      <c r="A56" s="3">
        <v>45042</v>
      </c>
      <c r="B56" t="s">
        <v>18</v>
      </c>
      <c r="C56" t="s">
        <v>51</v>
      </c>
      <c r="D56" t="s">
        <v>20</v>
      </c>
      <c r="E56" t="s">
        <v>21</v>
      </c>
      <c r="F56" t="s">
        <v>30</v>
      </c>
      <c r="G56" t="s">
        <v>55</v>
      </c>
      <c r="H56" t="s">
        <v>56</v>
      </c>
      <c r="I56">
        <v>0.09</v>
      </c>
      <c r="J56">
        <f t="shared" si="0"/>
        <v>72</v>
      </c>
      <c r="K56">
        <v>0</v>
      </c>
      <c r="L56">
        <f t="shared" si="1"/>
        <v>72</v>
      </c>
      <c r="M56" s="4">
        <f t="shared" si="2"/>
        <v>0.09</v>
      </c>
      <c r="N56">
        <v>800</v>
      </c>
      <c r="O56">
        <v>800</v>
      </c>
      <c r="P56" t="s">
        <v>25</v>
      </c>
      <c r="Q56" t="s">
        <v>26</v>
      </c>
      <c r="R56" t="str">
        <f>IF(COUNTIF(Sheet2!B:B, A56) &gt; 0, "Yes", "No")</f>
        <v>No</v>
      </c>
    </row>
    <row r="57" spans="1:18" x14ac:dyDescent="0.25">
      <c r="A57" s="3">
        <v>45042</v>
      </c>
      <c r="B57" t="s">
        <v>18</v>
      </c>
      <c r="C57" t="s">
        <v>51</v>
      </c>
      <c r="D57" t="s">
        <v>33</v>
      </c>
      <c r="E57" t="s">
        <v>21</v>
      </c>
      <c r="F57" t="s">
        <v>34</v>
      </c>
      <c r="G57" t="s">
        <v>57</v>
      </c>
      <c r="H57" t="s">
        <v>116</v>
      </c>
      <c r="I57">
        <v>0.15</v>
      </c>
      <c r="J57">
        <f t="shared" si="0"/>
        <v>60</v>
      </c>
      <c r="K57">
        <v>0</v>
      </c>
      <c r="L57">
        <f t="shared" si="1"/>
        <v>60</v>
      </c>
      <c r="M57" s="4">
        <f t="shared" si="2"/>
        <v>0.15</v>
      </c>
      <c r="N57">
        <v>400</v>
      </c>
      <c r="O57">
        <v>400</v>
      </c>
      <c r="P57" t="s">
        <v>25</v>
      </c>
      <c r="Q57" t="s">
        <v>26</v>
      </c>
      <c r="R57" t="str">
        <f>IF(COUNTIF(Sheet2!B:B, A57) &gt; 0, "Yes", "No")</f>
        <v>No</v>
      </c>
    </row>
    <row r="58" spans="1:18" x14ac:dyDescent="0.25">
      <c r="A58" s="3">
        <v>45042</v>
      </c>
      <c r="B58" t="s">
        <v>18</v>
      </c>
      <c r="C58" t="s">
        <v>51</v>
      </c>
      <c r="D58" t="s">
        <v>20</v>
      </c>
      <c r="E58" t="s">
        <v>21</v>
      </c>
      <c r="F58" t="s">
        <v>37</v>
      </c>
      <c r="G58" t="s">
        <v>117</v>
      </c>
      <c r="H58" t="s">
        <v>118</v>
      </c>
      <c r="I58">
        <v>0.03</v>
      </c>
      <c r="J58">
        <f t="shared" si="0"/>
        <v>24</v>
      </c>
      <c r="K58">
        <v>3</v>
      </c>
      <c r="L58">
        <f t="shared" si="1"/>
        <v>21</v>
      </c>
      <c r="M58" s="4">
        <f t="shared" si="2"/>
        <v>2.6249999999999999E-2</v>
      </c>
      <c r="N58">
        <v>800</v>
      </c>
      <c r="O58">
        <v>800</v>
      </c>
      <c r="P58" t="s">
        <v>25</v>
      </c>
      <c r="Q58" t="s">
        <v>26</v>
      </c>
      <c r="R58" t="str">
        <f>IF(COUNTIF(Sheet2!B:B, A58) &gt; 0, "Yes", "No")</f>
        <v>No</v>
      </c>
    </row>
    <row r="59" spans="1:18" x14ac:dyDescent="0.25">
      <c r="A59" s="3">
        <v>45042</v>
      </c>
      <c r="B59" t="s">
        <v>18</v>
      </c>
      <c r="C59" t="s">
        <v>51</v>
      </c>
      <c r="D59" t="s">
        <v>20</v>
      </c>
      <c r="E59" t="s">
        <v>21</v>
      </c>
      <c r="F59" t="s">
        <v>40</v>
      </c>
      <c r="G59" t="s">
        <v>61</v>
      </c>
      <c r="H59" t="s">
        <v>119</v>
      </c>
      <c r="I59">
        <v>4.4999999999999998E-2</v>
      </c>
      <c r="J59">
        <f t="shared" si="0"/>
        <v>36</v>
      </c>
      <c r="K59">
        <v>4</v>
      </c>
      <c r="L59">
        <f t="shared" si="1"/>
        <v>32</v>
      </c>
      <c r="M59" s="4">
        <f t="shared" si="2"/>
        <v>0.04</v>
      </c>
      <c r="N59">
        <v>800</v>
      </c>
      <c r="O59">
        <v>800</v>
      </c>
      <c r="P59" t="s">
        <v>25</v>
      </c>
      <c r="Q59" t="s">
        <v>26</v>
      </c>
      <c r="R59" t="str">
        <f>IF(COUNTIF(Sheet2!B:B, A59) &gt; 0, "Yes", "No")</f>
        <v>No</v>
      </c>
    </row>
    <row r="60" spans="1:18" x14ac:dyDescent="0.25">
      <c r="A60" s="3">
        <v>45042</v>
      </c>
      <c r="B60" t="s">
        <v>18</v>
      </c>
      <c r="C60" t="s">
        <v>51</v>
      </c>
      <c r="D60" t="s">
        <v>20</v>
      </c>
      <c r="E60" t="s">
        <v>21</v>
      </c>
      <c r="F60" t="s">
        <v>43</v>
      </c>
      <c r="G60" t="s">
        <v>75</v>
      </c>
      <c r="H60" t="s">
        <v>120</v>
      </c>
      <c r="I60">
        <v>0.11</v>
      </c>
      <c r="J60">
        <f t="shared" si="0"/>
        <v>88</v>
      </c>
      <c r="K60">
        <v>0</v>
      </c>
      <c r="L60">
        <f t="shared" si="1"/>
        <v>88</v>
      </c>
      <c r="M60" s="4">
        <f t="shared" si="2"/>
        <v>0.11</v>
      </c>
      <c r="N60">
        <v>800</v>
      </c>
      <c r="O60">
        <v>800</v>
      </c>
      <c r="P60" t="s">
        <v>25</v>
      </c>
      <c r="Q60" t="s">
        <v>26</v>
      </c>
      <c r="R60" t="str">
        <f>IF(COUNTIF(Sheet2!B:B, A60) &gt; 0, "Yes", "No")</f>
        <v>No</v>
      </c>
    </row>
    <row r="61" spans="1:18" x14ac:dyDescent="0.25">
      <c r="A61" s="3">
        <v>45042</v>
      </c>
      <c r="B61" t="s">
        <v>18</v>
      </c>
      <c r="C61" t="s">
        <v>51</v>
      </c>
      <c r="D61" t="s">
        <v>20</v>
      </c>
      <c r="E61" t="s">
        <v>21</v>
      </c>
      <c r="F61" t="s">
        <v>46</v>
      </c>
      <c r="G61" t="s">
        <v>47</v>
      </c>
      <c r="H61" t="s">
        <v>121</v>
      </c>
      <c r="I61">
        <v>8.5000000000000006E-2</v>
      </c>
      <c r="J61">
        <f t="shared" si="0"/>
        <v>68</v>
      </c>
      <c r="K61">
        <v>10</v>
      </c>
      <c r="L61">
        <f t="shared" si="1"/>
        <v>58</v>
      </c>
      <c r="M61" s="4">
        <f t="shared" si="2"/>
        <v>7.2499999999999995E-2</v>
      </c>
      <c r="N61">
        <v>800</v>
      </c>
      <c r="O61">
        <v>800</v>
      </c>
      <c r="P61" t="s">
        <v>25</v>
      </c>
      <c r="Q61" t="s">
        <v>26</v>
      </c>
      <c r="R61" t="str">
        <f>IF(COUNTIF(Sheet2!B:B, A61) &gt; 0, "Yes", "No")</f>
        <v>No</v>
      </c>
    </row>
    <row r="62" spans="1:18" x14ac:dyDescent="0.25">
      <c r="A62" s="3">
        <v>45042</v>
      </c>
      <c r="B62" t="s">
        <v>18</v>
      </c>
      <c r="C62" t="s">
        <v>51</v>
      </c>
      <c r="D62" t="s">
        <v>20</v>
      </c>
      <c r="E62" t="s">
        <v>21</v>
      </c>
      <c r="F62" t="s">
        <v>49</v>
      </c>
      <c r="G62" t="s">
        <v>50</v>
      </c>
      <c r="H62" t="s">
        <v>49</v>
      </c>
      <c r="I62">
        <v>0.09</v>
      </c>
      <c r="J62">
        <f t="shared" si="0"/>
        <v>72</v>
      </c>
      <c r="K62">
        <v>0</v>
      </c>
      <c r="L62">
        <f t="shared" si="1"/>
        <v>72</v>
      </c>
      <c r="M62" s="4">
        <f t="shared" si="2"/>
        <v>0.09</v>
      </c>
      <c r="N62">
        <v>800</v>
      </c>
      <c r="O62">
        <v>800</v>
      </c>
      <c r="P62" t="s">
        <v>25</v>
      </c>
      <c r="Q62" t="s">
        <v>26</v>
      </c>
      <c r="R62" t="str">
        <f>IF(COUNTIF(Sheet2!B:B, A62) &gt; 0, "Yes", "No")</f>
        <v>No</v>
      </c>
    </row>
    <row r="63" spans="1:18" x14ac:dyDescent="0.25">
      <c r="A63" s="3">
        <v>45043</v>
      </c>
      <c r="B63" t="s">
        <v>18</v>
      </c>
      <c r="C63" t="s">
        <v>66</v>
      </c>
      <c r="D63" t="s">
        <v>20</v>
      </c>
      <c r="E63" t="s">
        <v>67</v>
      </c>
      <c r="F63" t="s">
        <v>22</v>
      </c>
      <c r="G63" t="s">
        <v>122</v>
      </c>
      <c r="H63" t="s">
        <v>123</v>
      </c>
      <c r="I63">
        <v>8.5000000000000006E-2</v>
      </c>
      <c r="J63">
        <f t="shared" si="0"/>
        <v>63.750000000000007</v>
      </c>
      <c r="K63">
        <v>0</v>
      </c>
      <c r="L63">
        <f t="shared" si="1"/>
        <v>63.750000000000007</v>
      </c>
      <c r="M63" s="4">
        <f t="shared" si="2"/>
        <v>8.5000000000000006E-2</v>
      </c>
      <c r="N63">
        <v>750</v>
      </c>
      <c r="O63">
        <v>750</v>
      </c>
      <c r="P63" t="s">
        <v>25</v>
      </c>
      <c r="Q63" t="s">
        <v>26</v>
      </c>
      <c r="R63" t="str">
        <f>IF(COUNTIF(Sheet2!B:B, A63) &gt; 0, "Yes", "No")</f>
        <v>No</v>
      </c>
    </row>
    <row r="64" spans="1:18" x14ac:dyDescent="0.25">
      <c r="A64" s="3">
        <v>45043</v>
      </c>
      <c r="B64" t="s">
        <v>18</v>
      </c>
      <c r="C64" t="s">
        <v>66</v>
      </c>
      <c r="D64" t="s">
        <v>20</v>
      </c>
      <c r="E64" t="s">
        <v>67</v>
      </c>
      <c r="F64" t="s">
        <v>27</v>
      </c>
      <c r="G64" t="s">
        <v>28</v>
      </c>
      <c r="H64" t="s">
        <v>124</v>
      </c>
      <c r="I64">
        <v>0.11</v>
      </c>
      <c r="J64">
        <f t="shared" si="0"/>
        <v>82.5</v>
      </c>
      <c r="K64">
        <v>9</v>
      </c>
      <c r="L64">
        <f t="shared" si="1"/>
        <v>73.5</v>
      </c>
      <c r="M64" s="4">
        <f t="shared" si="2"/>
        <v>9.8000000000000004E-2</v>
      </c>
      <c r="N64">
        <v>750</v>
      </c>
      <c r="O64">
        <v>750</v>
      </c>
      <c r="P64" t="s">
        <v>25</v>
      </c>
      <c r="Q64" t="s">
        <v>26</v>
      </c>
      <c r="R64" t="str">
        <f>IF(COUNTIF(Sheet2!B:B, A64) &gt; 0, "Yes", "No")</f>
        <v>No</v>
      </c>
    </row>
    <row r="65" spans="1:18" x14ac:dyDescent="0.25">
      <c r="A65" s="3">
        <v>45043</v>
      </c>
      <c r="B65" t="s">
        <v>18</v>
      </c>
      <c r="C65" t="s">
        <v>66</v>
      </c>
      <c r="D65" t="s">
        <v>20</v>
      </c>
      <c r="E65" t="s">
        <v>67</v>
      </c>
      <c r="F65" t="s">
        <v>30</v>
      </c>
      <c r="G65" t="s">
        <v>55</v>
      </c>
      <c r="H65" t="s">
        <v>125</v>
      </c>
      <c r="I65">
        <v>0.09</v>
      </c>
      <c r="J65">
        <f t="shared" si="0"/>
        <v>67.5</v>
      </c>
      <c r="K65">
        <v>3</v>
      </c>
      <c r="L65">
        <f t="shared" si="1"/>
        <v>64.5</v>
      </c>
      <c r="M65" s="4">
        <f t="shared" si="2"/>
        <v>8.5999999999999993E-2</v>
      </c>
      <c r="N65">
        <v>750</v>
      </c>
      <c r="O65">
        <v>750</v>
      </c>
      <c r="P65" t="s">
        <v>25</v>
      </c>
      <c r="Q65" t="s">
        <v>26</v>
      </c>
      <c r="R65" t="str">
        <f>IF(COUNTIF(Sheet2!B:B, A65) &gt; 0, "Yes", "No")</f>
        <v>No</v>
      </c>
    </row>
    <row r="66" spans="1:18" x14ac:dyDescent="0.25">
      <c r="A66" s="3">
        <v>45043</v>
      </c>
      <c r="B66" t="s">
        <v>18</v>
      </c>
      <c r="C66" t="s">
        <v>66</v>
      </c>
      <c r="D66" t="s">
        <v>20</v>
      </c>
      <c r="E66" t="s">
        <v>67</v>
      </c>
      <c r="F66" t="s">
        <v>37</v>
      </c>
      <c r="G66" t="s">
        <v>108</v>
      </c>
      <c r="H66" t="s">
        <v>126</v>
      </c>
      <c r="I66">
        <v>3.5000000000000003E-2</v>
      </c>
      <c r="J66">
        <f t="shared" si="0"/>
        <v>26.250000000000004</v>
      </c>
      <c r="K66">
        <v>4</v>
      </c>
      <c r="L66">
        <f t="shared" si="1"/>
        <v>22.250000000000004</v>
      </c>
      <c r="M66" s="4">
        <f t="shared" si="2"/>
        <v>2.9666666666666671E-2</v>
      </c>
      <c r="N66">
        <v>750</v>
      </c>
      <c r="O66">
        <v>750</v>
      </c>
      <c r="P66" t="s">
        <v>25</v>
      </c>
      <c r="Q66" t="s">
        <v>26</v>
      </c>
      <c r="R66" t="str">
        <f>IF(COUNTIF(Sheet2!B:B, A66) &gt; 0, "Yes", "No")</f>
        <v>No</v>
      </c>
    </row>
    <row r="67" spans="1:18" x14ac:dyDescent="0.25">
      <c r="A67" s="3">
        <v>45043</v>
      </c>
      <c r="B67" t="s">
        <v>18</v>
      </c>
      <c r="C67" t="s">
        <v>66</v>
      </c>
      <c r="D67" t="s">
        <v>20</v>
      </c>
      <c r="E67" t="s">
        <v>67</v>
      </c>
      <c r="F67" t="s">
        <v>40</v>
      </c>
      <c r="G67" t="s">
        <v>127</v>
      </c>
      <c r="H67" t="s">
        <v>127</v>
      </c>
      <c r="I67">
        <v>0.05</v>
      </c>
      <c r="J67">
        <f t="shared" ref="J67:J130" si="3">I67*O67</f>
        <v>37.5</v>
      </c>
      <c r="K67">
        <v>0</v>
      </c>
      <c r="L67">
        <f t="shared" ref="L67:L130" si="4">J67-K67</f>
        <v>37.5</v>
      </c>
      <c r="M67" s="4">
        <f t="shared" ref="M67:M130" si="5">((I67*O67)-K67)/N67</f>
        <v>0.05</v>
      </c>
      <c r="N67">
        <v>750</v>
      </c>
      <c r="O67">
        <v>750</v>
      </c>
      <c r="P67" t="s">
        <v>25</v>
      </c>
      <c r="Q67" t="s">
        <v>26</v>
      </c>
      <c r="R67" t="str">
        <f>IF(COUNTIF(Sheet2!B:B, A67) &gt; 0, "Yes", "No")</f>
        <v>No</v>
      </c>
    </row>
    <row r="68" spans="1:18" x14ac:dyDescent="0.25">
      <c r="A68" s="3">
        <v>45043</v>
      </c>
      <c r="B68" t="s">
        <v>18</v>
      </c>
      <c r="C68" t="s">
        <v>66</v>
      </c>
      <c r="D68" t="s">
        <v>20</v>
      </c>
      <c r="E68" t="s">
        <v>67</v>
      </c>
      <c r="F68" t="s">
        <v>43</v>
      </c>
      <c r="G68" t="s">
        <v>128</v>
      </c>
      <c r="H68" t="s">
        <v>129</v>
      </c>
      <c r="I68">
        <v>0.11</v>
      </c>
      <c r="J68">
        <f t="shared" si="3"/>
        <v>82.5</v>
      </c>
      <c r="K68">
        <v>12</v>
      </c>
      <c r="L68">
        <f t="shared" si="4"/>
        <v>70.5</v>
      </c>
      <c r="M68" s="4">
        <f t="shared" si="5"/>
        <v>9.4E-2</v>
      </c>
      <c r="N68">
        <v>750</v>
      </c>
      <c r="O68">
        <v>750</v>
      </c>
      <c r="P68" t="s">
        <v>25</v>
      </c>
      <c r="Q68" t="s">
        <v>26</v>
      </c>
      <c r="R68" t="str">
        <f>IF(COUNTIF(Sheet2!B:B, A68) &gt; 0, "Yes", "No")</f>
        <v>No</v>
      </c>
    </row>
    <row r="69" spans="1:18" x14ac:dyDescent="0.25">
      <c r="A69" s="3">
        <v>45043</v>
      </c>
      <c r="B69" t="s">
        <v>18</v>
      </c>
      <c r="C69" t="s">
        <v>66</v>
      </c>
      <c r="D69" t="s">
        <v>20</v>
      </c>
      <c r="E69" t="s">
        <v>67</v>
      </c>
      <c r="F69" t="s">
        <v>46</v>
      </c>
      <c r="G69" t="s">
        <v>130</v>
      </c>
      <c r="H69" t="s">
        <v>131</v>
      </c>
      <c r="I69">
        <v>8.5000000000000006E-2</v>
      </c>
      <c r="J69">
        <f t="shared" si="3"/>
        <v>63.750000000000007</v>
      </c>
      <c r="K69">
        <v>6</v>
      </c>
      <c r="L69">
        <f t="shared" si="4"/>
        <v>57.750000000000007</v>
      </c>
      <c r="M69" s="4">
        <f t="shared" si="5"/>
        <v>7.7000000000000013E-2</v>
      </c>
      <c r="N69">
        <v>750</v>
      </c>
      <c r="O69">
        <v>750</v>
      </c>
      <c r="P69" t="s">
        <v>25</v>
      </c>
      <c r="Q69" t="s">
        <v>26</v>
      </c>
      <c r="R69" t="str">
        <f>IF(COUNTIF(Sheet2!B:B, A69) &gt; 0, "Yes", "No")</f>
        <v>No</v>
      </c>
    </row>
    <row r="70" spans="1:18" x14ac:dyDescent="0.25">
      <c r="A70" s="3">
        <v>45043</v>
      </c>
      <c r="B70" t="s">
        <v>18</v>
      </c>
      <c r="C70" t="s">
        <v>66</v>
      </c>
      <c r="D70" t="s">
        <v>20</v>
      </c>
      <c r="E70" t="s">
        <v>67</v>
      </c>
      <c r="F70" t="s">
        <v>49</v>
      </c>
      <c r="G70" t="s">
        <v>50</v>
      </c>
      <c r="H70" t="s">
        <v>49</v>
      </c>
      <c r="I70">
        <v>0.09</v>
      </c>
      <c r="J70">
        <f t="shared" si="3"/>
        <v>67.5</v>
      </c>
      <c r="K70">
        <v>0</v>
      </c>
      <c r="L70">
        <f t="shared" si="4"/>
        <v>67.5</v>
      </c>
      <c r="M70" s="4">
        <f t="shared" si="5"/>
        <v>0.09</v>
      </c>
      <c r="N70">
        <v>750</v>
      </c>
      <c r="O70">
        <v>750</v>
      </c>
      <c r="P70" t="s">
        <v>25</v>
      </c>
      <c r="Q70" t="s">
        <v>26</v>
      </c>
      <c r="R70" t="str">
        <f>IF(COUNTIF(Sheet2!B:B, A70) &gt; 0, "Yes", "No")</f>
        <v>No</v>
      </c>
    </row>
    <row r="71" spans="1:18" x14ac:dyDescent="0.25">
      <c r="A71" s="3">
        <v>45044</v>
      </c>
      <c r="B71" t="s">
        <v>18</v>
      </c>
      <c r="C71" t="s">
        <v>79</v>
      </c>
      <c r="D71" t="s">
        <v>20</v>
      </c>
      <c r="E71" t="s">
        <v>21</v>
      </c>
      <c r="F71" t="s">
        <v>22</v>
      </c>
      <c r="G71" t="s">
        <v>122</v>
      </c>
      <c r="H71" t="s">
        <v>132</v>
      </c>
      <c r="I71" s="5">
        <v>0.06</v>
      </c>
      <c r="J71">
        <f t="shared" si="3"/>
        <v>39</v>
      </c>
      <c r="K71">
        <v>0</v>
      </c>
      <c r="L71">
        <f t="shared" si="4"/>
        <v>39</v>
      </c>
      <c r="M71" s="4">
        <f t="shared" si="5"/>
        <v>0.06</v>
      </c>
      <c r="N71">
        <v>650</v>
      </c>
      <c r="O71">
        <v>650</v>
      </c>
      <c r="P71" t="s">
        <v>25</v>
      </c>
      <c r="Q71" t="s">
        <v>26</v>
      </c>
      <c r="R71" t="str">
        <f>IF(COUNTIF(Sheet2!B:B, A71) &gt; 0, "Yes", "No")</f>
        <v>Yes</v>
      </c>
    </row>
    <row r="72" spans="1:18" x14ac:dyDescent="0.25">
      <c r="A72" s="3">
        <v>45044</v>
      </c>
      <c r="B72" t="s">
        <v>18</v>
      </c>
      <c r="C72" t="s">
        <v>79</v>
      </c>
      <c r="D72" t="s">
        <v>20</v>
      </c>
      <c r="E72" t="s">
        <v>21</v>
      </c>
      <c r="F72" t="s">
        <v>27</v>
      </c>
      <c r="G72" t="s">
        <v>81</v>
      </c>
      <c r="H72" t="s">
        <v>133</v>
      </c>
      <c r="I72" s="5">
        <v>0.1</v>
      </c>
      <c r="J72">
        <f t="shared" si="3"/>
        <v>65</v>
      </c>
      <c r="K72">
        <v>3</v>
      </c>
      <c r="L72">
        <f t="shared" si="4"/>
        <v>62</v>
      </c>
      <c r="M72" s="4">
        <f t="shared" si="5"/>
        <v>9.5384615384615387E-2</v>
      </c>
      <c r="N72">
        <v>650</v>
      </c>
      <c r="O72">
        <v>650</v>
      </c>
      <c r="P72" t="s">
        <v>25</v>
      </c>
      <c r="Q72" t="s">
        <v>26</v>
      </c>
      <c r="R72" t="str">
        <f>IF(COUNTIF(Sheet2!B:B, A72) &gt; 0, "Yes", "No")</f>
        <v>Yes</v>
      </c>
    </row>
    <row r="73" spans="1:18" x14ac:dyDescent="0.25">
      <c r="A73" s="3">
        <v>45044</v>
      </c>
      <c r="B73" t="s">
        <v>18</v>
      </c>
      <c r="C73" t="s">
        <v>79</v>
      </c>
      <c r="D73" t="s">
        <v>20</v>
      </c>
      <c r="E73" t="s">
        <v>21</v>
      </c>
      <c r="F73" t="s">
        <v>30</v>
      </c>
      <c r="G73" t="s">
        <v>55</v>
      </c>
      <c r="H73" t="s">
        <v>134</v>
      </c>
      <c r="I73" s="5">
        <v>0.06</v>
      </c>
      <c r="J73">
        <f t="shared" si="3"/>
        <v>39</v>
      </c>
      <c r="K73">
        <v>1</v>
      </c>
      <c r="L73">
        <f t="shared" si="4"/>
        <v>38</v>
      </c>
      <c r="M73" s="4">
        <f t="shared" si="5"/>
        <v>5.8461538461538461E-2</v>
      </c>
      <c r="N73">
        <v>650</v>
      </c>
      <c r="O73">
        <v>650</v>
      </c>
      <c r="P73" t="s">
        <v>25</v>
      </c>
      <c r="Q73" t="s">
        <v>26</v>
      </c>
      <c r="R73" t="str">
        <f>IF(COUNTIF(Sheet2!B:B, A73) &gt; 0, "Yes", "No")</f>
        <v>Yes</v>
      </c>
    </row>
    <row r="74" spans="1:18" x14ac:dyDescent="0.25">
      <c r="A74" s="3">
        <v>45044</v>
      </c>
      <c r="B74" t="s">
        <v>18</v>
      </c>
      <c r="C74" t="s">
        <v>79</v>
      </c>
      <c r="D74" t="s">
        <v>33</v>
      </c>
      <c r="E74" t="s">
        <v>21</v>
      </c>
      <c r="F74" t="s">
        <v>84</v>
      </c>
      <c r="G74" t="s">
        <v>85</v>
      </c>
      <c r="H74" t="s">
        <v>135</v>
      </c>
      <c r="I74" s="5">
        <v>0.3</v>
      </c>
      <c r="J74">
        <f t="shared" si="3"/>
        <v>97.5</v>
      </c>
      <c r="K74">
        <v>0</v>
      </c>
      <c r="L74">
        <f t="shared" si="4"/>
        <v>97.5</v>
      </c>
      <c r="M74" s="4">
        <f t="shared" si="5"/>
        <v>0.3</v>
      </c>
      <c r="N74">
        <v>325</v>
      </c>
      <c r="O74">
        <v>325</v>
      </c>
      <c r="P74" t="s">
        <v>25</v>
      </c>
      <c r="Q74" t="s">
        <v>26</v>
      </c>
      <c r="R74" t="str">
        <f>IF(COUNTIF(Sheet2!B:B, A74) &gt; 0, "Yes", "No")</f>
        <v>Yes</v>
      </c>
    </row>
    <row r="75" spans="1:18" x14ac:dyDescent="0.25">
      <c r="A75" s="3">
        <v>45044</v>
      </c>
      <c r="B75" t="s">
        <v>18</v>
      </c>
      <c r="C75" t="s">
        <v>79</v>
      </c>
      <c r="D75" t="s">
        <v>20</v>
      </c>
      <c r="E75" t="s">
        <v>21</v>
      </c>
      <c r="F75" t="s">
        <v>37</v>
      </c>
      <c r="G75" t="s">
        <v>87</v>
      </c>
      <c r="H75" t="s">
        <v>136</v>
      </c>
      <c r="I75" s="5">
        <v>2.5000000000000001E-2</v>
      </c>
      <c r="J75">
        <f t="shared" si="3"/>
        <v>16.25</v>
      </c>
      <c r="K75">
        <v>3</v>
      </c>
      <c r="L75">
        <f t="shared" si="4"/>
        <v>13.25</v>
      </c>
      <c r="M75" s="4">
        <f t="shared" si="5"/>
        <v>2.0384615384615383E-2</v>
      </c>
      <c r="N75">
        <v>650</v>
      </c>
      <c r="O75">
        <v>650</v>
      </c>
      <c r="P75" t="s">
        <v>25</v>
      </c>
      <c r="Q75" t="s">
        <v>26</v>
      </c>
      <c r="R75" t="str">
        <f>IF(COUNTIF(Sheet2!B:B, A75) &gt; 0, "Yes", "No")</f>
        <v>Yes</v>
      </c>
    </row>
    <row r="76" spans="1:18" x14ac:dyDescent="0.25">
      <c r="A76" s="3">
        <v>45044</v>
      </c>
      <c r="B76" t="s">
        <v>18</v>
      </c>
      <c r="C76" t="s">
        <v>79</v>
      </c>
      <c r="D76" t="s">
        <v>20</v>
      </c>
      <c r="E76" t="s">
        <v>21</v>
      </c>
      <c r="F76" t="s">
        <v>40</v>
      </c>
      <c r="G76" t="s">
        <v>137</v>
      </c>
      <c r="H76" t="s">
        <v>138</v>
      </c>
      <c r="I76" s="5">
        <v>0.04</v>
      </c>
      <c r="J76">
        <f t="shared" si="3"/>
        <v>26</v>
      </c>
      <c r="K76">
        <v>3</v>
      </c>
      <c r="L76">
        <f t="shared" si="4"/>
        <v>23</v>
      </c>
      <c r="M76" s="4">
        <f t="shared" si="5"/>
        <v>3.5384615384615382E-2</v>
      </c>
      <c r="N76">
        <v>650</v>
      </c>
      <c r="O76">
        <v>650</v>
      </c>
      <c r="P76" t="s">
        <v>25</v>
      </c>
      <c r="Q76" t="s">
        <v>26</v>
      </c>
      <c r="R76" t="str">
        <f>IF(COUNTIF(Sheet2!B:B, A76) &gt; 0, "Yes", "No")</f>
        <v>Yes</v>
      </c>
    </row>
    <row r="77" spans="1:18" x14ac:dyDescent="0.25">
      <c r="A77" s="3">
        <v>45044</v>
      </c>
      <c r="B77" t="s">
        <v>18</v>
      </c>
      <c r="C77" t="s">
        <v>79</v>
      </c>
      <c r="D77" t="s">
        <v>20</v>
      </c>
      <c r="E77" t="s">
        <v>21</v>
      </c>
      <c r="F77" t="s">
        <v>43</v>
      </c>
      <c r="G77" t="s">
        <v>139</v>
      </c>
      <c r="H77" t="s">
        <v>140</v>
      </c>
      <c r="I77" s="5">
        <v>7.4999999999999997E-2</v>
      </c>
      <c r="J77">
        <f t="shared" si="3"/>
        <v>48.75</v>
      </c>
      <c r="K77">
        <v>0</v>
      </c>
      <c r="L77">
        <f t="shared" si="4"/>
        <v>48.75</v>
      </c>
      <c r="M77" s="4">
        <f t="shared" si="5"/>
        <v>7.4999999999999997E-2</v>
      </c>
      <c r="N77">
        <v>650</v>
      </c>
      <c r="O77">
        <v>650</v>
      </c>
      <c r="P77" t="s">
        <v>25</v>
      </c>
      <c r="Q77" t="s">
        <v>26</v>
      </c>
      <c r="R77" t="str">
        <f>IF(COUNTIF(Sheet2!B:B, A77) &gt; 0, "Yes", "No")</f>
        <v>Yes</v>
      </c>
    </row>
    <row r="78" spans="1:18" x14ac:dyDescent="0.25">
      <c r="A78" s="3">
        <v>45044</v>
      </c>
      <c r="B78" t="s">
        <v>18</v>
      </c>
      <c r="C78" t="s">
        <v>79</v>
      </c>
      <c r="D78" t="s">
        <v>20</v>
      </c>
      <c r="E78" t="s">
        <v>21</v>
      </c>
      <c r="F78" t="s">
        <v>46</v>
      </c>
      <c r="G78" t="s">
        <v>47</v>
      </c>
      <c r="H78" t="s">
        <v>141</v>
      </c>
      <c r="I78" s="5">
        <v>0.06</v>
      </c>
      <c r="J78">
        <f t="shared" si="3"/>
        <v>39</v>
      </c>
      <c r="K78">
        <v>6</v>
      </c>
      <c r="L78">
        <f t="shared" si="4"/>
        <v>33</v>
      </c>
      <c r="M78" s="4">
        <f t="shared" si="5"/>
        <v>5.0769230769230768E-2</v>
      </c>
      <c r="N78">
        <v>650</v>
      </c>
      <c r="O78">
        <v>650</v>
      </c>
      <c r="P78" t="s">
        <v>25</v>
      </c>
      <c r="Q78" t="s">
        <v>26</v>
      </c>
      <c r="R78" t="str">
        <f>IF(COUNTIF(Sheet2!B:B, A78) &gt; 0, "Yes", "No")</f>
        <v>Yes</v>
      </c>
    </row>
    <row r="79" spans="1:18" x14ac:dyDescent="0.25">
      <c r="A79" s="3">
        <v>45044</v>
      </c>
      <c r="B79" t="s">
        <v>18</v>
      </c>
      <c r="C79" t="s">
        <v>79</v>
      </c>
      <c r="D79" t="s">
        <v>20</v>
      </c>
      <c r="E79" t="s">
        <v>21</v>
      </c>
      <c r="F79" t="s">
        <v>49</v>
      </c>
      <c r="G79" t="s">
        <v>50</v>
      </c>
      <c r="H79" t="s">
        <v>49</v>
      </c>
      <c r="I79" s="5">
        <v>0.04</v>
      </c>
      <c r="J79">
        <f t="shared" si="3"/>
        <v>26</v>
      </c>
      <c r="K79">
        <v>0</v>
      </c>
      <c r="L79">
        <f t="shared" si="4"/>
        <v>26</v>
      </c>
      <c r="M79" s="4">
        <f t="shared" si="5"/>
        <v>0.04</v>
      </c>
      <c r="N79">
        <v>650</v>
      </c>
      <c r="O79">
        <v>650</v>
      </c>
      <c r="P79" t="s">
        <v>25</v>
      </c>
      <c r="Q79" t="s">
        <v>26</v>
      </c>
      <c r="R79" t="str">
        <f>IF(COUNTIF(Sheet2!B:B, A79) &gt; 0, "Yes", "No")</f>
        <v>Yes</v>
      </c>
    </row>
    <row r="80" spans="1:18" x14ac:dyDescent="0.25">
      <c r="A80" s="3">
        <v>45048</v>
      </c>
      <c r="B80" t="s">
        <v>142</v>
      </c>
      <c r="C80" t="s">
        <v>105</v>
      </c>
      <c r="D80" t="s">
        <v>20</v>
      </c>
      <c r="E80" t="s">
        <v>67</v>
      </c>
      <c r="F80" t="s">
        <v>22</v>
      </c>
      <c r="G80" t="s">
        <v>94</v>
      </c>
      <c r="H80" t="s">
        <v>143</v>
      </c>
      <c r="I80" s="5">
        <v>0.06</v>
      </c>
      <c r="J80">
        <f t="shared" si="3"/>
        <v>45</v>
      </c>
      <c r="K80">
        <v>0</v>
      </c>
      <c r="L80">
        <f t="shared" si="4"/>
        <v>45</v>
      </c>
      <c r="M80" s="4">
        <f t="shared" si="5"/>
        <v>0.06</v>
      </c>
      <c r="N80">
        <v>750</v>
      </c>
      <c r="O80">
        <v>750</v>
      </c>
      <c r="P80" t="s">
        <v>25</v>
      </c>
      <c r="Q80" t="s">
        <v>26</v>
      </c>
      <c r="R80" t="str">
        <f>IF(COUNTIF(Sheet2!B:B, A80) &gt; 0, "Yes", "No")</f>
        <v>No</v>
      </c>
    </row>
    <row r="81" spans="1:18" x14ac:dyDescent="0.25">
      <c r="A81" s="3">
        <v>45048</v>
      </c>
      <c r="B81" t="s">
        <v>142</v>
      </c>
      <c r="C81" t="s">
        <v>105</v>
      </c>
      <c r="D81" t="s">
        <v>20</v>
      </c>
      <c r="E81" t="s">
        <v>67</v>
      </c>
      <c r="F81" t="s">
        <v>27</v>
      </c>
      <c r="G81" t="s">
        <v>144</v>
      </c>
      <c r="H81" t="s">
        <v>145</v>
      </c>
      <c r="I81">
        <v>0.1</v>
      </c>
      <c r="J81">
        <f t="shared" si="3"/>
        <v>75</v>
      </c>
      <c r="K81">
        <v>3</v>
      </c>
      <c r="L81">
        <f t="shared" si="4"/>
        <v>72</v>
      </c>
      <c r="M81" s="4">
        <f t="shared" si="5"/>
        <v>9.6000000000000002E-2</v>
      </c>
      <c r="N81">
        <v>750</v>
      </c>
      <c r="O81">
        <v>750</v>
      </c>
      <c r="P81" t="s">
        <v>25</v>
      </c>
      <c r="Q81" t="s">
        <v>26</v>
      </c>
      <c r="R81" t="str">
        <f>IF(COUNTIF(Sheet2!B:B, A81) &gt; 0, "Yes", "No")</f>
        <v>No</v>
      </c>
    </row>
    <row r="82" spans="1:18" x14ac:dyDescent="0.25">
      <c r="A82" s="3">
        <v>45048</v>
      </c>
      <c r="B82" t="s">
        <v>142</v>
      </c>
      <c r="C82" t="s">
        <v>105</v>
      </c>
      <c r="D82" t="s">
        <v>20</v>
      </c>
      <c r="E82" t="s">
        <v>67</v>
      </c>
      <c r="F82" t="s">
        <v>30</v>
      </c>
      <c r="G82" t="s">
        <v>31</v>
      </c>
      <c r="H82" t="s">
        <v>31</v>
      </c>
      <c r="I82">
        <v>0.09</v>
      </c>
      <c r="J82">
        <f t="shared" si="3"/>
        <v>67.5</v>
      </c>
      <c r="K82">
        <v>4</v>
      </c>
      <c r="L82">
        <f t="shared" si="4"/>
        <v>63.5</v>
      </c>
      <c r="M82" s="4">
        <f t="shared" si="5"/>
        <v>8.4666666666666668E-2</v>
      </c>
      <c r="N82">
        <v>750</v>
      </c>
      <c r="O82">
        <v>750</v>
      </c>
      <c r="P82" t="s">
        <v>25</v>
      </c>
      <c r="Q82" t="s">
        <v>26</v>
      </c>
      <c r="R82" t="str">
        <f>IF(COUNTIF(Sheet2!B:B, A82) &gt; 0, "Yes", "No")</f>
        <v>No</v>
      </c>
    </row>
    <row r="83" spans="1:18" x14ac:dyDescent="0.25">
      <c r="A83" s="3">
        <v>45048</v>
      </c>
      <c r="B83" t="s">
        <v>142</v>
      </c>
      <c r="C83" t="s">
        <v>105</v>
      </c>
      <c r="D83" t="s">
        <v>20</v>
      </c>
      <c r="E83" t="s">
        <v>67</v>
      </c>
      <c r="F83" t="s">
        <v>37</v>
      </c>
      <c r="G83" t="s">
        <v>59</v>
      </c>
      <c r="H83" t="s">
        <v>60</v>
      </c>
      <c r="I83">
        <v>3.5000000000000003E-2</v>
      </c>
      <c r="J83">
        <f t="shared" si="3"/>
        <v>26.250000000000004</v>
      </c>
      <c r="K83">
        <v>4</v>
      </c>
      <c r="L83">
        <f t="shared" si="4"/>
        <v>22.250000000000004</v>
      </c>
      <c r="M83" s="4">
        <f t="shared" si="5"/>
        <v>2.9666666666666671E-2</v>
      </c>
      <c r="N83">
        <v>750</v>
      </c>
      <c r="O83">
        <v>750</v>
      </c>
      <c r="P83" t="s">
        <v>25</v>
      </c>
      <c r="Q83" t="s">
        <v>26</v>
      </c>
      <c r="R83" t="str">
        <f>IF(COUNTIF(Sheet2!B:B, A83) &gt; 0, "Yes", "No")</f>
        <v>No</v>
      </c>
    </row>
    <row r="84" spans="1:18" x14ac:dyDescent="0.25">
      <c r="A84" s="3">
        <v>45048</v>
      </c>
      <c r="B84" t="s">
        <v>142</v>
      </c>
      <c r="C84" t="s">
        <v>105</v>
      </c>
      <c r="D84" t="s">
        <v>20</v>
      </c>
      <c r="E84" t="s">
        <v>67</v>
      </c>
      <c r="F84" t="s">
        <v>40</v>
      </c>
      <c r="G84" t="s">
        <v>127</v>
      </c>
      <c r="H84" t="s">
        <v>127</v>
      </c>
      <c r="I84">
        <v>0.05</v>
      </c>
      <c r="J84">
        <f t="shared" si="3"/>
        <v>37.5</v>
      </c>
      <c r="K84">
        <v>4</v>
      </c>
      <c r="L84">
        <f t="shared" si="4"/>
        <v>33.5</v>
      </c>
      <c r="M84" s="4">
        <f t="shared" si="5"/>
        <v>4.4666666666666667E-2</v>
      </c>
      <c r="N84">
        <v>750</v>
      </c>
      <c r="O84">
        <v>750</v>
      </c>
      <c r="P84" t="s">
        <v>25</v>
      </c>
      <c r="Q84" t="s">
        <v>26</v>
      </c>
      <c r="R84" t="str">
        <f>IF(COUNTIF(Sheet2!B:B, A84) &gt; 0, "Yes", "No")</f>
        <v>No</v>
      </c>
    </row>
    <row r="85" spans="1:18" x14ac:dyDescent="0.25">
      <c r="A85" s="3">
        <v>45048</v>
      </c>
      <c r="B85" t="s">
        <v>142</v>
      </c>
      <c r="C85" t="s">
        <v>105</v>
      </c>
      <c r="D85" t="s">
        <v>20</v>
      </c>
      <c r="E85" t="s">
        <v>67</v>
      </c>
      <c r="F85" t="s">
        <v>43</v>
      </c>
      <c r="G85" t="s">
        <v>90</v>
      </c>
      <c r="H85" t="s">
        <v>146</v>
      </c>
      <c r="I85">
        <v>0.11</v>
      </c>
      <c r="J85">
        <f t="shared" si="3"/>
        <v>82.5</v>
      </c>
      <c r="K85">
        <v>11</v>
      </c>
      <c r="L85">
        <f t="shared" si="4"/>
        <v>71.5</v>
      </c>
      <c r="M85" s="4">
        <f t="shared" si="5"/>
        <v>9.5333333333333339E-2</v>
      </c>
      <c r="N85">
        <v>750</v>
      </c>
      <c r="O85">
        <v>750</v>
      </c>
      <c r="P85" t="s">
        <v>25</v>
      </c>
      <c r="Q85" t="s">
        <v>26</v>
      </c>
      <c r="R85" t="str">
        <f>IF(COUNTIF(Sheet2!B:B, A85) &gt; 0, "Yes", "No")</f>
        <v>No</v>
      </c>
    </row>
    <row r="86" spans="1:18" x14ac:dyDescent="0.25">
      <c r="A86" s="3">
        <v>45048</v>
      </c>
      <c r="B86" t="s">
        <v>142</v>
      </c>
      <c r="C86" t="s">
        <v>105</v>
      </c>
      <c r="D86" t="s">
        <v>20</v>
      </c>
      <c r="E86" t="s">
        <v>67</v>
      </c>
      <c r="F86" t="s">
        <v>46</v>
      </c>
      <c r="G86" t="s">
        <v>130</v>
      </c>
      <c r="H86" t="s">
        <v>147</v>
      </c>
      <c r="I86">
        <v>8.5000000000000006E-2</v>
      </c>
      <c r="J86">
        <f t="shared" si="3"/>
        <v>63.750000000000007</v>
      </c>
      <c r="K86">
        <v>2</v>
      </c>
      <c r="L86">
        <f t="shared" si="4"/>
        <v>61.750000000000007</v>
      </c>
      <c r="M86" s="4">
        <f t="shared" si="5"/>
        <v>8.2333333333333342E-2</v>
      </c>
      <c r="N86">
        <v>750</v>
      </c>
      <c r="O86">
        <v>750</v>
      </c>
      <c r="P86" t="s">
        <v>25</v>
      </c>
      <c r="Q86" t="s">
        <v>26</v>
      </c>
      <c r="R86" t="str">
        <f>IF(COUNTIF(Sheet2!B:B, A86) &gt; 0, "Yes", "No")</f>
        <v>No</v>
      </c>
    </row>
    <row r="87" spans="1:18" x14ac:dyDescent="0.25">
      <c r="A87" s="3">
        <v>45048</v>
      </c>
      <c r="B87" t="s">
        <v>142</v>
      </c>
      <c r="C87" t="s">
        <v>105</v>
      </c>
      <c r="D87" t="s">
        <v>20</v>
      </c>
      <c r="E87" t="s">
        <v>67</v>
      </c>
      <c r="F87" t="s">
        <v>49</v>
      </c>
      <c r="G87" t="s">
        <v>50</v>
      </c>
      <c r="H87" t="s">
        <v>49</v>
      </c>
      <c r="I87">
        <v>0.09</v>
      </c>
      <c r="J87">
        <f t="shared" si="3"/>
        <v>67.5</v>
      </c>
      <c r="K87">
        <v>0</v>
      </c>
      <c r="L87">
        <f t="shared" si="4"/>
        <v>67.5</v>
      </c>
      <c r="M87" s="4">
        <f t="shared" si="5"/>
        <v>0.09</v>
      </c>
      <c r="N87">
        <v>750</v>
      </c>
      <c r="O87">
        <v>750</v>
      </c>
      <c r="P87" t="s">
        <v>25</v>
      </c>
      <c r="Q87" t="s">
        <v>26</v>
      </c>
      <c r="R87" t="str">
        <f>IF(COUNTIF(Sheet2!B:B, A87) &gt; 0, "Yes", "No")</f>
        <v>No</v>
      </c>
    </row>
    <row r="88" spans="1:18" x14ac:dyDescent="0.25">
      <c r="A88" s="3">
        <v>45049</v>
      </c>
      <c r="B88" t="s">
        <v>142</v>
      </c>
      <c r="C88" t="s">
        <v>51</v>
      </c>
      <c r="D88" t="s">
        <v>20</v>
      </c>
      <c r="E88" t="s">
        <v>21</v>
      </c>
      <c r="F88" t="s">
        <v>22</v>
      </c>
      <c r="G88" t="s">
        <v>52</v>
      </c>
      <c r="H88" t="s">
        <v>148</v>
      </c>
      <c r="I88">
        <v>8.5000000000000006E-2</v>
      </c>
      <c r="J88">
        <f t="shared" si="3"/>
        <v>68</v>
      </c>
      <c r="K88">
        <v>0</v>
      </c>
      <c r="L88">
        <f t="shared" si="4"/>
        <v>68</v>
      </c>
      <c r="M88" s="4">
        <f t="shared" si="5"/>
        <v>8.5000000000000006E-2</v>
      </c>
      <c r="N88">
        <v>800</v>
      </c>
      <c r="O88">
        <v>800</v>
      </c>
      <c r="P88" t="s">
        <v>25</v>
      </c>
      <c r="Q88" t="s">
        <v>26</v>
      </c>
      <c r="R88" t="str">
        <f>IF(COUNTIF(Sheet2!B:B, A88) &gt; 0, "Yes", "No")</f>
        <v>No</v>
      </c>
    </row>
    <row r="89" spans="1:18" x14ac:dyDescent="0.25">
      <c r="A89" s="3">
        <v>45049</v>
      </c>
      <c r="B89" t="s">
        <v>142</v>
      </c>
      <c r="C89" t="s">
        <v>51</v>
      </c>
      <c r="D89" t="s">
        <v>20</v>
      </c>
      <c r="E89" t="s">
        <v>21</v>
      </c>
      <c r="F89" t="s">
        <v>27</v>
      </c>
      <c r="G89" t="s">
        <v>780</v>
      </c>
      <c r="H89" t="s">
        <v>149</v>
      </c>
      <c r="I89">
        <v>0.11</v>
      </c>
      <c r="J89">
        <f t="shared" si="3"/>
        <v>88</v>
      </c>
      <c r="K89">
        <v>6</v>
      </c>
      <c r="L89">
        <f t="shared" si="4"/>
        <v>82</v>
      </c>
      <c r="M89" s="4">
        <f t="shared" si="5"/>
        <v>0.10249999999999999</v>
      </c>
      <c r="N89">
        <v>800</v>
      </c>
      <c r="O89">
        <v>800</v>
      </c>
      <c r="P89" t="s">
        <v>25</v>
      </c>
      <c r="Q89" t="s">
        <v>26</v>
      </c>
      <c r="R89" t="str">
        <f>IF(COUNTIF(Sheet2!B:B, A89) &gt; 0, "Yes", "No")</f>
        <v>No</v>
      </c>
    </row>
    <row r="90" spans="1:18" x14ac:dyDescent="0.25">
      <c r="A90" s="3">
        <v>45049</v>
      </c>
      <c r="B90" t="s">
        <v>142</v>
      </c>
      <c r="C90" t="s">
        <v>51</v>
      </c>
      <c r="D90" t="s">
        <v>20</v>
      </c>
      <c r="E90" t="s">
        <v>21</v>
      </c>
      <c r="F90" t="s">
        <v>30</v>
      </c>
      <c r="G90" t="s">
        <v>55</v>
      </c>
      <c r="H90" t="s">
        <v>125</v>
      </c>
      <c r="I90">
        <v>0.09</v>
      </c>
      <c r="J90">
        <f t="shared" si="3"/>
        <v>72</v>
      </c>
      <c r="K90">
        <v>1</v>
      </c>
      <c r="L90">
        <f t="shared" si="4"/>
        <v>71</v>
      </c>
      <c r="M90" s="4">
        <f t="shared" si="5"/>
        <v>8.8749999999999996E-2</v>
      </c>
      <c r="N90">
        <v>800</v>
      </c>
      <c r="O90">
        <v>800</v>
      </c>
      <c r="P90" t="s">
        <v>25</v>
      </c>
      <c r="Q90" t="s">
        <v>26</v>
      </c>
      <c r="R90" t="str">
        <f>IF(COUNTIF(Sheet2!B:B, A90) &gt; 0, "Yes", "No")</f>
        <v>No</v>
      </c>
    </row>
    <row r="91" spans="1:18" x14ac:dyDescent="0.25">
      <c r="A91" s="3">
        <v>45049</v>
      </c>
      <c r="B91" t="s">
        <v>142</v>
      </c>
      <c r="C91" t="s">
        <v>51</v>
      </c>
      <c r="D91" t="s">
        <v>33</v>
      </c>
      <c r="E91" t="s">
        <v>21</v>
      </c>
      <c r="F91" t="s">
        <v>34</v>
      </c>
      <c r="G91" t="s">
        <v>57</v>
      </c>
      <c r="H91" t="s">
        <v>150</v>
      </c>
      <c r="I91">
        <v>0.15</v>
      </c>
      <c r="J91">
        <f t="shared" si="3"/>
        <v>60</v>
      </c>
      <c r="K91">
        <v>0</v>
      </c>
      <c r="L91">
        <f t="shared" si="4"/>
        <v>60</v>
      </c>
      <c r="M91" s="4">
        <f t="shared" si="5"/>
        <v>0.15</v>
      </c>
      <c r="N91">
        <v>400</v>
      </c>
      <c r="O91">
        <v>400</v>
      </c>
      <c r="P91" t="s">
        <v>25</v>
      </c>
      <c r="Q91" t="s">
        <v>26</v>
      </c>
      <c r="R91" t="str">
        <f>IF(COUNTIF(Sheet2!B:B, A91) &gt; 0, "Yes", "No")</f>
        <v>No</v>
      </c>
    </row>
    <row r="92" spans="1:18" x14ac:dyDescent="0.25">
      <c r="A92" s="3">
        <v>45049</v>
      </c>
      <c r="B92" t="s">
        <v>142</v>
      </c>
      <c r="C92" t="s">
        <v>51</v>
      </c>
      <c r="D92" t="s">
        <v>20</v>
      </c>
      <c r="E92" t="s">
        <v>21</v>
      </c>
      <c r="F92" t="s">
        <v>37</v>
      </c>
      <c r="G92" t="s">
        <v>71</v>
      </c>
      <c r="H92" t="s">
        <v>151</v>
      </c>
      <c r="I92">
        <v>0.03</v>
      </c>
      <c r="J92">
        <f t="shared" si="3"/>
        <v>24</v>
      </c>
      <c r="K92">
        <v>3</v>
      </c>
      <c r="L92">
        <f t="shared" si="4"/>
        <v>21</v>
      </c>
      <c r="M92" s="4">
        <f t="shared" si="5"/>
        <v>2.6249999999999999E-2</v>
      </c>
      <c r="N92">
        <v>800</v>
      </c>
      <c r="O92">
        <v>800</v>
      </c>
      <c r="P92" t="s">
        <v>25</v>
      </c>
      <c r="Q92" t="s">
        <v>26</v>
      </c>
      <c r="R92" t="str">
        <f>IF(COUNTIF(Sheet2!B:B, A92) &gt; 0, "Yes", "No")</f>
        <v>No</v>
      </c>
    </row>
    <row r="93" spans="1:18" x14ac:dyDescent="0.25">
      <c r="A93" s="3">
        <v>45049</v>
      </c>
      <c r="B93" t="s">
        <v>142</v>
      </c>
      <c r="C93" t="s">
        <v>51</v>
      </c>
      <c r="D93" t="s">
        <v>20</v>
      </c>
      <c r="E93" t="s">
        <v>21</v>
      </c>
      <c r="F93" t="s">
        <v>40</v>
      </c>
      <c r="G93" t="s">
        <v>137</v>
      </c>
      <c r="H93" t="s">
        <v>152</v>
      </c>
      <c r="I93">
        <v>4.4999999999999998E-2</v>
      </c>
      <c r="J93">
        <f t="shared" si="3"/>
        <v>36</v>
      </c>
      <c r="K93">
        <v>4</v>
      </c>
      <c r="L93">
        <f t="shared" si="4"/>
        <v>32</v>
      </c>
      <c r="M93" s="4">
        <f t="shared" si="5"/>
        <v>0.04</v>
      </c>
      <c r="N93">
        <v>800</v>
      </c>
      <c r="O93">
        <v>800</v>
      </c>
      <c r="P93" t="s">
        <v>25</v>
      </c>
      <c r="Q93" t="s">
        <v>26</v>
      </c>
      <c r="R93" t="str">
        <f>IF(COUNTIF(Sheet2!B:B, A93) &gt; 0, "Yes", "No")</f>
        <v>No</v>
      </c>
    </row>
    <row r="94" spans="1:18" x14ac:dyDescent="0.25">
      <c r="A94" s="3">
        <v>45049</v>
      </c>
      <c r="B94" t="s">
        <v>142</v>
      </c>
      <c r="C94" t="s">
        <v>51</v>
      </c>
      <c r="D94" t="s">
        <v>20</v>
      </c>
      <c r="E94" t="s">
        <v>21</v>
      </c>
      <c r="F94" t="s">
        <v>43</v>
      </c>
      <c r="G94" t="s">
        <v>44</v>
      </c>
      <c r="H94" t="s">
        <v>153</v>
      </c>
      <c r="I94">
        <v>0.11</v>
      </c>
      <c r="J94">
        <f t="shared" si="3"/>
        <v>88</v>
      </c>
      <c r="K94">
        <v>0</v>
      </c>
      <c r="L94">
        <f t="shared" si="4"/>
        <v>88</v>
      </c>
      <c r="M94" s="4">
        <f t="shared" si="5"/>
        <v>0.11</v>
      </c>
      <c r="N94">
        <v>800</v>
      </c>
      <c r="O94">
        <v>800</v>
      </c>
      <c r="P94" t="s">
        <v>25</v>
      </c>
      <c r="Q94" t="s">
        <v>26</v>
      </c>
      <c r="R94" t="str">
        <f>IF(COUNTIF(Sheet2!B:B, A94) &gt; 0, "Yes", "No")</f>
        <v>No</v>
      </c>
    </row>
    <row r="95" spans="1:18" x14ac:dyDescent="0.25">
      <c r="A95" s="3">
        <v>45049</v>
      </c>
      <c r="B95" t="s">
        <v>142</v>
      </c>
      <c r="C95" t="s">
        <v>51</v>
      </c>
      <c r="D95" t="s">
        <v>20</v>
      </c>
      <c r="E95" t="s">
        <v>21</v>
      </c>
      <c r="F95" t="s">
        <v>46</v>
      </c>
      <c r="G95" t="s">
        <v>47</v>
      </c>
      <c r="H95" t="s">
        <v>154</v>
      </c>
      <c r="I95">
        <v>8.5000000000000006E-2</v>
      </c>
      <c r="J95">
        <f t="shared" si="3"/>
        <v>68</v>
      </c>
      <c r="K95">
        <v>9</v>
      </c>
      <c r="L95">
        <f t="shared" si="4"/>
        <v>59</v>
      </c>
      <c r="M95" s="4">
        <f t="shared" si="5"/>
        <v>7.3749999999999996E-2</v>
      </c>
      <c r="N95">
        <v>800</v>
      </c>
      <c r="O95">
        <v>800</v>
      </c>
      <c r="P95" t="s">
        <v>25</v>
      </c>
      <c r="Q95" t="s">
        <v>26</v>
      </c>
      <c r="R95" t="str">
        <f>IF(COUNTIF(Sheet2!B:B, A95) &gt; 0, "Yes", "No")</f>
        <v>No</v>
      </c>
    </row>
    <row r="96" spans="1:18" x14ac:dyDescent="0.25">
      <c r="A96" s="3">
        <v>45049</v>
      </c>
      <c r="B96" t="s">
        <v>142</v>
      </c>
      <c r="C96" t="s">
        <v>51</v>
      </c>
      <c r="D96" t="s">
        <v>20</v>
      </c>
      <c r="E96" t="s">
        <v>21</v>
      </c>
      <c r="F96" t="s">
        <v>49</v>
      </c>
      <c r="G96" t="s">
        <v>50</v>
      </c>
      <c r="H96" t="s">
        <v>49</v>
      </c>
      <c r="I96">
        <v>0.09</v>
      </c>
      <c r="J96">
        <f t="shared" si="3"/>
        <v>72</v>
      </c>
      <c r="K96">
        <v>0</v>
      </c>
      <c r="L96">
        <f t="shared" si="4"/>
        <v>72</v>
      </c>
      <c r="M96" s="4">
        <f t="shared" si="5"/>
        <v>0.09</v>
      </c>
      <c r="N96">
        <v>800</v>
      </c>
      <c r="O96">
        <v>800</v>
      </c>
      <c r="P96" t="s">
        <v>25</v>
      </c>
      <c r="Q96" t="s">
        <v>26</v>
      </c>
      <c r="R96" t="str">
        <f>IF(COUNTIF(Sheet2!B:B, A96) &gt; 0, "Yes", "No")</f>
        <v>No</v>
      </c>
    </row>
    <row r="97" spans="1:18" x14ac:dyDescent="0.25">
      <c r="A97" s="3">
        <v>45050</v>
      </c>
      <c r="B97" t="s">
        <v>142</v>
      </c>
      <c r="C97" t="s">
        <v>66</v>
      </c>
      <c r="D97" t="s">
        <v>20</v>
      </c>
      <c r="E97" t="s">
        <v>67</v>
      </c>
      <c r="F97" t="s">
        <v>22</v>
      </c>
      <c r="G97" t="s">
        <v>122</v>
      </c>
      <c r="H97" t="s">
        <v>155</v>
      </c>
      <c r="I97">
        <v>8.5000000000000006E-2</v>
      </c>
      <c r="J97">
        <f t="shared" si="3"/>
        <v>63.750000000000007</v>
      </c>
      <c r="K97">
        <v>0</v>
      </c>
      <c r="L97">
        <f t="shared" si="4"/>
        <v>63.750000000000007</v>
      </c>
      <c r="M97" s="4">
        <f t="shared" si="5"/>
        <v>8.5000000000000006E-2</v>
      </c>
      <c r="N97">
        <v>750</v>
      </c>
      <c r="O97">
        <v>750</v>
      </c>
      <c r="P97" t="s">
        <v>25</v>
      </c>
      <c r="Q97" t="s">
        <v>26</v>
      </c>
      <c r="R97" t="str">
        <f>IF(COUNTIF(Sheet2!B:B, A97) &gt; 0, "Yes", "No")</f>
        <v>No</v>
      </c>
    </row>
    <row r="98" spans="1:18" x14ac:dyDescent="0.25">
      <c r="A98" s="3">
        <v>45050</v>
      </c>
      <c r="B98" t="s">
        <v>142</v>
      </c>
      <c r="C98" t="s">
        <v>66</v>
      </c>
      <c r="D98" t="s">
        <v>20</v>
      </c>
      <c r="E98" t="s">
        <v>67</v>
      </c>
      <c r="F98" t="s">
        <v>27</v>
      </c>
      <c r="G98" t="s">
        <v>28</v>
      </c>
      <c r="H98" t="s">
        <v>156</v>
      </c>
      <c r="I98">
        <v>0.11</v>
      </c>
      <c r="J98">
        <f t="shared" si="3"/>
        <v>82.5</v>
      </c>
      <c r="K98">
        <v>8</v>
      </c>
      <c r="L98">
        <f t="shared" si="4"/>
        <v>74.5</v>
      </c>
      <c r="M98" s="4">
        <f t="shared" si="5"/>
        <v>9.9333333333333329E-2</v>
      </c>
      <c r="N98">
        <v>750</v>
      </c>
      <c r="O98">
        <v>750</v>
      </c>
      <c r="P98" t="s">
        <v>25</v>
      </c>
      <c r="Q98" t="s">
        <v>26</v>
      </c>
      <c r="R98" t="str">
        <f>IF(COUNTIF(Sheet2!B:B, A98) &gt; 0, "Yes", "No")</f>
        <v>No</v>
      </c>
    </row>
    <row r="99" spans="1:18" x14ac:dyDescent="0.25">
      <c r="A99" s="3">
        <v>45050</v>
      </c>
      <c r="B99" t="s">
        <v>142</v>
      </c>
      <c r="C99" t="s">
        <v>66</v>
      </c>
      <c r="D99" t="s">
        <v>20</v>
      </c>
      <c r="E99" t="s">
        <v>67</v>
      </c>
      <c r="F99" t="s">
        <v>30</v>
      </c>
      <c r="G99" t="s">
        <v>55</v>
      </c>
      <c r="H99" t="s">
        <v>56</v>
      </c>
      <c r="I99">
        <v>0.09</v>
      </c>
      <c r="J99">
        <f t="shared" si="3"/>
        <v>67.5</v>
      </c>
      <c r="K99">
        <v>3</v>
      </c>
      <c r="L99">
        <f t="shared" si="4"/>
        <v>64.5</v>
      </c>
      <c r="M99" s="4">
        <f t="shared" si="5"/>
        <v>8.5999999999999993E-2</v>
      </c>
      <c r="N99">
        <v>750</v>
      </c>
      <c r="O99">
        <v>750</v>
      </c>
      <c r="P99" t="s">
        <v>25</v>
      </c>
      <c r="Q99" t="s">
        <v>26</v>
      </c>
      <c r="R99" t="str">
        <f>IF(COUNTIF(Sheet2!B:B, A99) &gt; 0, "Yes", "No")</f>
        <v>No</v>
      </c>
    </row>
    <row r="100" spans="1:18" x14ac:dyDescent="0.25">
      <c r="A100" s="3">
        <v>45050</v>
      </c>
      <c r="B100" t="s">
        <v>142</v>
      </c>
      <c r="C100" t="s">
        <v>66</v>
      </c>
      <c r="D100" t="s">
        <v>20</v>
      </c>
      <c r="E100" t="s">
        <v>67</v>
      </c>
      <c r="F100" t="s">
        <v>37</v>
      </c>
      <c r="G100" t="s">
        <v>108</v>
      </c>
      <c r="H100" t="s">
        <v>109</v>
      </c>
      <c r="I100">
        <v>3.5000000000000003E-2</v>
      </c>
      <c r="J100">
        <f t="shared" si="3"/>
        <v>26.250000000000004</v>
      </c>
      <c r="K100">
        <v>2</v>
      </c>
      <c r="L100">
        <f t="shared" si="4"/>
        <v>24.250000000000004</v>
      </c>
      <c r="M100" s="4">
        <f t="shared" si="5"/>
        <v>3.2333333333333339E-2</v>
      </c>
      <c r="N100">
        <v>750</v>
      </c>
      <c r="O100">
        <v>750</v>
      </c>
      <c r="P100" t="s">
        <v>25</v>
      </c>
      <c r="Q100" t="s">
        <v>26</v>
      </c>
      <c r="R100" t="str">
        <f>IF(COUNTIF(Sheet2!B:B, A100) &gt; 0, "Yes", "No")</f>
        <v>No</v>
      </c>
    </row>
    <row r="101" spans="1:18" x14ac:dyDescent="0.25">
      <c r="A101" s="3">
        <v>45050</v>
      </c>
      <c r="B101" t="s">
        <v>142</v>
      </c>
      <c r="C101" t="s">
        <v>66</v>
      </c>
      <c r="D101" t="s">
        <v>20</v>
      </c>
      <c r="E101" t="s">
        <v>67</v>
      </c>
      <c r="F101" t="s">
        <v>40</v>
      </c>
      <c r="G101" t="s">
        <v>157</v>
      </c>
      <c r="H101" t="s">
        <v>158</v>
      </c>
      <c r="I101">
        <v>0.05</v>
      </c>
      <c r="J101">
        <f t="shared" si="3"/>
        <v>37.5</v>
      </c>
      <c r="K101">
        <v>0</v>
      </c>
      <c r="L101">
        <f t="shared" si="4"/>
        <v>37.5</v>
      </c>
      <c r="M101" s="4">
        <f t="shared" si="5"/>
        <v>0.05</v>
      </c>
      <c r="N101">
        <v>750</v>
      </c>
      <c r="O101">
        <v>750</v>
      </c>
      <c r="P101" t="s">
        <v>25</v>
      </c>
      <c r="Q101" t="s">
        <v>26</v>
      </c>
      <c r="R101" t="str">
        <f>IF(COUNTIF(Sheet2!B:B, A101) &gt; 0, "Yes", "No")</f>
        <v>No</v>
      </c>
    </row>
    <row r="102" spans="1:18" x14ac:dyDescent="0.25">
      <c r="A102" s="3">
        <v>45050</v>
      </c>
      <c r="B102" t="s">
        <v>142</v>
      </c>
      <c r="C102" t="s">
        <v>66</v>
      </c>
      <c r="D102" t="s">
        <v>20</v>
      </c>
      <c r="E102" t="s">
        <v>67</v>
      </c>
      <c r="F102" t="s">
        <v>43</v>
      </c>
      <c r="G102" t="s">
        <v>159</v>
      </c>
      <c r="H102" t="s">
        <v>160</v>
      </c>
      <c r="I102">
        <v>0.11</v>
      </c>
      <c r="J102">
        <f t="shared" si="3"/>
        <v>82.5</v>
      </c>
      <c r="K102">
        <v>0</v>
      </c>
      <c r="L102">
        <f t="shared" si="4"/>
        <v>82.5</v>
      </c>
      <c r="M102" s="4">
        <f t="shared" si="5"/>
        <v>0.11</v>
      </c>
      <c r="N102">
        <v>750</v>
      </c>
      <c r="O102">
        <v>750</v>
      </c>
      <c r="P102" t="s">
        <v>25</v>
      </c>
      <c r="Q102" t="s">
        <v>26</v>
      </c>
      <c r="R102" t="str">
        <f>IF(COUNTIF(Sheet2!B:B, A102) &gt; 0, "Yes", "No")</f>
        <v>No</v>
      </c>
    </row>
    <row r="103" spans="1:18" x14ac:dyDescent="0.25">
      <c r="A103" s="3">
        <v>45050</v>
      </c>
      <c r="B103" t="s">
        <v>142</v>
      </c>
      <c r="C103" t="s">
        <v>66</v>
      </c>
      <c r="D103" t="s">
        <v>20</v>
      </c>
      <c r="E103" t="s">
        <v>67</v>
      </c>
      <c r="F103" t="s">
        <v>46</v>
      </c>
      <c r="G103" t="s">
        <v>47</v>
      </c>
      <c r="H103" t="s">
        <v>161</v>
      </c>
      <c r="I103">
        <v>8.5000000000000006E-2</v>
      </c>
      <c r="J103">
        <f t="shared" si="3"/>
        <v>63.750000000000007</v>
      </c>
      <c r="K103">
        <v>9</v>
      </c>
      <c r="L103">
        <f t="shared" si="4"/>
        <v>54.750000000000007</v>
      </c>
      <c r="M103" s="4">
        <f t="shared" si="5"/>
        <v>7.3000000000000009E-2</v>
      </c>
      <c r="N103">
        <v>750</v>
      </c>
      <c r="O103">
        <v>750</v>
      </c>
      <c r="P103" t="s">
        <v>25</v>
      </c>
      <c r="Q103" t="s">
        <v>26</v>
      </c>
      <c r="R103" t="str">
        <f>IF(COUNTIF(Sheet2!B:B, A103) &gt; 0, "Yes", "No")</f>
        <v>No</v>
      </c>
    </row>
    <row r="104" spans="1:18" x14ac:dyDescent="0.25">
      <c r="A104" s="3">
        <v>45050</v>
      </c>
      <c r="B104" t="s">
        <v>142</v>
      </c>
      <c r="C104" t="s">
        <v>66</v>
      </c>
      <c r="D104" t="s">
        <v>20</v>
      </c>
      <c r="E104" t="s">
        <v>67</v>
      </c>
      <c r="F104" t="s">
        <v>49</v>
      </c>
      <c r="G104" t="s">
        <v>50</v>
      </c>
      <c r="H104" t="s">
        <v>49</v>
      </c>
      <c r="I104">
        <v>0.09</v>
      </c>
      <c r="J104">
        <f t="shared" si="3"/>
        <v>67.5</v>
      </c>
      <c r="K104">
        <v>0</v>
      </c>
      <c r="L104">
        <f t="shared" si="4"/>
        <v>67.5</v>
      </c>
      <c r="M104" s="4">
        <f t="shared" si="5"/>
        <v>0.09</v>
      </c>
      <c r="N104">
        <v>750</v>
      </c>
      <c r="O104">
        <v>750</v>
      </c>
      <c r="P104" t="s">
        <v>25</v>
      </c>
      <c r="Q104" t="s">
        <v>26</v>
      </c>
      <c r="R104" t="str">
        <f>IF(COUNTIF(Sheet2!B:B, A104) &gt; 0, "Yes", "No")</f>
        <v>No</v>
      </c>
    </row>
    <row r="105" spans="1:18" x14ac:dyDescent="0.25">
      <c r="A105" s="3">
        <v>45051</v>
      </c>
      <c r="B105" t="s">
        <v>142</v>
      </c>
      <c r="C105" t="s">
        <v>79</v>
      </c>
      <c r="D105" t="s">
        <v>20</v>
      </c>
      <c r="E105" t="s">
        <v>21</v>
      </c>
      <c r="F105" t="s">
        <v>22</v>
      </c>
      <c r="G105" t="s">
        <v>122</v>
      </c>
      <c r="H105" t="s">
        <v>162</v>
      </c>
      <c r="I105" s="5">
        <v>0.06</v>
      </c>
      <c r="J105">
        <f t="shared" si="3"/>
        <v>42</v>
      </c>
      <c r="K105">
        <v>0</v>
      </c>
      <c r="L105">
        <f t="shared" si="4"/>
        <v>42</v>
      </c>
      <c r="M105" s="4">
        <f t="shared" si="5"/>
        <v>0.06</v>
      </c>
      <c r="N105">
        <v>700</v>
      </c>
      <c r="O105">
        <v>700</v>
      </c>
      <c r="P105" t="s">
        <v>25</v>
      </c>
      <c r="Q105" t="s">
        <v>26</v>
      </c>
      <c r="R105" t="str">
        <f>IF(COUNTIF(Sheet2!B:B, A105) &gt; 0, "Yes", "No")</f>
        <v>Yes</v>
      </c>
    </row>
    <row r="106" spans="1:18" x14ac:dyDescent="0.25">
      <c r="A106" s="3">
        <v>45051</v>
      </c>
      <c r="B106" t="s">
        <v>142</v>
      </c>
      <c r="C106" t="s">
        <v>79</v>
      </c>
      <c r="D106" t="s">
        <v>20</v>
      </c>
      <c r="E106" t="s">
        <v>21</v>
      </c>
      <c r="F106" t="s">
        <v>27</v>
      </c>
      <c r="G106" t="s">
        <v>81</v>
      </c>
      <c r="H106" t="s">
        <v>133</v>
      </c>
      <c r="I106" s="5">
        <v>0.1</v>
      </c>
      <c r="J106">
        <f t="shared" si="3"/>
        <v>70</v>
      </c>
      <c r="K106">
        <v>8</v>
      </c>
      <c r="L106">
        <f t="shared" si="4"/>
        <v>62</v>
      </c>
      <c r="M106" s="4">
        <f t="shared" si="5"/>
        <v>8.8571428571428565E-2</v>
      </c>
      <c r="N106">
        <v>700</v>
      </c>
      <c r="O106">
        <v>700</v>
      </c>
      <c r="P106" t="s">
        <v>25</v>
      </c>
      <c r="Q106" t="s">
        <v>26</v>
      </c>
      <c r="R106" t="str">
        <f>IF(COUNTIF(Sheet2!B:B, A106) &gt; 0, "Yes", "No")</f>
        <v>Yes</v>
      </c>
    </row>
    <row r="107" spans="1:18" x14ac:dyDescent="0.25">
      <c r="A107" s="3">
        <v>45051</v>
      </c>
      <c r="B107" t="s">
        <v>142</v>
      </c>
      <c r="C107" t="s">
        <v>79</v>
      </c>
      <c r="D107" t="s">
        <v>20</v>
      </c>
      <c r="E107" t="s">
        <v>21</v>
      </c>
      <c r="F107" t="s">
        <v>30</v>
      </c>
      <c r="G107" t="s">
        <v>55</v>
      </c>
      <c r="H107" t="s">
        <v>83</v>
      </c>
      <c r="I107" s="5">
        <v>0.06</v>
      </c>
      <c r="J107">
        <f t="shared" si="3"/>
        <v>42</v>
      </c>
      <c r="K107">
        <v>3</v>
      </c>
      <c r="L107">
        <f t="shared" si="4"/>
        <v>39</v>
      </c>
      <c r="M107" s="4">
        <f t="shared" si="5"/>
        <v>5.5714285714285716E-2</v>
      </c>
      <c r="N107">
        <v>700</v>
      </c>
      <c r="O107">
        <v>700</v>
      </c>
      <c r="P107" t="s">
        <v>25</v>
      </c>
      <c r="Q107" t="s">
        <v>26</v>
      </c>
      <c r="R107" t="str">
        <f>IF(COUNTIF(Sheet2!B:B, A107) &gt; 0, "Yes", "No")</f>
        <v>Yes</v>
      </c>
    </row>
    <row r="108" spans="1:18" x14ac:dyDescent="0.25">
      <c r="A108" s="3">
        <v>45051</v>
      </c>
      <c r="B108" t="s">
        <v>142</v>
      </c>
      <c r="C108" t="s">
        <v>79</v>
      </c>
      <c r="D108" t="s">
        <v>33</v>
      </c>
      <c r="E108" t="s">
        <v>21</v>
      </c>
      <c r="F108" t="s">
        <v>84</v>
      </c>
      <c r="G108" t="s">
        <v>85</v>
      </c>
      <c r="H108" t="s">
        <v>163</v>
      </c>
      <c r="I108" s="5">
        <v>0.3</v>
      </c>
      <c r="J108">
        <f t="shared" si="3"/>
        <v>105</v>
      </c>
      <c r="K108">
        <v>0</v>
      </c>
      <c r="L108">
        <f t="shared" si="4"/>
        <v>105</v>
      </c>
      <c r="M108" s="4">
        <f t="shared" si="5"/>
        <v>0.3</v>
      </c>
      <c r="N108">
        <v>350</v>
      </c>
      <c r="O108">
        <v>350</v>
      </c>
      <c r="P108" t="s">
        <v>25</v>
      </c>
      <c r="Q108" t="s">
        <v>26</v>
      </c>
      <c r="R108" t="str">
        <f>IF(COUNTIF(Sheet2!B:B, A108) &gt; 0, "Yes", "No")</f>
        <v>Yes</v>
      </c>
    </row>
    <row r="109" spans="1:18" x14ac:dyDescent="0.25">
      <c r="A109" s="3">
        <v>45051</v>
      </c>
      <c r="B109" t="s">
        <v>142</v>
      </c>
      <c r="C109" t="s">
        <v>79</v>
      </c>
      <c r="D109" t="s">
        <v>20</v>
      </c>
      <c r="E109" t="s">
        <v>21</v>
      </c>
      <c r="F109" t="s">
        <v>37</v>
      </c>
      <c r="G109" t="s">
        <v>87</v>
      </c>
      <c r="H109" t="s">
        <v>99</v>
      </c>
      <c r="I109" s="5">
        <v>2.5000000000000001E-2</v>
      </c>
      <c r="J109">
        <f t="shared" si="3"/>
        <v>17.5</v>
      </c>
      <c r="K109">
        <v>5</v>
      </c>
      <c r="L109">
        <f t="shared" si="4"/>
        <v>12.5</v>
      </c>
      <c r="M109" s="4">
        <f t="shared" si="5"/>
        <v>1.7857142857142856E-2</v>
      </c>
      <c r="N109">
        <v>700</v>
      </c>
      <c r="O109">
        <v>700</v>
      </c>
      <c r="P109" t="s">
        <v>25</v>
      </c>
      <c r="Q109" t="s">
        <v>26</v>
      </c>
      <c r="R109" t="str">
        <f>IF(COUNTIF(Sheet2!B:B, A109) &gt; 0, "Yes", "No")</f>
        <v>Yes</v>
      </c>
    </row>
    <row r="110" spans="1:18" x14ac:dyDescent="0.25">
      <c r="A110" s="3">
        <v>45051</v>
      </c>
      <c r="B110" t="s">
        <v>142</v>
      </c>
      <c r="C110" t="s">
        <v>79</v>
      </c>
      <c r="D110" t="s">
        <v>20</v>
      </c>
      <c r="E110" t="s">
        <v>21</v>
      </c>
      <c r="F110" t="s">
        <v>40</v>
      </c>
      <c r="G110" t="s">
        <v>164</v>
      </c>
      <c r="H110" t="s">
        <v>165</v>
      </c>
      <c r="I110" s="5">
        <v>0.04</v>
      </c>
      <c r="J110">
        <f t="shared" si="3"/>
        <v>28</v>
      </c>
      <c r="K110">
        <v>5</v>
      </c>
      <c r="L110">
        <f t="shared" si="4"/>
        <v>23</v>
      </c>
      <c r="M110" s="4">
        <f t="shared" si="5"/>
        <v>3.2857142857142856E-2</v>
      </c>
      <c r="N110">
        <v>700</v>
      </c>
      <c r="O110">
        <v>700</v>
      </c>
      <c r="P110" t="s">
        <v>25</v>
      </c>
      <c r="Q110" t="s">
        <v>26</v>
      </c>
      <c r="R110" t="str">
        <f>IF(COUNTIF(Sheet2!B:B, A110) &gt; 0, "Yes", "No")</f>
        <v>Yes</v>
      </c>
    </row>
    <row r="111" spans="1:18" x14ac:dyDescent="0.25">
      <c r="A111" s="3">
        <v>45051</v>
      </c>
      <c r="B111" t="s">
        <v>142</v>
      </c>
      <c r="C111" t="s">
        <v>79</v>
      </c>
      <c r="D111" t="s">
        <v>20</v>
      </c>
      <c r="E111" t="s">
        <v>21</v>
      </c>
      <c r="F111" t="s">
        <v>43</v>
      </c>
      <c r="G111" t="s">
        <v>90</v>
      </c>
      <c r="H111" t="s">
        <v>166</v>
      </c>
      <c r="I111" s="5">
        <v>7.4999999999999997E-2</v>
      </c>
      <c r="J111">
        <f t="shared" si="3"/>
        <v>52.5</v>
      </c>
      <c r="K111">
        <v>2</v>
      </c>
      <c r="L111">
        <f t="shared" si="4"/>
        <v>50.5</v>
      </c>
      <c r="M111" s="4">
        <f t="shared" si="5"/>
        <v>7.2142857142857147E-2</v>
      </c>
      <c r="N111">
        <v>700</v>
      </c>
      <c r="O111">
        <v>700</v>
      </c>
      <c r="P111" t="s">
        <v>25</v>
      </c>
      <c r="Q111" t="s">
        <v>26</v>
      </c>
      <c r="R111" t="str">
        <f>IF(COUNTIF(Sheet2!B:B, A111) &gt; 0, "Yes", "No")</f>
        <v>Yes</v>
      </c>
    </row>
    <row r="112" spans="1:18" x14ac:dyDescent="0.25">
      <c r="A112" s="3">
        <v>45051</v>
      </c>
      <c r="B112" t="s">
        <v>142</v>
      </c>
      <c r="C112" t="s">
        <v>79</v>
      </c>
      <c r="D112" t="s">
        <v>20</v>
      </c>
      <c r="E112" t="s">
        <v>21</v>
      </c>
      <c r="F112" t="s">
        <v>46</v>
      </c>
      <c r="G112" t="s">
        <v>167</v>
      </c>
      <c r="H112" t="s">
        <v>167</v>
      </c>
      <c r="I112" s="5">
        <v>0.06</v>
      </c>
      <c r="J112">
        <f t="shared" si="3"/>
        <v>42</v>
      </c>
      <c r="K112">
        <v>4</v>
      </c>
      <c r="L112">
        <f t="shared" si="4"/>
        <v>38</v>
      </c>
      <c r="M112" s="4">
        <f t="shared" si="5"/>
        <v>5.4285714285714284E-2</v>
      </c>
      <c r="N112">
        <v>700</v>
      </c>
      <c r="O112">
        <v>700</v>
      </c>
      <c r="P112" t="s">
        <v>25</v>
      </c>
      <c r="Q112" t="s">
        <v>26</v>
      </c>
      <c r="R112" t="str">
        <f>IF(COUNTIF(Sheet2!B:B, A112) &gt; 0, "Yes", "No")</f>
        <v>Yes</v>
      </c>
    </row>
    <row r="113" spans="1:18" x14ac:dyDescent="0.25">
      <c r="A113" s="3">
        <v>45051</v>
      </c>
      <c r="B113" t="s">
        <v>142</v>
      </c>
      <c r="C113" t="s">
        <v>79</v>
      </c>
      <c r="D113" t="s">
        <v>20</v>
      </c>
      <c r="E113" t="s">
        <v>21</v>
      </c>
      <c r="F113" t="s">
        <v>49</v>
      </c>
      <c r="G113" t="s">
        <v>50</v>
      </c>
      <c r="H113" t="s">
        <v>49</v>
      </c>
      <c r="I113" s="5">
        <v>0.04</v>
      </c>
      <c r="J113">
        <f t="shared" si="3"/>
        <v>28</v>
      </c>
      <c r="K113">
        <v>0</v>
      </c>
      <c r="L113">
        <f t="shared" si="4"/>
        <v>28</v>
      </c>
      <c r="M113" s="4">
        <f t="shared" si="5"/>
        <v>0.04</v>
      </c>
      <c r="N113">
        <v>700</v>
      </c>
      <c r="O113">
        <v>700</v>
      </c>
      <c r="P113" t="s">
        <v>25</v>
      </c>
      <c r="Q113" t="s">
        <v>26</v>
      </c>
      <c r="R113" t="str">
        <f>IF(COUNTIF(Sheet2!B:B, A113) &gt; 0, "Yes", "No")</f>
        <v>Yes</v>
      </c>
    </row>
    <row r="114" spans="1:18" x14ac:dyDescent="0.25">
      <c r="A114" s="3">
        <v>45055</v>
      </c>
      <c r="B114" t="s">
        <v>142</v>
      </c>
      <c r="C114" t="s">
        <v>105</v>
      </c>
      <c r="D114" t="s">
        <v>20</v>
      </c>
      <c r="E114" t="s">
        <v>67</v>
      </c>
      <c r="F114" t="s">
        <v>22</v>
      </c>
      <c r="G114" t="s">
        <v>94</v>
      </c>
      <c r="H114" t="s">
        <v>168</v>
      </c>
      <c r="I114" s="6">
        <v>0.06</v>
      </c>
      <c r="J114">
        <f t="shared" si="3"/>
        <v>48</v>
      </c>
      <c r="K114">
        <v>0</v>
      </c>
      <c r="L114">
        <f t="shared" si="4"/>
        <v>48</v>
      </c>
      <c r="M114" s="4">
        <f t="shared" si="5"/>
        <v>0.06</v>
      </c>
      <c r="N114">
        <v>800</v>
      </c>
      <c r="O114">
        <v>800</v>
      </c>
      <c r="P114" t="s">
        <v>25</v>
      </c>
      <c r="Q114" t="s">
        <v>26</v>
      </c>
      <c r="R114" t="str">
        <f>IF(COUNTIF(Sheet2!B:B, A114) &gt; 0, "Yes", "No")</f>
        <v>No</v>
      </c>
    </row>
    <row r="115" spans="1:18" x14ac:dyDescent="0.25">
      <c r="A115" s="3">
        <v>45055</v>
      </c>
      <c r="B115" t="s">
        <v>142</v>
      </c>
      <c r="C115" t="s">
        <v>105</v>
      </c>
      <c r="D115" t="s">
        <v>20</v>
      </c>
      <c r="E115" t="s">
        <v>67</v>
      </c>
      <c r="F115" t="s">
        <v>27</v>
      </c>
      <c r="G115" t="s">
        <v>28</v>
      </c>
      <c r="H115" t="s">
        <v>54</v>
      </c>
      <c r="I115" s="6">
        <v>0.1</v>
      </c>
      <c r="J115">
        <f t="shared" si="3"/>
        <v>80</v>
      </c>
      <c r="K115">
        <v>0</v>
      </c>
      <c r="L115">
        <f t="shared" si="4"/>
        <v>80</v>
      </c>
      <c r="M115" s="4">
        <f t="shared" si="5"/>
        <v>0.1</v>
      </c>
      <c r="N115">
        <v>800</v>
      </c>
      <c r="O115">
        <v>800</v>
      </c>
      <c r="P115" t="s">
        <v>25</v>
      </c>
      <c r="Q115" t="s">
        <v>26</v>
      </c>
      <c r="R115" t="str">
        <f>IF(COUNTIF(Sheet2!B:B, A115) &gt; 0, "Yes", "No")</f>
        <v>No</v>
      </c>
    </row>
    <row r="116" spans="1:18" x14ac:dyDescent="0.25">
      <c r="A116" s="3">
        <v>45055</v>
      </c>
      <c r="B116" t="s">
        <v>142</v>
      </c>
      <c r="C116" t="s">
        <v>105</v>
      </c>
      <c r="D116" t="s">
        <v>20</v>
      </c>
      <c r="E116" t="s">
        <v>67</v>
      </c>
      <c r="F116" t="s">
        <v>30</v>
      </c>
      <c r="G116" t="s">
        <v>55</v>
      </c>
      <c r="H116" t="s">
        <v>97</v>
      </c>
      <c r="I116" s="6">
        <v>0.06</v>
      </c>
      <c r="J116">
        <f t="shared" si="3"/>
        <v>48</v>
      </c>
      <c r="K116">
        <v>2</v>
      </c>
      <c r="L116">
        <f t="shared" si="4"/>
        <v>46</v>
      </c>
      <c r="M116" s="4">
        <f t="shared" si="5"/>
        <v>5.7500000000000002E-2</v>
      </c>
      <c r="N116">
        <v>800</v>
      </c>
      <c r="O116">
        <v>800</v>
      </c>
      <c r="P116" t="s">
        <v>25</v>
      </c>
      <c r="Q116" t="s">
        <v>26</v>
      </c>
      <c r="R116" t="str">
        <f>IF(COUNTIF(Sheet2!B:B, A116) &gt; 0, "Yes", "No")</f>
        <v>No</v>
      </c>
    </row>
    <row r="117" spans="1:18" x14ac:dyDescent="0.25">
      <c r="A117" s="3">
        <v>45055</v>
      </c>
      <c r="B117" t="s">
        <v>142</v>
      </c>
      <c r="C117" t="s">
        <v>105</v>
      </c>
      <c r="D117" t="s">
        <v>20</v>
      </c>
      <c r="E117" t="s">
        <v>67</v>
      </c>
      <c r="F117" t="s">
        <v>37</v>
      </c>
      <c r="G117" t="s">
        <v>87</v>
      </c>
      <c r="H117" t="s">
        <v>88</v>
      </c>
      <c r="I117">
        <v>3.5000000000000003E-2</v>
      </c>
      <c r="J117">
        <f t="shared" si="3"/>
        <v>28.000000000000004</v>
      </c>
      <c r="K117">
        <v>0</v>
      </c>
      <c r="L117">
        <f t="shared" si="4"/>
        <v>28.000000000000004</v>
      </c>
      <c r="M117" s="4">
        <f t="shared" si="5"/>
        <v>3.5000000000000003E-2</v>
      </c>
      <c r="N117">
        <v>800</v>
      </c>
      <c r="O117">
        <v>800</v>
      </c>
      <c r="P117" t="s">
        <v>25</v>
      </c>
      <c r="Q117" t="s">
        <v>26</v>
      </c>
      <c r="R117" t="str">
        <f>IF(COUNTIF(Sheet2!B:B, A117) &gt; 0, "Yes", "No")</f>
        <v>No</v>
      </c>
    </row>
    <row r="118" spans="1:18" x14ac:dyDescent="0.25">
      <c r="A118" s="3">
        <v>45055</v>
      </c>
      <c r="B118" t="s">
        <v>142</v>
      </c>
      <c r="C118" t="s">
        <v>105</v>
      </c>
      <c r="D118" t="s">
        <v>20</v>
      </c>
      <c r="E118" t="s">
        <v>67</v>
      </c>
      <c r="F118" t="s">
        <v>40</v>
      </c>
      <c r="G118" t="s">
        <v>61</v>
      </c>
      <c r="H118" t="s">
        <v>62</v>
      </c>
      <c r="I118">
        <v>0.05</v>
      </c>
      <c r="J118">
        <f t="shared" si="3"/>
        <v>40</v>
      </c>
      <c r="K118">
        <v>0</v>
      </c>
      <c r="L118">
        <f t="shared" si="4"/>
        <v>40</v>
      </c>
      <c r="M118" s="4">
        <f t="shared" si="5"/>
        <v>0.05</v>
      </c>
      <c r="N118">
        <v>800</v>
      </c>
      <c r="O118">
        <v>800</v>
      </c>
      <c r="P118" t="s">
        <v>25</v>
      </c>
      <c r="Q118" t="s">
        <v>26</v>
      </c>
      <c r="R118" t="str">
        <f>IF(COUNTIF(Sheet2!B:B, A118) &gt; 0, "Yes", "No")</f>
        <v>No</v>
      </c>
    </row>
    <row r="119" spans="1:18" x14ac:dyDescent="0.25">
      <c r="A119" s="3">
        <v>45055</v>
      </c>
      <c r="B119" t="s">
        <v>142</v>
      </c>
      <c r="C119" t="s">
        <v>105</v>
      </c>
      <c r="D119" t="s">
        <v>20</v>
      </c>
      <c r="E119" t="s">
        <v>67</v>
      </c>
      <c r="F119" t="s">
        <v>43</v>
      </c>
      <c r="G119" t="s">
        <v>75</v>
      </c>
      <c r="H119" t="s">
        <v>76</v>
      </c>
      <c r="I119" s="6">
        <v>0.04</v>
      </c>
      <c r="J119">
        <f t="shared" si="3"/>
        <v>32</v>
      </c>
      <c r="K119">
        <v>2</v>
      </c>
      <c r="L119">
        <f t="shared" si="4"/>
        <v>30</v>
      </c>
      <c r="M119" s="4">
        <f t="shared" si="5"/>
        <v>3.7499999999999999E-2</v>
      </c>
      <c r="N119">
        <v>800</v>
      </c>
      <c r="O119">
        <v>800</v>
      </c>
      <c r="P119" t="s">
        <v>25</v>
      </c>
      <c r="Q119" t="s">
        <v>26</v>
      </c>
      <c r="R119" t="str">
        <f>IF(COUNTIF(Sheet2!B:B, A119) &gt; 0, "Yes", "No")</f>
        <v>No</v>
      </c>
    </row>
    <row r="120" spans="1:18" x14ac:dyDescent="0.25">
      <c r="A120" s="3">
        <v>45055</v>
      </c>
      <c r="B120" t="s">
        <v>142</v>
      </c>
      <c r="C120" t="s">
        <v>105</v>
      </c>
      <c r="D120" t="s">
        <v>20</v>
      </c>
      <c r="E120" t="s">
        <v>67</v>
      </c>
      <c r="F120" t="s">
        <v>46</v>
      </c>
      <c r="G120" t="s">
        <v>169</v>
      </c>
      <c r="H120" t="s">
        <v>170</v>
      </c>
      <c r="I120" s="6">
        <v>7.4999999999999997E-2</v>
      </c>
      <c r="J120">
        <f t="shared" si="3"/>
        <v>60</v>
      </c>
      <c r="K120">
        <v>4</v>
      </c>
      <c r="L120">
        <f t="shared" si="4"/>
        <v>56</v>
      </c>
      <c r="M120" s="4">
        <f t="shared" si="5"/>
        <v>7.0000000000000007E-2</v>
      </c>
      <c r="N120">
        <v>800</v>
      </c>
      <c r="O120">
        <v>800</v>
      </c>
      <c r="P120" t="s">
        <v>25</v>
      </c>
      <c r="Q120" t="s">
        <v>26</v>
      </c>
      <c r="R120" t="str">
        <f>IF(COUNTIF(Sheet2!B:B, A120) &gt; 0, "Yes", "No")</f>
        <v>No</v>
      </c>
    </row>
    <row r="121" spans="1:18" x14ac:dyDescent="0.25">
      <c r="A121" s="3">
        <v>45055</v>
      </c>
      <c r="B121" t="s">
        <v>142</v>
      </c>
      <c r="C121" t="s">
        <v>105</v>
      </c>
      <c r="D121" t="s">
        <v>20</v>
      </c>
      <c r="E121" t="s">
        <v>67</v>
      </c>
      <c r="F121" t="s">
        <v>49</v>
      </c>
      <c r="G121" t="s">
        <v>50</v>
      </c>
      <c r="H121" t="s">
        <v>49</v>
      </c>
      <c r="I121" s="6">
        <v>0.06</v>
      </c>
      <c r="J121">
        <f t="shared" si="3"/>
        <v>48</v>
      </c>
      <c r="K121">
        <v>0</v>
      </c>
      <c r="L121">
        <f t="shared" si="4"/>
        <v>48</v>
      </c>
      <c r="M121" s="4">
        <f t="shared" si="5"/>
        <v>0.06</v>
      </c>
      <c r="N121">
        <v>800</v>
      </c>
      <c r="O121">
        <v>800</v>
      </c>
      <c r="P121" t="s">
        <v>25</v>
      </c>
      <c r="Q121" t="s">
        <v>26</v>
      </c>
      <c r="R121" t="str">
        <f>IF(COUNTIF(Sheet2!B:B, A121) &gt; 0, "Yes", "No")</f>
        <v>No</v>
      </c>
    </row>
    <row r="122" spans="1:18" x14ac:dyDescent="0.25">
      <c r="A122" s="3">
        <v>45057</v>
      </c>
      <c r="B122" t="s">
        <v>142</v>
      </c>
      <c r="C122" t="s">
        <v>66</v>
      </c>
      <c r="D122" t="s">
        <v>20</v>
      </c>
      <c r="E122" t="s">
        <v>67</v>
      </c>
      <c r="F122" t="s">
        <v>22</v>
      </c>
      <c r="G122" t="s">
        <v>94</v>
      </c>
      <c r="H122" t="s">
        <v>95</v>
      </c>
      <c r="I122" s="6">
        <v>0.04</v>
      </c>
      <c r="J122">
        <f t="shared" si="3"/>
        <v>28</v>
      </c>
      <c r="K122">
        <v>0</v>
      </c>
      <c r="L122">
        <f t="shared" si="4"/>
        <v>28</v>
      </c>
      <c r="M122" s="4">
        <f t="shared" si="5"/>
        <v>0.04</v>
      </c>
      <c r="N122">
        <v>700</v>
      </c>
      <c r="O122">
        <v>700</v>
      </c>
      <c r="P122" t="s">
        <v>25</v>
      </c>
      <c r="Q122" t="s">
        <v>26</v>
      </c>
      <c r="R122" t="str">
        <f>IF(COUNTIF(Sheet2!B:B, A122) &gt; 0, "Yes", "No")</f>
        <v>No</v>
      </c>
    </row>
    <row r="123" spans="1:18" x14ac:dyDescent="0.25">
      <c r="A123" s="3">
        <v>45057</v>
      </c>
      <c r="B123" t="s">
        <v>142</v>
      </c>
      <c r="C123" t="s">
        <v>66</v>
      </c>
      <c r="D123" t="s">
        <v>20</v>
      </c>
      <c r="E123" t="s">
        <v>67</v>
      </c>
      <c r="F123" t="s">
        <v>27</v>
      </c>
      <c r="G123" t="s">
        <v>28</v>
      </c>
      <c r="H123" t="s">
        <v>171</v>
      </c>
      <c r="I123" s="6">
        <v>0.06</v>
      </c>
      <c r="J123">
        <f t="shared" si="3"/>
        <v>42</v>
      </c>
      <c r="K123">
        <v>0</v>
      </c>
      <c r="L123">
        <f t="shared" si="4"/>
        <v>42</v>
      </c>
      <c r="M123" s="4">
        <f t="shared" si="5"/>
        <v>0.06</v>
      </c>
      <c r="N123">
        <v>700</v>
      </c>
      <c r="O123">
        <v>700</v>
      </c>
      <c r="P123" t="s">
        <v>25</v>
      </c>
      <c r="Q123" t="s">
        <v>26</v>
      </c>
      <c r="R123" t="str">
        <f>IF(COUNTIF(Sheet2!B:B, A123) &gt; 0, "Yes", "No")</f>
        <v>No</v>
      </c>
    </row>
    <row r="124" spans="1:18" x14ac:dyDescent="0.25">
      <c r="A124" s="3">
        <v>45057</v>
      </c>
      <c r="B124" t="s">
        <v>142</v>
      </c>
      <c r="C124" t="s">
        <v>66</v>
      </c>
      <c r="D124" t="s">
        <v>20</v>
      </c>
      <c r="E124" t="s">
        <v>67</v>
      </c>
      <c r="F124" t="s">
        <v>30</v>
      </c>
      <c r="G124" t="s">
        <v>31</v>
      </c>
      <c r="H124" t="s">
        <v>172</v>
      </c>
      <c r="I124">
        <v>0.09</v>
      </c>
      <c r="J124">
        <f t="shared" si="3"/>
        <v>63</v>
      </c>
      <c r="K124">
        <v>2</v>
      </c>
      <c r="L124">
        <f t="shared" si="4"/>
        <v>61</v>
      </c>
      <c r="M124" s="4">
        <f t="shared" si="5"/>
        <v>8.7142857142857147E-2</v>
      </c>
      <c r="N124">
        <v>700</v>
      </c>
      <c r="O124">
        <v>700</v>
      </c>
      <c r="P124" t="s">
        <v>25</v>
      </c>
      <c r="Q124" t="s">
        <v>26</v>
      </c>
      <c r="R124" t="str">
        <f>IF(COUNTIF(Sheet2!B:B, A124) &gt; 0, "Yes", "No")</f>
        <v>No</v>
      </c>
    </row>
    <row r="125" spans="1:18" x14ac:dyDescent="0.25">
      <c r="A125" s="3">
        <v>45057</v>
      </c>
      <c r="B125" t="s">
        <v>142</v>
      </c>
      <c r="C125" t="s">
        <v>66</v>
      </c>
      <c r="D125" t="s">
        <v>20</v>
      </c>
      <c r="E125" t="s">
        <v>67</v>
      </c>
      <c r="F125" t="s">
        <v>37</v>
      </c>
      <c r="G125" t="s">
        <v>71</v>
      </c>
      <c r="H125" t="s">
        <v>151</v>
      </c>
      <c r="I125">
        <v>3.5000000000000003E-2</v>
      </c>
      <c r="J125">
        <f t="shared" si="3"/>
        <v>24.500000000000004</v>
      </c>
      <c r="K125">
        <v>0</v>
      </c>
      <c r="L125">
        <f t="shared" si="4"/>
        <v>24.500000000000004</v>
      </c>
      <c r="M125" s="4">
        <f t="shared" si="5"/>
        <v>3.5000000000000003E-2</v>
      </c>
      <c r="N125">
        <v>700</v>
      </c>
      <c r="O125">
        <v>700</v>
      </c>
      <c r="P125" t="s">
        <v>25</v>
      </c>
      <c r="Q125" t="s">
        <v>26</v>
      </c>
      <c r="R125" t="str">
        <f>IF(COUNTIF(Sheet2!B:B, A125) &gt; 0, "Yes", "No")</f>
        <v>No</v>
      </c>
    </row>
    <row r="126" spans="1:18" x14ac:dyDescent="0.25">
      <c r="A126" s="3">
        <v>45057</v>
      </c>
      <c r="B126" t="s">
        <v>142</v>
      </c>
      <c r="C126" t="s">
        <v>66</v>
      </c>
      <c r="D126" t="s">
        <v>20</v>
      </c>
      <c r="E126" t="s">
        <v>67</v>
      </c>
      <c r="F126" t="s">
        <v>40</v>
      </c>
      <c r="G126" t="s">
        <v>41</v>
      </c>
      <c r="H126" t="s">
        <v>42</v>
      </c>
      <c r="I126">
        <v>0.05</v>
      </c>
      <c r="J126">
        <f t="shared" si="3"/>
        <v>35</v>
      </c>
      <c r="K126">
        <v>0</v>
      </c>
      <c r="L126">
        <f t="shared" si="4"/>
        <v>35</v>
      </c>
      <c r="M126" s="4">
        <f t="shared" si="5"/>
        <v>0.05</v>
      </c>
      <c r="N126">
        <v>700</v>
      </c>
      <c r="O126">
        <v>700</v>
      </c>
      <c r="P126" t="s">
        <v>25</v>
      </c>
      <c r="Q126" t="s">
        <v>26</v>
      </c>
      <c r="R126" t="str">
        <f>IF(COUNTIF(Sheet2!B:B, A126) &gt; 0, "Yes", "No")</f>
        <v>No</v>
      </c>
    </row>
    <row r="127" spans="1:18" x14ac:dyDescent="0.25">
      <c r="A127" s="3">
        <v>45057</v>
      </c>
      <c r="B127" t="s">
        <v>142</v>
      </c>
      <c r="C127" t="s">
        <v>66</v>
      </c>
      <c r="D127" t="s">
        <v>20</v>
      </c>
      <c r="E127" t="s">
        <v>67</v>
      </c>
      <c r="F127" t="s">
        <v>43</v>
      </c>
      <c r="G127" t="s">
        <v>173</v>
      </c>
      <c r="H127" t="s">
        <v>174</v>
      </c>
      <c r="I127">
        <v>0.11</v>
      </c>
      <c r="J127">
        <f t="shared" si="3"/>
        <v>77</v>
      </c>
      <c r="K127">
        <v>2</v>
      </c>
      <c r="L127">
        <f t="shared" si="4"/>
        <v>75</v>
      </c>
      <c r="M127" s="4">
        <f t="shared" si="5"/>
        <v>0.10714285714285714</v>
      </c>
      <c r="N127">
        <v>700</v>
      </c>
      <c r="O127">
        <v>700</v>
      </c>
      <c r="P127" t="s">
        <v>25</v>
      </c>
      <c r="Q127" t="s">
        <v>26</v>
      </c>
      <c r="R127" t="str">
        <f>IF(COUNTIF(Sheet2!B:B, A127) &gt; 0, "Yes", "No")</f>
        <v>No</v>
      </c>
    </row>
    <row r="128" spans="1:18" x14ac:dyDescent="0.25">
      <c r="A128" s="3">
        <v>45057</v>
      </c>
      <c r="B128" t="s">
        <v>142</v>
      </c>
      <c r="C128" t="s">
        <v>66</v>
      </c>
      <c r="D128" t="s">
        <v>20</v>
      </c>
      <c r="E128" t="s">
        <v>67</v>
      </c>
      <c r="F128" t="s">
        <v>46</v>
      </c>
      <c r="G128" t="s">
        <v>175</v>
      </c>
      <c r="H128" t="s">
        <v>173</v>
      </c>
      <c r="I128">
        <v>8.5000000000000006E-2</v>
      </c>
      <c r="J128">
        <f t="shared" si="3"/>
        <v>59.500000000000007</v>
      </c>
      <c r="K128">
        <v>4</v>
      </c>
      <c r="L128">
        <f t="shared" si="4"/>
        <v>55.500000000000007</v>
      </c>
      <c r="M128" s="4">
        <f t="shared" si="5"/>
        <v>7.9285714285714293E-2</v>
      </c>
      <c r="N128">
        <v>700</v>
      </c>
      <c r="O128">
        <v>700</v>
      </c>
      <c r="P128" t="s">
        <v>25</v>
      </c>
      <c r="Q128" t="s">
        <v>26</v>
      </c>
      <c r="R128" t="str">
        <f>IF(COUNTIF(Sheet2!B:B, A128) &gt; 0, "Yes", "No")</f>
        <v>No</v>
      </c>
    </row>
    <row r="129" spans="1:18" x14ac:dyDescent="0.25">
      <c r="A129" s="3">
        <v>45057</v>
      </c>
      <c r="B129" t="s">
        <v>142</v>
      </c>
      <c r="C129" t="s">
        <v>66</v>
      </c>
      <c r="D129" t="s">
        <v>20</v>
      </c>
      <c r="E129" t="s">
        <v>67</v>
      </c>
      <c r="F129" t="s">
        <v>49</v>
      </c>
      <c r="G129" t="s">
        <v>50</v>
      </c>
      <c r="H129" t="s">
        <v>49</v>
      </c>
      <c r="I129">
        <v>0.09</v>
      </c>
      <c r="J129">
        <f t="shared" si="3"/>
        <v>63</v>
      </c>
      <c r="K129">
        <v>0</v>
      </c>
      <c r="L129">
        <f t="shared" si="4"/>
        <v>63</v>
      </c>
      <c r="M129" s="4">
        <f t="shared" si="5"/>
        <v>0.09</v>
      </c>
      <c r="N129">
        <v>700</v>
      </c>
      <c r="O129">
        <v>700</v>
      </c>
      <c r="P129" t="s">
        <v>25</v>
      </c>
      <c r="Q129" t="s">
        <v>26</v>
      </c>
      <c r="R129" t="str">
        <f>IF(COUNTIF(Sheet2!B:B, A129) &gt; 0, "Yes", "No")</f>
        <v>No</v>
      </c>
    </row>
    <row r="130" spans="1:18" x14ac:dyDescent="0.25">
      <c r="A130" s="3">
        <v>45058</v>
      </c>
      <c r="B130" t="s">
        <v>142</v>
      </c>
      <c r="C130" t="s">
        <v>79</v>
      </c>
      <c r="D130" t="s">
        <v>20</v>
      </c>
      <c r="E130" t="s">
        <v>21</v>
      </c>
      <c r="F130" t="s">
        <v>22</v>
      </c>
      <c r="G130" t="s">
        <v>23</v>
      </c>
      <c r="H130" t="s">
        <v>106</v>
      </c>
      <c r="I130" s="5">
        <v>0.06</v>
      </c>
      <c r="J130">
        <f t="shared" si="3"/>
        <v>39</v>
      </c>
      <c r="K130">
        <v>0</v>
      </c>
      <c r="L130">
        <f t="shared" si="4"/>
        <v>39</v>
      </c>
      <c r="M130" s="4">
        <f t="shared" si="5"/>
        <v>0.06</v>
      </c>
      <c r="N130">
        <v>650</v>
      </c>
      <c r="O130">
        <v>650</v>
      </c>
      <c r="P130" t="s">
        <v>25</v>
      </c>
      <c r="Q130" t="s">
        <v>26</v>
      </c>
      <c r="R130" t="str">
        <f>IF(COUNTIF(Sheet2!B:B, A130) &gt; 0, "Yes", "No")</f>
        <v>Yes</v>
      </c>
    </row>
    <row r="131" spans="1:18" x14ac:dyDescent="0.25">
      <c r="A131" s="3">
        <v>45058</v>
      </c>
      <c r="B131" t="s">
        <v>142</v>
      </c>
      <c r="C131" t="s">
        <v>79</v>
      </c>
      <c r="D131" t="s">
        <v>20</v>
      </c>
      <c r="E131" t="s">
        <v>21</v>
      </c>
      <c r="F131" t="s">
        <v>27</v>
      </c>
      <c r="G131" t="s">
        <v>81</v>
      </c>
      <c r="H131" t="s">
        <v>176</v>
      </c>
      <c r="I131" s="5">
        <v>0.1</v>
      </c>
      <c r="J131">
        <f t="shared" ref="J131:J194" si="6">I131*O131</f>
        <v>65</v>
      </c>
      <c r="K131">
        <v>3</v>
      </c>
      <c r="L131">
        <f t="shared" ref="L131:L194" si="7">J131-K131</f>
        <v>62</v>
      </c>
      <c r="M131" s="4">
        <f t="shared" ref="M131:M194" si="8">((I131*O131)-K131)/N131</f>
        <v>9.5384615384615387E-2</v>
      </c>
      <c r="N131">
        <v>650</v>
      </c>
      <c r="O131">
        <v>650</v>
      </c>
      <c r="P131" t="s">
        <v>25</v>
      </c>
      <c r="Q131" t="s">
        <v>26</v>
      </c>
      <c r="R131" t="str">
        <f>IF(COUNTIF(Sheet2!B:B, A131) &gt; 0, "Yes", "No")</f>
        <v>Yes</v>
      </c>
    </row>
    <row r="132" spans="1:18" x14ac:dyDescent="0.25">
      <c r="A132" s="3">
        <v>45058</v>
      </c>
      <c r="B132" t="s">
        <v>142</v>
      </c>
      <c r="C132" t="s">
        <v>79</v>
      </c>
      <c r="D132" t="s">
        <v>20</v>
      </c>
      <c r="E132" t="s">
        <v>21</v>
      </c>
      <c r="F132" t="s">
        <v>30</v>
      </c>
      <c r="G132" t="s">
        <v>31</v>
      </c>
      <c r="H132" t="s">
        <v>172</v>
      </c>
      <c r="I132" s="5">
        <v>0.06</v>
      </c>
      <c r="J132">
        <f t="shared" si="6"/>
        <v>39</v>
      </c>
      <c r="K132">
        <v>0</v>
      </c>
      <c r="L132">
        <f t="shared" si="7"/>
        <v>39</v>
      </c>
      <c r="M132" s="4">
        <f t="shared" si="8"/>
        <v>0.06</v>
      </c>
      <c r="N132">
        <v>650</v>
      </c>
      <c r="O132">
        <v>650</v>
      </c>
      <c r="P132" t="s">
        <v>25</v>
      </c>
      <c r="Q132" t="s">
        <v>26</v>
      </c>
      <c r="R132" t="str">
        <f>IF(COUNTIF(Sheet2!B:B, A132) &gt; 0, "Yes", "No")</f>
        <v>Yes</v>
      </c>
    </row>
    <row r="133" spans="1:18" x14ac:dyDescent="0.25">
      <c r="A133" s="3">
        <v>45058</v>
      </c>
      <c r="B133" t="s">
        <v>142</v>
      </c>
      <c r="C133" t="s">
        <v>79</v>
      </c>
      <c r="D133" t="s">
        <v>33</v>
      </c>
      <c r="E133" t="s">
        <v>21</v>
      </c>
      <c r="F133" t="s">
        <v>84</v>
      </c>
      <c r="G133" t="s">
        <v>177</v>
      </c>
      <c r="H133" t="s">
        <v>178</v>
      </c>
      <c r="I133" s="5">
        <v>0.3</v>
      </c>
      <c r="J133">
        <f t="shared" si="6"/>
        <v>97.5</v>
      </c>
      <c r="K133">
        <v>4</v>
      </c>
      <c r="L133">
        <f t="shared" si="7"/>
        <v>93.5</v>
      </c>
      <c r="M133" s="4">
        <f t="shared" si="8"/>
        <v>0.28769230769230769</v>
      </c>
      <c r="N133">
        <v>325</v>
      </c>
      <c r="O133">
        <v>325</v>
      </c>
      <c r="P133" t="s">
        <v>25</v>
      </c>
      <c r="Q133" t="s">
        <v>26</v>
      </c>
      <c r="R133" t="str">
        <f>IF(COUNTIF(Sheet2!B:B, A133) &gt; 0, "Yes", "No")</f>
        <v>Yes</v>
      </c>
    </row>
    <row r="134" spans="1:18" x14ac:dyDescent="0.25">
      <c r="A134" s="3">
        <v>45058</v>
      </c>
      <c r="B134" t="s">
        <v>142</v>
      </c>
      <c r="C134" t="s">
        <v>79</v>
      </c>
      <c r="D134" t="s">
        <v>20</v>
      </c>
      <c r="E134" t="s">
        <v>21</v>
      </c>
      <c r="F134" t="s">
        <v>37</v>
      </c>
      <c r="G134" t="s">
        <v>108</v>
      </c>
      <c r="H134" t="s">
        <v>126</v>
      </c>
      <c r="I134" s="5">
        <v>2.5000000000000001E-2</v>
      </c>
      <c r="J134">
        <f t="shared" si="6"/>
        <v>16.25</v>
      </c>
      <c r="K134">
        <v>3</v>
      </c>
      <c r="L134">
        <f t="shared" si="7"/>
        <v>13.25</v>
      </c>
      <c r="M134" s="4">
        <f t="shared" si="8"/>
        <v>2.0384615384615383E-2</v>
      </c>
      <c r="N134">
        <v>650</v>
      </c>
      <c r="O134">
        <v>650</v>
      </c>
      <c r="P134" t="s">
        <v>25</v>
      </c>
      <c r="Q134" t="s">
        <v>26</v>
      </c>
      <c r="R134" t="str">
        <f>IF(COUNTIF(Sheet2!B:B, A134) &gt; 0, "Yes", "No")</f>
        <v>Yes</v>
      </c>
    </row>
    <row r="135" spans="1:18" x14ac:dyDescent="0.25">
      <c r="A135" s="3">
        <v>45058</v>
      </c>
      <c r="B135" t="s">
        <v>142</v>
      </c>
      <c r="C135" t="s">
        <v>79</v>
      </c>
      <c r="D135" t="s">
        <v>20</v>
      </c>
      <c r="E135" t="s">
        <v>21</v>
      </c>
      <c r="F135" t="s">
        <v>40</v>
      </c>
      <c r="G135" t="s">
        <v>100</v>
      </c>
      <c r="H135" t="s">
        <v>101</v>
      </c>
      <c r="I135" s="5">
        <v>0.04</v>
      </c>
      <c r="J135">
        <f t="shared" si="6"/>
        <v>26</v>
      </c>
      <c r="K135">
        <v>3</v>
      </c>
      <c r="L135">
        <f t="shared" si="7"/>
        <v>23</v>
      </c>
      <c r="M135" s="4">
        <f t="shared" si="8"/>
        <v>3.5384615384615382E-2</v>
      </c>
      <c r="N135">
        <v>650</v>
      </c>
      <c r="O135">
        <v>650</v>
      </c>
      <c r="P135" t="s">
        <v>25</v>
      </c>
      <c r="Q135" t="s">
        <v>26</v>
      </c>
      <c r="R135" t="str">
        <f>IF(COUNTIF(Sheet2!B:B, A135) &gt; 0, "Yes", "No")</f>
        <v>Yes</v>
      </c>
    </row>
    <row r="136" spans="1:18" x14ac:dyDescent="0.25">
      <c r="A136" s="3">
        <v>45058</v>
      </c>
      <c r="B136" t="s">
        <v>142</v>
      </c>
      <c r="C136" t="s">
        <v>79</v>
      </c>
      <c r="D136" t="s">
        <v>20</v>
      </c>
      <c r="E136" t="s">
        <v>21</v>
      </c>
      <c r="F136" t="s">
        <v>43</v>
      </c>
      <c r="G136" t="s">
        <v>139</v>
      </c>
      <c r="H136" t="s">
        <v>179</v>
      </c>
      <c r="I136" s="5">
        <v>7.4999999999999997E-2</v>
      </c>
      <c r="J136">
        <f t="shared" si="6"/>
        <v>48.75</v>
      </c>
      <c r="K136">
        <v>2</v>
      </c>
      <c r="L136">
        <f t="shared" si="7"/>
        <v>46.75</v>
      </c>
      <c r="M136" s="4">
        <f t="shared" si="8"/>
        <v>7.1923076923076923E-2</v>
      </c>
      <c r="N136">
        <v>650</v>
      </c>
      <c r="O136">
        <v>650</v>
      </c>
      <c r="P136" t="s">
        <v>25</v>
      </c>
      <c r="Q136" t="s">
        <v>26</v>
      </c>
      <c r="R136" t="str">
        <f>IF(COUNTIF(Sheet2!B:B, A136) &gt; 0, "Yes", "No")</f>
        <v>Yes</v>
      </c>
    </row>
    <row r="137" spans="1:18" x14ac:dyDescent="0.25">
      <c r="A137" s="3">
        <v>45058</v>
      </c>
      <c r="B137" t="s">
        <v>142</v>
      </c>
      <c r="C137" t="s">
        <v>79</v>
      </c>
      <c r="D137" t="s">
        <v>20</v>
      </c>
      <c r="E137" t="s">
        <v>21</v>
      </c>
      <c r="F137" t="s">
        <v>46</v>
      </c>
      <c r="G137" t="s">
        <v>103</v>
      </c>
      <c r="H137" t="s">
        <v>180</v>
      </c>
      <c r="I137" s="5">
        <v>7.4999999999999997E-2</v>
      </c>
      <c r="J137">
        <f t="shared" si="6"/>
        <v>48.75</v>
      </c>
      <c r="K137">
        <v>0</v>
      </c>
      <c r="L137">
        <f t="shared" si="7"/>
        <v>48.75</v>
      </c>
      <c r="M137" s="4">
        <f t="shared" si="8"/>
        <v>7.4999999999999997E-2</v>
      </c>
      <c r="N137">
        <v>650</v>
      </c>
      <c r="O137">
        <v>650</v>
      </c>
      <c r="P137" t="s">
        <v>25</v>
      </c>
      <c r="Q137" t="s">
        <v>26</v>
      </c>
      <c r="R137" t="str">
        <f>IF(COUNTIF(Sheet2!B:B, A137) &gt; 0, "Yes", "No")</f>
        <v>Yes</v>
      </c>
    </row>
    <row r="138" spans="1:18" x14ac:dyDescent="0.25">
      <c r="A138" s="3">
        <v>45058</v>
      </c>
      <c r="B138" t="s">
        <v>142</v>
      </c>
      <c r="C138" t="s">
        <v>79</v>
      </c>
      <c r="D138" t="s">
        <v>20</v>
      </c>
      <c r="E138" t="s">
        <v>21</v>
      </c>
      <c r="F138" t="s">
        <v>49</v>
      </c>
      <c r="G138" t="s">
        <v>50</v>
      </c>
      <c r="H138" t="s">
        <v>49</v>
      </c>
      <c r="I138" s="5">
        <v>0.04</v>
      </c>
      <c r="J138">
        <f t="shared" si="6"/>
        <v>26</v>
      </c>
      <c r="K138">
        <v>0</v>
      </c>
      <c r="L138">
        <f t="shared" si="7"/>
        <v>26</v>
      </c>
      <c r="M138" s="4">
        <f t="shared" si="8"/>
        <v>0.04</v>
      </c>
      <c r="N138">
        <v>650</v>
      </c>
      <c r="O138">
        <v>650</v>
      </c>
      <c r="P138" t="s">
        <v>25</v>
      </c>
      <c r="Q138" t="s">
        <v>26</v>
      </c>
      <c r="R138" t="str">
        <f>IF(COUNTIF(Sheet2!B:B, A138) &gt; 0, "Yes", "No")</f>
        <v>Yes</v>
      </c>
    </row>
    <row r="139" spans="1:18" x14ac:dyDescent="0.25">
      <c r="A139" s="3">
        <v>45061</v>
      </c>
      <c r="B139" t="s">
        <v>142</v>
      </c>
      <c r="C139" t="s">
        <v>19</v>
      </c>
      <c r="D139" t="s">
        <v>20</v>
      </c>
      <c r="E139" t="s">
        <v>21</v>
      </c>
      <c r="F139" t="s">
        <v>22</v>
      </c>
      <c r="G139" t="s">
        <v>122</v>
      </c>
      <c r="H139" t="s">
        <v>181</v>
      </c>
      <c r="I139" s="5">
        <v>0.06</v>
      </c>
      <c r="J139">
        <f t="shared" si="6"/>
        <v>42</v>
      </c>
      <c r="K139">
        <v>7</v>
      </c>
      <c r="L139">
        <f t="shared" si="7"/>
        <v>35</v>
      </c>
      <c r="M139" s="4">
        <f t="shared" si="8"/>
        <v>0.05</v>
      </c>
      <c r="N139">
        <v>700</v>
      </c>
      <c r="O139">
        <v>700</v>
      </c>
      <c r="P139" t="s">
        <v>25</v>
      </c>
      <c r="Q139" t="s">
        <v>26</v>
      </c>
      <c r="R139" t="str">
        <f>IF(COUNTIF(Sheet2!B:B, A139) &gt; 0, "Yes", "No")</f>
        <v>No</v>
      </c>
    </row>
    <row r="140" spans="1:18" x14ac:dyDescent="0.25">
      <c r="A140" s="3">
        <v>45061</v>
      </c>
      <c r="B140" t="s">
        <v>142</v>
      </c>
      <c r="C140" t="s">
        <v>19</v>
      </c>
      <c r="D140" t="s">
        <v>20</v>
      </c>
      <c r="E140" t="s">
        <v>21</v>
      </c>
      <c r="F140" t="s">
        <v>27</v>
      </c>
      <c r="G140" t="s">
        <v>28</v>
      </c>
      <c r="H140" t="s">
        <v>182</v>
      </c>
      <c r="I140">
        <v>0.1</v>
      </c>
      <c r="J140">
        <f t="shared" si="6"/>
        <v>70</v>
      </c>
      <c r="K140">
        <v>9</v>
      </c>
      <c r="L140">
        <f t="shared" si="7"/>
        <v>61</v>
      </c>
      <c r="M140" s="4">
        <f t="shared" si="8"/>
        <v>8.7142857142857147E-2</v>
      </c>
      <c r="N140">
        <v>700</v>
      </c>
      <c r="O140">
        <v>700</v>
      </c>
      <c r="P140" t="s">
        <v>25</v>
      </c>
      <c r="Q140" t="s">
        <v>26</v>
      </c>
      <c r="R140" t="str">
        <f>IF(COUNTIF(Sheet2!B:B, A140) &gt; 0, "Yes", "No")</f>
        <v>No</v>
      </c>
    </row>
    <row r="141" spans="1:18" x14ac:dyDescent="0.25">
      <c r="A141" s="3">
        <v>45061</v>
      </c>
      <c r="B141" t="s">
        <v>142</v>
      </c>
      <c r="C141" t="s">
        <v>19</v>
      </c>
      <c r="D141" t="s">
        <v>20</v>
      </c>
      <c r="E141" t="s">
        <v>21</v>
      </c>
      <c r="F141" t="s">
        <v>30</v>
      </c>
      <c r="G141" t="s">
        <v>55</v>
      </c>
      <c r="H141" t="s">
        <v>183</v>
      </c>
      <c r="I141">
        <v>0.09</v>
      </c>
      <c r="J141">
        <f t="shared" si="6"/>
        <v>63</v>
      </c>
      <c r="K141">
        <v>0</v>
      </c>
      <c r="L141">
        <f t="shared" si="7"/>
        <v>63</v>
      </c>
      <c r="M141" s="4">
        <f t="shared" si="8"/>
        <v>0.09</v>
      </c>
      <c r="N141">
        <v>700</v>
      </c>
      <c r="O141">
        <v>700</v>
      </c>
      <c r="P141" t="s">
        <v>25</v>
      </c>
      <c r="Q141" t="s">
        <v>26</v>
      </c>
      <c r="R141" t="str">
        <f>IF(COUNTIF(Sheet2!B:B, A141) &gt; 0, "Yes", "No")</f>
        <v>No</v>
      </c>
    </row>
    <row r="142" spans="1:18" x14ac:dyDescent="0.25">
      <c r="A142" s="3">
        <v>45061</v>
      </c>
      <c r="B142" t="s">
        <v>142</v>
      </c>
      <c r="C142" t="s">
        <v>19</v>
      </c>
      <c r="D142" t="s">
        <v>33</v>
      </c>
      <c r="E142" t="s">
        <v>21</v>
      </c>
      <c r="F142" t="s">
        <v>34</v>
      </c>
      <c r="G142" t="s">
        <v>57</v>
      </c>
      <c r="H142" t="s">
        <v>184</v>
      </c>
      <c r="I142">
        <v>0.15</v>
      </c>
      <c r="J142">
        <f t="shared" si="6"/>
        <v>52.5</v>
      </c>
      <c r="K142">
        <v>0</v>
      </c>
      <c r="L142">
        <f t="shared" si="7"/>
        <v>52.5</v>
      </c>
      <c r="M142" s="4">
        <f t="shared" si="8"/>
        <v>0.15</v>
      </c>
      <c r="N142">
        <v>350</v>
      </c>
      <c r="O142">
        <v>350</v>
      </c>
      <c r="P142" t="s">
        <v>25</v>
      </c>
      <c r="Q142" t="s">
        <v>26</v>
      </c>
      <c r="R142" t="str">
        <f>IF(COUNTIF(Sheet2!B:B, A142) &gt; 0, "Yes", "No")</f>
        <v>No</v>
      </c>
    </row>
    <row r="143" spans="1:18" x14ac:dyDescent="0.25">
      <c r="A143" s="3">
        <v>45061</v>
      </c>
      <c r="B143" t="s">
        <v>142</v>
      </c>
      <c r="C143" t="s">
        <v>19</v>
      </c>
      <c r="D143" t="s">
        <v>20</v>
      </c>
      <c r="E143" t="s">
        <v>21</v>
      </c>
      <c r="F143" t="s">
        <v>37</v>
      </c>
      <c r="G143" t="s">
        <v>59</v>
      </c>
      <c r="H143" t="s">
        <v>60</v>
      </c>
      <c r="I143">
        <v>0.03</v>
      </c>
      <c r="J143">
        <f t="shared" si="6"/>
        <v>21</v>
      </c>
      <c r="K143">
        <v>4</v>
      </c>
      <c r="L143">
        <f t="shared" si="7"/>
        <v>17</v>
      </c>
      <c r="M143" s="4">
        <f t="shared" si="8"/>
        <v>2.4285714285714285E-2</v>
      </c>
      <c r="N143">
        <v>700</v>
      </c>
      <c r="O143">
        <v>700</v>
      </c>
      <c r="P143" t="s">
        <v>25</v>
      </c>
      <c r="Q143" t="s">
        <v>26</v>
      </c>
      <c r="R143" t="str">
        <f>IF(COUNTIF(Sheet2!B:B, A143) &gt; 0, "Yes", "No")</f>
        <v>No</v>
      </c>
    </row>
    <row r="144" spans="1:18" x14ac:dyDescent="0.25">
      <c r="A144" s="3">
        <v>45061</v>
      </c>
      <c r="B144" t="s">
        <v>142</v>
      </c>
      <c r="C144" t="s">
        <v>19</v>
      </c>
      <c r="D144" t="s">
        <v>20</v>
      </c>
      <c r="E144" t="s">
        <v>21</v>
      </c>
      <c r="F144" t="s">
        <v>40</v>
      </c>
      <c r="G144" t="s">
        <v>127</v>
      </c>
      <c r="H144" t="s">
        <v>127</v>
      </c>
      <c r="I144">
        <v>4.4999999999999998E-2</v>
      </c>
      <c r="J144">
        <f t="shared" si="6"/>
        <v>31.5</v>
      </c>
      <c r="K144">
        <v>5</v>
      </c>
      <c r="L144">
        <f t="shared" si="7"/>
        <v>26.5</v>
      </c>
      <c r="M144" s="4">
        <f t="shared" si="8"/>
        <v>3.785714285714286E-2</v>
      </c>
      <c r="N144">
        <v>700</v>
      </c>
      <c r="O144">
        <v>700</v>
      </c>
      <c r="P144" t="s">
        <v>25</v>
      </c>
      <c r="Q144" t="s">
        <v>26</v>
      </c>
      <c r="R144" t="str">
        <f>IF(COUNTIF(Sheet2!B:B, A144) &gt; 0, "Yes", "No")</f>
        <v>No</v>
      </c>
    </row>
    <row r="145" spans="1:18" x14ac:dyDescent="0.25">
      <c r="A145" s="3">
        <v>45061</v>
      </c>
      <c r="B145" t="s">
        <v>142</v>
      </c>
      <c r="C145" t="s">
        <v>19</v>
      </c>
      <c r="D145" t="s">
        <v>20</v>
      </c>
      <c r="E145" t="s">
        <v>21</v>
      </c>
      <c r="F145" t="s">
        <v>43</v>
      </c>
      <c r="G145" t="s">
        <v>44</v>
      </c>
      <c r="H145" t="s">
        <v>185</v>
      </c>
      <c r="I145">
        <v>0.11</v>
      </c>
      <c r="J145">
        <f t="shared" si="6"/>
        <v>77</v>
      </c>
      <c r="K145">
        <v>0</v>
      </c>
      <c r="L145">
        <f t="shared" si="7"/>
        <v>77</v>
      </c>
      <c r="M145" s="4">
        <f t="shared" si="8"/>
        <v>0.11</v>
      </c>
      <c r="N145">
        <v>700</v>
      </c>
      <c r="O145">
        <v>700</v>
      </c>
      <c r="P145" t="s">
        <v>25</v>
      </c>
      <c r="Q145" t="s">
        <v>26</v>
      </c>
      <c r="R145" t="str">
        <f>IF(COUNTIF(Sheet2!B:B, A145) &gt; 0, "Yes", "No")</f>
        <v>No</v>
      </c>
    </row>
    <row r="146" spans="1:18" x14ac:dyDescent="0.25">
      <c r="A146" s="3">
        <v>45061</v>
      </c>
      <c r="B146" t="s">
        <v>142</v>
      </c>
      <c r="C146" t="s">
        <v>19</v>
      </c>
      <c r="D146" t="s">
        <v>20</v>
      </c>
      <c r="E146" t="s">
        <v>21</v>
      </c>
      <c r="F146" t="s">
        <v>46</v>
      </c>
      <c r="G146" t="s">
        <v>92</v>
      </c>
      <c r="H146" t="s">
        <v>186</v>
      </c>
      <c r="I146">
        <v>8.5000000000000006E-2</v>
      </c>
      <c r="J146">
        <f t="shared" si="6"/>
        <v>59.500000000000007</v>
      </c>
      <c r="K146">
        <v>12</v>
      </c>
      <c r="L146">
        <f t="shared" si="7"/>
        <v>47.500000000000007</v>
      </c>
      <c r="M146" s="4">
        <f t="shared" si="8"/>
        <v>6.7857142857142866E-2</v>
      </c>
      <c r="N146">
        <v>700</v>
      </c>
      <c r="O146">
        <v>700</v>
      </c>
      <c r="P146" t="s">
        <v>25</v>
      </c>
      <c r="Q146" t="s">
        <v>26</v>
      </c>
      <c r="R146" t="str">
        <f>IF(COUNTIF(Sheet2!B:B, A146) &gt; 0, "Yes", "No")</f>
        <v>No</v>
      </c>
    </row>
    <row r="147" spans="1:18" x14ac:dyDescent="0.25">
      <c r="A147" s="3">
        <v>45061</v>
      </c>
      <c r="B147" t="s">
        <v>142</v>
      </c>
      <c r="C147" t="s">
        <v>19</v>
      </c>
      <c r="D147" t="s">
        <v>20</v>
      </c>
      <c r="E147" t="s">
        <v>21</v>
      </c>
      <c r="F147" t="s">
        <v>49</v>
      </c>
      <c r="G147" t="s">
        <v>50</v>
      </c>
      <c r="H147" t="s">
        <v>49</v>
      </c>
      <c r="I147">
        <v>0.09</v>
      </c>
      <c r="J147">
        <f t="shared" si="6"/>
        <v>63</v>
      </c>
      <c r="K147">
        <v>0</v>
      </c>
      <c r="L147">
        <f t="shared" si="7"/>
        <v>63</v>
      </c>
      <c r="M147" s="4">
        <f t="shared" si="8"/>
        <v>0.09</v>
      </c>
      <c r="N147">
        <v>700</v>
      </c>
      <c r="O147">
        <v>700</v>
      </c>
      <c r="P147" t="s">
        <v>25</v>
      </c>
      <c r="Q147" t="s">
        <v>26</v>
      </c>
      <c r="R147" t="str">
        <f>IF(COUNTIF(Sheet2!B:B, A147) &gt; 0, "Yes", "No")</f>
        <v>No</v>
      </c>
    </row>
    <row r="148" spans="1:18" x14ac:dyDescent="0.25">
      <c r="A148" s="3">
        <v>45062</v>
      </c>
      <c r="B148" t="s">
        <v>142</v>
      </c>
      <c r="C148" t="s">
        <v>105</v>
      </c>
      <c r="D148" t="s">
        <v>20</v>
      </c>
      <c r="E148" t="s">
        <v>67</v>
      </c>
      <c r="F148" t="s">
        <v>22</v>
      </c>
      <c r="G148" t="s">
        <v>23</v>
      </c>
      <c r="H148" t="s">
        <v>80</v>
      </c>
      <c r="I148">
        <v>8.5000000000000006E-2</v>
      </c>
      <c r="J148">
        <f t="shared" si="6"/>
        <v>59.500000000000007</v>
      </c>
      <c r="K148">
        <v>1</v>
      </c>
      <c r="L148">
        <f t="shared" si="7"/>
        <v>58.500000000000007</v>
      </c>
      <c r="M148" s="4">
        <f t="shared" si="8"/>
        <v>8.3571428571428588E-2</v>
      </c>
      <c r="N148">
        <v>700</v>
      </c>
      <c r="O148">
        <v>700</v>
      </c>
      <c r="P148" t="s">
        <v>25</v>
      </c>
      <c r="Q148" t="s">
        <v>26</v>
      </c>
      <c r="R148" t="str">
        <f>IF(COUNTIF(Sheet2!B:B, A148) &gt; 0, "Yes", "No")</f>
        <v>No</v>
      </c>
    </row>
    <row r="149" spans="1:18" x14ac:dyDescent="0.25">
      <c r="A149" s="3">
        <v>45062</v>
      </c>
      <c r="B149" t="s">
        <v>142</v>
      </c>
      <c r="C149" t="s">
        <v>105</v>
      </c>
      <c r="D149" t="s">
        <v>20</v>
      </c>
      <c r="E149" t="s">
        <v>67</v>
      </c>
      <c r="F149" t="s">
        <v>27</v>
      </c>
      <c r="G149" t="s">
        <v>28</v>
      </c>
      <c r="H149" t="s">
        <v>187</v>
      </c>
      <c r="I149">
        <v>0.11</v>
      </c>
      <c r="J149">
        <f t="shared" si="6"/>
        <v>77</v>
      </c>
      <c r="K149">
        <v>5</v>
      </c>
      <c r="L149">
        <f t="shared" si="7"/>
        <v>72</v>
      </c>
      <c r="M149" s="4">
        <f t="shared" si="8"/>
        <v>0.10285714285714286</v>
      </c>
      <c r="N149">
        <v>700</v>
      </c>
      <c r="O149">
        <v>700</v>
      </c>
      <c r="P149" t="s">
        <v>25</v>
      </c>
      <c r="Q149" t="s">
        <v>26</v>
      </c>
      <c r="R149" t="str">
        <f>IF(COUNTIF(Sheet2!B:B, A149) &gt; 0, "Yes", "No")</f>
        <v>No</v>
      </c>
    </row>
    <row r="150" spans="1:18" x14ac:dyDescent="0.25">
      <c r="A150" s="3">
        <v>45062</v>
      </c>
      <c r="B150" t="s">
        <v>142</v>
      </c>
      <c r="C150" t="s">
        <v>105</v>
      </c>
      <c r="D150" t="s">
        <v>20</v>
      </c>
      <c r="E150" t="s">
        <v>67</v>
      </c>
      <c r="F150" t="s">
        <v>30</v>
      </c>
      <c r="G150" t="s">
        <v>31</v>
      </c>
      <c r="H150" t="s">
        <v>31</v>
      </c>
      <c r="I150">
        <v>0.09</v>
      </c>
      <c r="J150">
        <f t="shared" si="6"/>
        <v>63</v>
      </c>
      <c r="K150">
        <v>0</v>
      </c>
      <c r="L150">
        <f t="shared" si="7"/>
        <v>63</v>
      </c>
      <c r="M150" s="4">
        <f t="shared" si="8"/>
        <v>0.09</v>
      </c>
      <c r="N150">
        <v>700</v>
      </c>
      <c r="O150">
        <v>700</v>
      </c>
      <c r="P150" t="s">
        <v>25</v>
      </c>
      <c r="Q150" t="s">
        <v>26</v>
      </c>
      <c r="R150" t="str">
        <f>IF(COUNTIF(Sheet2!B:B, A150) &gt; 0, "Yes", "No")</f>
        <v>No</v>
      </c>
    </row>
    <row r="151" spans="1:18" x14ac:dyDescent="0.25">
      <c r="A151" s="3">
        <v>45062</v>
      </c>
      <c r="B151" t="s">
        <v>142</v>
      </c>
      <c r="C151" t="s">
        <v>105</v>
      </c>
      <c r="D151" t="s">
        <v>20</v>
      </c>
      <c r="E151" t="s">
        <v>67</v>
      </c>
      <c r="F151" t="s">
        <v>37</v>
      </c>
      <c r="G151" t="s">
        <v>117</v>
      </c>
      <c r="H151" t="s">
        <v>118</v>
      </c>
      <c r="I151">
        <v>3.5000000000000003E-2</v>
      </c>
      <c r="J151">
        <f t="shared" si="6"/>
        <v>24.500000000000004</v>
      </c>
      <c r="K151">
        <v>0</v>
      </c>
      <c r="L151">
        <f t="shared" si="7"/>
        <v>24.500000000000004</v>
      </c>
      <c r="M151" s="4">
        <f t="shared" si="8"/>
        <v>3.5000000000000003E-2</v>
      </c>
      <c r="N151">
        <v>700</v>
      </c>
      <c r="O151">
        <v>700</v>
      </c>
      <c r="P151" t="s">
        <v>25</v>
      </c>
      <c r="Q151" t="s">
        <v>26</v>
      </c>
      <c r="R151" t="str">
        <f>IF(COUNTIF(Sheet2!B:B, A151) &gt; 0, "Yes", "No")</f>
        <v>No</v>
      </c>
    </row>
    <row r="152" spans="1:18" x14ac:dyDescent="0.25">
      <c r="A152" s="3">
        <v>45062</v>
      </c>
      <c r="B152" t="s">
        <v>142</v>
      </c>
      <c r="C152" t="s">
        <v>105</v>
      </c>
      <c r="D152" t="s">
        <v>20</v>
      </c>
      <c r="E152" t="s">
        <v>67</v>
      </c>
      <c r="F152" t="s">
        <v>40</v>
      </c>
      <c r="G152" t="s">
        <v>137</v>
      </c>
      <c r="H152" t="s">
        <v>138</v>
      </c>
      <c r="I152">
        <v>0.05</v>
      </c>
      <c r="J152">
        <f t="shared" si="6"/>
        <v>35</v>
      </c>
      <c r="K152">
        <v>0</v>
      </c>
      <c r="L152">
        <f t="shared" si="7"/>
        <v>35</v>
      </c>
      <c r="M152" s="4">
        <f t="shared" si="8"/>
        <v>0.05</v>
      </c>
      <c r="N152">
        <v>700</v>
      </c>
      <c r="O152">
        <v>700</v>
      </c>
      <c r="P152" t="s">
        <v>25</v>
      </c>
      <c r="Q152" t="s">
        <v>26</v>
      </c>
      <c r="R152" t="str">
        <f>IF(COUNTIF(Sheet2!B:B, A152) &gt; 0, "Yes", "No")</f>
        <v>No</v>
      </c>
    </row>
    <row r="153" spans="1:18" x14ac:dyDescent="0.25">
      <c r="A153" s="3">
        <v>45062</v>
      </c>
      <c r="B153" t="s">
        <v>142</v>
      </c>
      <c r="C153" t="s">
        <v>105</v>
      </c>
      <c r="D153" t="s">
        <v>20</v>
      </c>
      <c r="E153" t="s">
        <v>67</v>
      </c>
      <c r="F153" t="s">
        <v>43</v>
      </c>
      <c r="G153" t="s">
        <v>90</v>
      </c>
      <c r="H153" t="s">
        <v>188</v>
      </c>
      <c r="I153">
        <v>0.11</v>
      </c>
      <c r="J153">
        <f t="shared" si="6"/>
        <v>77</v>
      </c>
      <c r="K153">
        <v>0</v>
      </c>
      <c r="L153">
        <f t="shared" si="7"/>
        <v>77</v>
      </c>
      <c r="M153" s="4">
        <f t="shared" si="8"/>
        <v>0.11</v>
      </c>
      <c r="N153">
        <v>700</v>
      </c>
      <c r="O153">
        <v>700</v>
      </c>
      <c r="P153" t="s">
        <v>25</v>
      </c>
      <c r="Q153" t="s">
        <v>26</v>
      </c>
      <c r="R153" t="str">
        <f>IF(COUNTIF(Sheet2!B:B, A153) &gt; 0, "Yes", "No")</f>
        <v>No</v>
      </c>
    </row>
    <row r="154" spans="1:18" x14ac:dyDescent="0.25">
      <c r="A154" s="3">
        <v>45062</v>
      </c>
      <c r="B154" t="s">
        <v>142</v>
      </c>
      <c r="C154" t="s">
        <v>105</v>
      </c>
      <c r="D154" t="s">
        <v>20</v>
      </c>
      <c r="E154" t="s">
        <v>67</v>
      </c>
      <c r="F154" t="s">
        <v>46</v>
      </c>
      <c r="G154" t="s">
        <v>47</v>
      </c>
      <c r="H154" t="s">
        <v>189</v>
      </c>
      <c r="I154">
        <v>8.5000000000000006E-2</v>
      </c>
      <c r="J154">
        <f t="shared" si="6"/>
        <v>59.500000000000007</v>
      </c>
      <c r="K154">
        <v>3</v>
      </c>
      <c r="L154">
        <f t="shared" si="7"/>
        <v>56.500000000000007</v>
      </c>
      <c r="M154" s="4">
        <f t="shared" si="8"/>
        <v>8.0714285714285725E-2</v>
      </c>
      <c r="N154">
        <v>700</v>
      </c>
      <c r="O154">
        <v>700</v>
      </c>
      <c r="P154" t="s">
        <v>25</v>
      </c>
      <c r="Q154" t="s">
        <v>26</v>
      </c>
      <c r="R154" t="str">
        <f>IF(COUNTIF(Sheet2!B:B, A154) &gt; 0, "Yes", "No")</f>
        <v>No</v>
      </c>
    </row>
    <row r="155" spans="1:18" x14ac:dyDescent="0.25">
      <c r="A155" s="3">
        <v>45062</v>
      </c>
      <c r="B155" t="s">
        <v>142</v>
      </c>
      <c r="C155" t="s">
        <v>105</v>
      </c>
      <c r="D155" t="s">
        <v>20</v>
      </c>
      <c r="E155" t="s">
        <v>67</v>
      </c>
      <c r="F155" t="s">
        <v>49</v>
      </c>
      <c r="G155" t="s">
        <v>50</v>
      </c>
      <c r="H155" t="s">
        <v>49</v>
      </c>
      <c r="I155">
        <v>0.09</v>
      </c>
      <c r="J155">
        <f t="shared" si="6"/>
        <v>63</v>
      </c>
      <c r="K155">
        <v>0</v>
      </c>
      <c r="L155">
        <f t="shared" si="7"/>
        <v>63</v>
      </c>
      <c r="M155" s="4">
        <f t="shared" si="8"/>
        <v>0.09</v>
      </c>
      <c r="N155">
        <v>700</v>
      </c>
      <c r="O155">
        <v>700</v>
      </c>
      <c r="P155" t="s">
        <v>25</v>
      </c>
      <c r="Q155" t="s">
        <v>26</v>
      </c>
      <c r="R155" t="str">
        <f>IF(COUNTIF(Sheet2!B:B, A155) &gt; 0, "Yes", "No")</f>
        <v>No</v>
      </c>
    </row>
    <row r="156" spans="1:18" x14ac:dyDescent="0.25">
      <c r="A156" s="3">
        <v>45063</v>
      </c>
      <c r="B156" t="s">
        <v>142</v>
      </c>
      <c r="C156" t="s">
        <v>51</v>
      </c>
      <c r="D156" t="s">
        <v>20</v>
      </c>
      <c r="E156" t="s">
        <v>21</v>
      </c>
      <c r="F156" t="s">
        <v>22</v>
      </c>
      <c r="G156" t="s">
        <v>23</v>
      </c>
      <c r="H156" t="s">
        <v>24</v>
      </c>
      <c r="I156">
        <v>8.5000000000000006E-2</v>
      </c>
      <c r="J156">
        <f t="shared" si="6"/>
        <v>68</v>
      </c>
      <c r="K156">
        <v>2</v>
      </c>
      <c r="L156">
        <f t="shared" si="7"/>
        <v>66</v>
      </c>
      <c r="M156" s="4">
        <f t="shared" si="8"/>
        <v>8.2500000000000004E-2</v>
      </c>
      <c r="N156">
        <v>800</v>
      </c>
      <c r="O156">
        <v>800</v>
      </c>
      <c r="P156" t="s">
        <v>25</v>
      </c>
      <c r="Q156" t="s">
        <v>26</v>
      </c>
      <c r="R156" t="str">
        <f>IF(COUNTIF(Sheet2!B:B, A156) &gt; 0, "Yes", "No")</f>
        <v>No</v>
      </c>
    </row>
    <row r="157" spans="1:18" x14ac:dyDescent="0.25">
      <c r="A157" s="3">
        <v>45063</v>
      </c>
      <c r="B157" t="s">
        <v>142</v>
      </c>
      <c r="C157" t="s">
        <v>51</v>
      </c>
      <c r="D157" t="s">
        <v>20</v>
      </c>
      <c r="E157" t="s">
        <v>21</v>
      </c>
      <c r="F157" t="s">
        <v>27</v>
      </c>
      <c r="G157" t="s">
        <v>190</v>
      </c>
      <c r="H157" t="s">
        <v>191</v>
      </c>
      <c r="I157">
        <v>0.11</v>
      </c>
      <c r="J157">
        <f t="shared" si="6"/>
        <v>88</v>
      </c>
      <c r="K157">
        <v>0</v>
      </c>
      <c r="L157">
        <f t="shared" si="7"/>
        <v>88</v>
      </c>
      <c r="M157" s="4">
        <f t="shared" si="8"/>
        <v>0.11</v>
      </c>
      <c r="N157">
        <v>800</v>
      </c>
      <c r="O157">
        <v>800</v>
      </c>
      <c r="P157" t="s">
        <v>25</v>
      </c>
      <c r="Q157" t="s">
        <v>26</v>
      </c>
      <c r="R157" t="str">
        <f>IF(COUNTIF(Sheet2!B:B, A157) &gt; 0, "Yes", "No")</f>
        <v>No</v>
      </c>
    </row>
    <row r="158" spans="1:18" x14ac:dyDescent="0.25">
      <c r="A158" s="3">
        <v>45063</v>
      </c>
      <c r="B158" t="s">
        <v>142</v>
      </c>
      <c r="C158" t="s">
        <v>51</v>
      </c>
      <c r="D158" t="s">
        <v>20</v>
      </c>
      <c r="E158" t="s">
        <v>21</v>
      </c>
      <c r="F158" t="s">
        <v>30</v>
      </c>
      <c r="G158" t="s">
        <v>55</v>
      </c>
      <c r="H158" t="s">
        <v>134</v>
      </c>
      <c r="I158">
        <v>0.09</v>
      </c>
      <c r="J158">
        <f t="shared" si="6"/>
        <v>72</v>
      </c>
      <c r="K158">
        <v>0</v>
      </c>
      <c r="L158">
        <f t="shared" si="7"/>
        <v>72</v>
      </c>
      <c r="M158" s="4">
        <f t="shared" si="8"/>
        <v>0.09</v>
      </c>
      <c r="N158">
        <v>800</v>
      </c>
      <c r="O158">
        <v>800</v>
      </c>
      <c r="P158" t="s">
        <v>25</v>
      </c>
      <c r="Q158" t="s">
        <v>26</v>
      </c>
      <c r="R158" t="str">
        <f>IF(COUNTIF(Sheet2!B:B, A158) &gt; 0, "Yes", "No")</f>
        <v>No</v>
      </c>
    </row>
    <row r="159" spans="1:18" x14ac:dyDescent="0.25">
      <c r="A159" s="3">
        <v>45063</v>
      </c>
      <c r="B159" t="s">
        <v>142</v>
      </c>
      <c r="C159" t="s">
        <v>51</v>
      </c>
      <c r="D159" t="s">
        <v>33</v>
      </c>
      <c r="E159" t="s">
        <v>21</v>
      </c>
      <c r="F159" t="s">
        <v>34</v>
      </c>
      <c r="G159" t="s">
        <v>57</v>
      </c>
      <c r="H159" t="s">
        <v>192</v>
      </c>
      <c r="I159">
        <v>0.15</v>
      </c>
      <c r="J159">
        <f t="shared" si="6"/>
        <v>60</v>
      </c>
      <c r="K159">
        <v>0</v>
      </c>
      <c r="L159">
        <f t="shared" si="7"/>
        <v>60</v>
      </c>
      <c r="M159" s="4">
        <f t="shared" si="8"/>
        <v>0.15</v>
      </c>
      <c r="N159">
        <v>400</v>
      </c>
      <c r="O159">
        <v>400</v>
      </c>
      <c r="P159" t="s">
        <v>25</v>
      </c>
      <c r="Q159" t="s">
        <v>26</v>
      </c>
      <c r="R159" t="str">
        <f>IF(COUNTIF(Sheet2!B:B, A159) &gt; 0, "Yes", "No")</f>
        <v>No</v>
      </c>
    </row>
    <row r="160" spans="1:18" x14ac:dyDescent="0.25">
      <c r="A160" s="3">
        <v>45063</v>
      </c>
      <c r="B160" t="s">
        <v>142</v>
      </c>
      <c r="C160" t="s">
        <v>51</v>
      </c>
      <c r="D160" t="s">
        <v>20</v>
      </c>
      <c r="E160" t="s">
        <v>21</v>
      </c>
      <c r="F160" t="s">
        <v>37</v>
      </c>
      <c r="G160" t="s">
        <v>38</v>
      </c>
      <c r="H160" t="s">
        <v>39</v>
      </c>
      <c r="I160">
        <v>0.03</v>
      </c>
      <c r="J160">
        <f t="shared" si="6"/>
        <v>24</v>
      </c>
      <c r="K160">
        <v>2</v>
      </c>
      <c r="L160">
        <f t="shared" si="7"/>
        <v>22</v>
      </c>
      <c r="M160" s="4">
        <f t="shared" si="8"/>
        <v>2.75E-2</v>
      </c>
      <c r="N160">
        <v>800</v>
      </c>
      <c r="O160">
        <v>800</v>
      </c>
      <c r="P160" t="s">
        <v>25</v>
      </c>
      <c r="Q160" t="s">
        <v>26</v>
      </c>
      <c r="R160" t="str">
        <f>IF(COUNTIF(Sheet2!B:B, A160) &gt; 0, "Yes", "No")</f>
        <v>No</v>
      </c>
    </row>
    <row r="161" spans="1:18" x14ac:dyDescent="0.25">
      <c r="A161" s="3">
        <v>45063</v>
      </c>
      <c r="B161" t="s">
        <v>142</v>
      </c>
      <c r="C161" t="s">
        <v>51</v>
      </c>
      <c r="D161" t="s">
        <v>20</v>
      </c>
      <c r="E161" t="s">
        <v>21</v>
      </c>
      <c r="F161" t="s">
        <v>40</v>
      </c>
      <c r="G161" t="s">
        <v>164</v>
      </c>
      <c r="H161" t="s">
        <v>193</v>
      </c>
      <c r="I161">
        <v>4.4999999999999998E-2</v>
      </c>
      <c r="J161">
        <f t="shared" si="6"/>
        <v>36</v>
      </c>
      <c r="K161">
        <v>0</v>
      </c>
      <c r="L161">
        <f t="shared" si="7"/>
        <v>36</v>
      </c>
      <c r="M161" s="4">
        <f t="shared" si="8"/>
        <v>4.4999999999999998E-2</v>
      </c>
      <c r="N161">
        <v>800</v>
      </c>
      <c r="O161">
        <v>800</v>
      </c>
      <c r="P161" t="s">
        <v>25</v>
      </c>
      <c r="Q161" t="s">
        <v>26</v>
      </c>
      <c r="R161" t="str">
        <f>IF(COUNTIF(Sheet2!B:B, A161) &gt; 0, "Yes", "No")</f>
        <v>No</v>
      </c>
    </row>
    <row r="162" spans="1:18" x14ac:dyDescent="0.25">
      <c r="A162" s="3">
        <v>45063</v>
      </c>
      <c r="B162" t="s">
        <v>142</v>
      </c>
      <c r="C162" t="s">
        <v>51</v>
      </c>
      <c r="D162" t="s">
        <v>20</v>
      </c>
      <c r="E162" t="s">
        <v>21</v>
      </c>
      <c r="F162" t="s">
        <v>43</v>
      </c>
      <c r="G162" t="s">
        <v>90</v>
      </c>
      <c r="H162" t="s">
        <v>194</v>
      </c>
      <c r="I162">
        <v>0.11</v>
      </c>
      <c r="J162">
        <f t="shared" si="6"/>
        <v>88</v>
      </c>
      <c r="K162">
        <v>9</v>
      </c>
      <c r="L162">
        <f t="shared" si="7"/>
        <v>79</v>
      </c>
      <c r="M162" s="4">
        <f t="shared" si="8"/>
        <v>9.8750000000000004E-2</v>
      </c>
      <c r="N162">
        <v>800</v>
      </c>
      <c r="O162">
        <v>800</v>
      </c>
      <c r="P162" t="s">
        <v>25</v>
      </c>
      <c r="Q162" t="s">
        <v>26</v>
      </c>
      <c r="R162" t="str">
        <f>IF(COUNTIF(Sheet2!B:B, A162) &gt; 0, "Yes", "No")</f>
        <v>No</v>
      </c>
    </row>
    <row r="163" spans="1:18" x14ac:dyDescent="0.25">
      <c r="A163" s="3">
        <v>45063</v>
      </c>
      <c r="B163" t="s">
        <v>142</v>
      </c>
      <c r="C163" t="s">
        <v>51</v>
      </c>
      <c r="D163" t="s">
        <v>20</v>
      </c>
      <c r="E163" t="s">
        <v>21</v>
      </c>
      <c r="F163" t="s">
        <v>46</v>
      </c>
      <c r="G163" t="s">
        <v>130</v>
      </c>
      <c r="H163" t="s">
        <v>195</v>
      </c>
      <c r="I163">
        <v>8.5000000000000006E-2</v>
      </c>
      <c r="J163">
        <f t="shared" si="6"/>
        <v>68</v>
      </c>
      <c r="K163">
        <v>3</v>
      </c>
      <c r="L163">
        <f t="shared" si="7"/>
        <v>65</v>
      </c>
      <c r="M163" s="4">
        <f t="shared" si="8"/>
        <v>8.1250000000000003E-2</v>
      </c>
      <c r="N163">
        <v>800</v>
      </c>
      <c r="O163">
        <v>800</v>
      </c>
      <c r="P163" t="s">
        <v>25</v>
      </c>
      <c r="Q163" t="s">
        <v>26</v>
      </c>
      <c r="R163" t="str">
        <f>IF(COUNTIF(Sheet2!B:B, A163) &gt; 0, "Yes", "No")</f>
        <v>No</v>
      </c>
    </row>
    <row r="164" spans="1:18" x14ac:dyDescent="0.25">
      <c r="A164" s="3">
        <v>45063</v>
      </c>
      <c r="B164" t="s">
        <v>142</v>
      </c>
      <c r="C164" t="s">
        <v>51</v>
      </c>
      <c r="D164" t="s">
        <v>20</v>
      </c>
      <c r="E164" t="s">
        <v>21</v>
      </c>
      <c r="F164" t="s">
        <v>49</v>
      </c>
      <c r="G164" t="s">
        <v>50</v>
      </c>
      <c r="H164" t="s">
        <v>49</v>
      </c>
      <c r="I164">
        <v>0.09</v>
      </c>
      <c r="J164">
        <f t="shared" si="6"/>
        <v>72</v>
      </c>
      <c r="K164">
        <v>0</v>
      </c>
      <c r="L164">
        <f t="shared" si="7"/>
        <v>72</v>
      </c>
      <c r="M164" s="4">
        <f t="shared" si="8"/>
        <v>0.09</v>
      </c>
      <c r="N164">
        <v>800</v>
      </c>
      <c r="O164">
        <v>800</v>
      </c>
      <c r="P164" t="s">
        <v>25</v>
      </c>
      <c r="Q164" t="s">
        <v>26</v>
      </c>
      <c r="R164" t="str">
        <f>IF(COUNTIF(Sheet2!B:B, A164) &gt; 0, "Yes", "No")</f>
        <v>No</v>
      </c>
    </row>
    <row r="165" spans="1:18" x14ac:dyDescent="0.25">
      <c r="A165" s="3">
        <v>45064</v>
      </c>
      <c r="B165" t="s">
        <v>142</v>
      </c>
      <c r="C165" t="s">
        <v>66</v>
      </c>
      <c r="D165" t="s">
        <v>20</v>
      </c>
      <c r="E165" t="s">
        <v>67</v>
      </c>
      <c r="F165" t="s">
        <v>22</v>
      </c>
      <c r="G165" t="s">
        <v>23</v>
      </c>
      <c r="H165" t="s">
        <v>196</v>
      </c>
      <c r="I165">
        <v>8.5000000000000006E-2</v>
      </c>
      <c r="J165">
        <f t="shared" si="6"/>
        <v>59.500000000000007</v>
      </c>
      <c r="K165">
        <v>0</v>
      </c>
      <c r="L165">
        <f t="shared" si="7"/>
        <v>59.500000000000007</v>
      </c>
      <c r="M165" s="4">
        <f t="shared" si="8"/>
        <v>8.5000000000000006E-2</v>
      </c>
      <c r="N165">
        <v>700</v>
      </c>
      <c r="O165">
        <v>700</v>
      </c>
      <c r="P165" t="s">
        <v>25</v>
      </c>
      <c r="Q165" t="s">
        <v>26</v>
      </c>
      <c r="R165" t="str">
        <f>IF(COUNTIF(Sheet2!B:B, A165) &gt; 0, "Yes", "No")</f>
        <v>No</v>
      </c>
    </row>
    <row r="166" spans="1:18" x14ac:dyDescent="0.25">
      <c r="A166" s="3">
        <v>45064</v>
      </c>
      <c r="B166" t="s">
        <v>142</v>
      </c>
      <c r="C166" t="s">
        <v>66</v>
      </c>
      <c r="D166" t="s">
        <v>20</v>
      </c>
      <c r="E166" t="s">
        <v>67</v>
      </c>
      <c r="F166" t="s">
        <v>27</v>
      </c>
      <c r="G166" t="s">
        <v>28</v>
      </c>
      <c r="H166" t="s">
        <v>124</v>
      </c>
      <c r="I166">
        <v>0.11</v>
      </c>
      <c r="J166">
        <f t="shared" si="6"/>
        <v>77</v>
      </c>
      <c r="K166">
        <v>7</v>
      </c>
      <c r="L166">
        <f t="shared" si="7"/>
        <v>70</v>
      </c>
      <c r="M166" s="4">
        <f t="shared" si="8"/>
        <v>0.1</v>
      </c>
      <c r="N166">
        <v>700</v>
      </c>
      <c r="O166">
        <v>700</v>
      </c>
      <c r="P166" t="s">
        <v>25</v>
      </c>
      <c r="Q166" t="s">
        <v>26</v>
      </c>
      <c r="R166" t="str">
        <f>IF(COUNTIF(Sheet2!B:B, A166) &gt; 0, "Yes", "No")</f>
        <v>No</v>
      </c>
    </row>
    <row r="167" spans="1:18" x14ac:dyDescent="0.25">
      <c r="A167" s="3">
        <v>45064</v>
      </c>
      <c r="B167" t="s">
        <v>142</v>
      </c>
      <c r="C167" t="s">
        <v>66</v>
      </c>
      <c r="D167" t="s">
        <v>20</v>
      </c>
      <c r="E167" t="s">
        <v>67</v>
      </c>
      <c r="F167" t="s">
        <v>30</v>
      </c>
      <c r="G167" t="s">
        <v>31</v>
      </c>
      <c r="H167" t="s">
        <v>70</v>
      </c>
      <c r="I167">
        <v>0.09</v>
      </c>
      <c r="J167">
        <f t="shared" si="6"/>
        <v>63</v>
      </c>
      <c r="K167">
        <v>0</v>
      </c>
      <c r="L167">
        <f t="shared" si="7"/>
        <v>63</v>
      </c>
      <c r="M167" s="4">
        <f t="shared" si="8"/>
        <v>0.09</v>
      </c>
      <c r="N167">
        <v>700</v>
      </c>
      <c r="O167">
        <v>700</v>
      </c>
      <c r="P167" t="s">
        <v>25</v>
      </c>
      <c r="Q167" t="s">
        <v>26</v>
      </c>
      <c r="R167" t="str">
        <f>IF(COUNTIF(Sheet2!B:B, A167) &gt; 0, "Yes", "No")</f>
        <v>No</v>
      </c>
    </row>
    <row r="168" spans="1:18" x14ac:dyDescent="0.25">
      <c r="A168" s="3">
        <v>45064</v>
      </c>
      <c r="B168" t="s">
        <v>142</v>
      </c>
      <c r="C168" t="s">
        <v>66</v>
      </c>
      <c r="D168" t="s">
        <v>20</v>
      </c>
      <c r="E168" t="s">
        <v>67</v>
      </c>
      <c r="F168" t="s">
        <v>37</v>
      </c>
      <c r="G168" t="s">
        <v>108</v>
      </c>
      <c r="H168" t="s">
        <v>109</v>
      </c>
      <c r="I168">
        <v>3.5000000000000003E-2</v>
      </c>
      <c r="J168">
        <f t="shared" si="6"/>
        <v>24.500000000000004</v>
      </c>
      <c r="K168">
        <v>1</v>
      </c>
      <c r="L168">
        <f t="shared" si="7"/>
        <v>23.500000000000004</v>
      </c>
      <c r="M168" s="4">
        <f t="shared" si="8"/>
        <v>3.3571428571428578E-2</v>
      </c>
      <c r="N168">
        <v>700</v>
      </c>
      <c r="O168">
        <v>700</v>
      </c>
      <c r="P168" t="s">
        <v>25</v>
      </c>
      <c r="Q168" t="s">
        <v>26</v>
      </c>
      <c r="R168" t="str">
        <f>IF(COUNTIF(Sheet2!B:B, A168) &gt; 0, "Yes", "No")</f>
        <v>No</v>
      </c>
    </row>
    <row r="169" spans="1:18" x14ac:dyDescent="0.25">
      <c r="A169" s="3">
        <v>45064</v>
      </c>
      <c r="B169" t="s">
        <v>142</v>
      </c>
      <c r="C169" t="s">
        <v>66</v>
      </c>
      <c r="D169" t="s">
        <v>20</v>
      </c>
      <c r="E169" t="s">
        <v>67</v>
      </c>
      <c r="F169" t="s">
        <v>40</v>
      </c>
      <c r="G169" t="s">
        <v>137</v>
      </c>
      <c r="H169" t="s">
        <v>197</v>
      </c>
      <c r="I169">
        <v>0.05</v>
      </c>
      <c r="J169">
        <f t="shared" si="6"/>
        <v>35</v>
      </c>
      <c r="K169">
        <v>0</v>
      </c>
      <c r="L169">
        <f t="shared" si="7"/>
        <v>35</v>
      </c>
      <c r="M169" s="4">
        <f t="shared" si="8"/>
        <v>0.05</v>
      </c>
      <c r="N169">
        <v>700</v>
      </c>
      <c r="O169">
        <v>700</v>
      </c>
      <c r="P169" t="s">
        <v>25</v>
      </c>
      <c r="Q169" t="s">
        <v>26</v>
      </c>
      <c r="R169" t="str">
        <f>IF(COUNTIF(Sheet2!B:B, A169) &gt; 0, "Yes", "No")</f>
        <v>No</v>
      </c>
    </row>
    <row r="170" spans="1:18" x14ac:dyDescent="0.25">
      <c r="A170" s="3">
        <v>45064</v>
      </c>
      <c r="B170" t="s">
        <v>142</v>
      </c>
      <c r="C170" t="s">
        <v>66</v>
      </c>
      <c r="D170" t="s">
        <v>20</v>
      </c>
      <c r="E170" t="s">
        <v>67</v>
      </c>
      <c r="F170" t="s">
        <v>43</v>
      </c>
      <c r="G170" t="s">
        <v>44</v>
      </c>
      <c r="H170" t="s">
        <v>198</v>
      </c>
      <c r="I170">
        <v>0.11</v>
      </c>
      <c r="J170">
        <f t="shared" si="6"/>
        <v>77</v>
      </c>
      <c r="K170">
        <v>0</v>
      </c>
      <c r="L170">
        <f t="shared" si="7"/>
        <v>77</v>
      </c>
      <c r="M170" s="4">
        <f t="shared" si="8"/>
        <v>0.11</v>
      </c>
      <c r="N170">
        <v>700</v>
      </c>
      <c r="O170">
        <v>700</v>
      </c>
      <c r="P170" t="s">
        <v>25</v>
      </c>
      <c r="Q170" t="s">
        <v>26</v>
      </c>
      <c r="R170" t="str">
        <f>IF(COUNTIF(Sheet2!B:B, A170) &gt; 0, "Yes", "No")</f>
        <v>No</v>
      </c>
    </row>
    <row r="171" spans="1:18" x14ac:dyDescent="0.25">
      <c r="A171" s="3">
        <v>45064</v>
      </c>
      <c r="B171" t="s">
        <v>142</v>
      </c>
      <c r="C171" t="s">
        <v>66</v>
      </c>
      <c r="D171" t="s">
        <v>20</v>
      </c>
      <c r="E171" t="s">
        <v>67</v>
      </c>
      <c r="F171" t="s">
        <v>46</v>
      </c>
      <c r="G171" t="s">
        <v>47</v>
      </c>
      <c r="H171" t="s">
        <v>65</v>
      </c>
      <c r="I171">
        <v>8.5000000000000006E-2</v>
      </c>
      <c r="J171">
        <f t="shared" si="6"/>
        <v>59.500000000000007</v>
      </c>
      <c r="K171">
        <v>6</v>
      </c>
      <c r="L171">
        <f t="shared" si="7"/>
        <v>53.500000000000007</v>
      </c>
      <c r="M171" s="4">
        <f t="shared" si="8"/>
        <v>7.6428571428571443E-2</v>
      </c>
      <c r="N171">
        <v>700</v>
      </c>
      <c r="O171">
        <v>700</v>
      </c>
      <c r="P171" t="s">
        <v>25</v>
      </c>
      <c r="Q171" t="s">
        <v>26</v>
      </c>
      <c r="R171" t="str">
        <f>IF(COUNTIF(Sheet2!B:B, A171) &gt; 0, "Yes", "No")</f>
        <v>No</v>
      </c>
    </row>
    <row r="172" spans="1:18" x14ac:dyDescent="0.25">
      <c r="A172" s="3">
        <v>45064</v>
      </c>
      <c r="B172" t="s">
        <v>142</v>
      </c>
      <c r="C172" t="s">
        <v>66</v>
      </c>
      <c r="D172" t="s">
        <v>20</v>
      </c>
      <c r="E172" t="s">
        <v>67</v>
      </c>
      <c r="F172" t="s">
        <v>49</v>
      </c>
      <c r="G172" t="s">
        <v>50</v>
      </c>
      <c r="H172" t="s">
        <v>49</v>
      </c>
      <c r="I172">
        <v>0.09</v>
      </c>
      <c r="J172">
        <f t="shared" si="6"/>
        <v>63</v>
      </c>
      <c r="K172">
        <v>0</v>
      </c>
      <c r="L172">
        <f t="shared" si="7"/>
        <v>63</v>
      </c>
      <c r="M172" s="4">
        <f t="shared" si="8"/>
        <v>0.09</v>
      </c>
      <c r="N172">
        <v>700</v>
      </c>
      <c r="O172">
        <v>700</v>
      </c>
      <c r="P172" t="s">
        <v>25</v>
      </c>
      <c r="Q172" t="s">
        <v>26</v>
      </c>
      <c r="R172" t="str">
        <f>IF(COUNTIF(Sheet2!B:B, A172) &gt; 0, "Yes", "No")</f>
        <v>No</v>
      </c>
    </row>
    <row r="173" spans="1:18" x14ac:dyDescent="0.25">
      <c r="A173" s="3">
        <v>45065</v>
      </c>
      <c r="B173" t="s">
        <v>142</v>
      </c>
      <c r="C173" t="s">
        <v>79</v>
      </c>
      <c r="D173" t="s">
        <v>20</v>
      </c>
      <c r="E173" t="s">
        <v>21</v>
      </c>
      <c r="F173" t="s">
        <v>22</v>
      </c>
      <c r="G173" t="s">
        <v>94</v>
      </c>
      <c r="H173" t="s">
        <v>199</v>
      </c>
      <c r="I173" s="5">
        <v>0.06</v>
      </c>
      <c r="J173">
        <f t="shared" si="6"/>
        <v>39</v>
      </c>
      <c r="K173">
        <v>3</v>
      </c>
      <c r="L173">
        <f t="shared" si="7"/>
        <v>36</v>
      </c>
      <c r="M173" s="4">
        <f t="shared" si="8"/>
        <v>5.5384615384615386E-2</v>
      </c>
      <c r="N173">
        <v>650</v>
      </c>
      <c r="O173">
        <v>650</v>
      </c>
      <c r="P173" t="s">
        <v>25</v>
      </c>
      <c r="Q173" t="s">
        <v>26</v>
      </c>
      <c r="R173" t="str">
        <f>IF(COUNTIF(Sheet2!B:B, A173) &gt; 0, "Yes", "No")</f>
        <v>Yes</v>
      </c>
    </row>
    <row r="174" spans="1:18" x14ac:dyDescent="0.25">
      <c r="A174" s="3">
        <v>45065</v>
      </c>
      <c r="B174" t="s">
        <v>142</v>
      </c>
      <c r="C174" t="s">
        <v>79</v>
      </c>
      <c r="D174" t="s">
        <v>20</v>
      </c>
      <c r="E174" t="s">
        <v>21</v>
      </c>
      <c r="F174" t="s">
        <v>27</v>
      </c>
      <c r="G174" t="s">
        <v>81</v>
      </c>
      <c r="H174" t="s">
        <v>200</v>
      </c>
      <c r="I174" s="5">
        <v>0.1</v>
      </c>
      <c r="J174">
        <f t="shared" si="6"/>
        <v>65</v>
      </c>
      <c r="K174">
        <v>0</v>
      </c>
      <c r="L174">
        <f t="shared" si="7"/>
        <v>65</v>
      </c>
      <c r="M174" s="4">
        <f t="shared" si="8"/>
        <v>0.1</v>
      </c>
      <c r="N174">
        <v>650</v>
      </c>
      <c r="O174">
        <v>650</v>
      </c>
      <c r="P174" t="s">
        <v>25</v>
      </c>
      <c r="Q174" t="s">
        <v>26</v>
      </c>
      <c r="R174" t="str">
        <f>IF(COUNTIF(Sheet2!B:B, A174) &gt; 0, "Yes", "No")</f>
        <v>Yes</v>
      </c>
    </row>
    <row r="175" spans="1:18" x14ac:dyDescent="0.25">
      <c r="A175" s="3">
        <v>45065</v>
      </c>
      <c r="B175" t="s">
        <v>142</v>
      </c>
      <c r="C175" t="s">
        <v>79</v>
      </c>
      <c r="D175" t="s">
        <v>20</v>
      </c>
      <c r="E175" t="s">
        <v>21</v>
      </c>
      <c r="F175" t="s">
        <v>30</v>
      </c>
      <c r="G175" t="s">
        <v>55</v>
      </c>
      <c r="H175" t="s">
        <v>56</v>
      </c>
      <c r="I175" s="5">
        <v>0.06</v>
      </c>
      <c r="J175">
        <f t="shared" si="6"/>
        <v>39</v>
      </c>
      <c r="K175">
        <v>0</v>
      </c>
      <c r="L175">
        <f t="shared" si="7"/>
        <v>39</v>
      </c>
      <c r="M175" s="4">
        <f t="shared" si="8"/>
        <v>0.06</v>
      </c>
      <c r="N175">
        <v>650</v>
      </c>
      <c r="O175">
        <v>650</v>
      </c>
      <c r="P175" t="s">
        <v>25</v>
      </c>
      <c r="Q175" t="s">
        <v>26</v>
      </c>
      <c r="R175" t="str">
        <f>IF(COUNTIF(Sheet2!B:B, A175) &gt; 0, "Yes", "No")</f>
        <v>Yes</v>
      </c>
    </row>
    <row r="176" spans="1:18" x14ac:dyDescent="0.25">
      <c r="A176" s="3">
        <v>45065</v>
      </c>
      <c r="B176" t="s">
        <v>142</v>
      </c>
      <c r="C176" t="s">
        <v>79</v>
      </c>
      <c r="D176" t="s">
        <v>33</v>
      </c>
      <c r="E176" t="s">
        <v>21</v>
      </c>
      <c r="F176" t="s">
        <v>84</v>
      </c>
      <c r="G176" t="s">
        <v>85</v>
      </c>
      <c r="H176" t="s">
        <v>201</v>
      </c>
      <c r="I176" s="5">
        <v>0.3</v>
      </c>
      <c r="J176">
        <f t="shared" si="6"/>
        <v>97.5</v>
      </c>
      <c r="K176">
        <v>0</v>
      </c>
      <c r="L176">
        <f t="shared" si="7"/>
        <v>97.5</v>
      </c>
      <c r="M176" s="4">
        <f t="shared" si="8"/>
        <v>0.3</v>
      </c>
      <c r="N176">
        <v>325</v>
      </c>
      <c r="O176">
        <v>325</v>
      </c>
      <c r="P176" t="s">
        <v>25</v>
      </c>
      <c r="Q176" t="s">
        <v>26</v>
      </c>
      <c r="R176" t="str">
        <f>IF(COUNTIF(Sheet2!B:B, A176) &gt; 0, "Yes", "No")</f>
        <v>Yes</v>
      </c>
    </row>
    <row r="177" spans="1:18" x14ac:dyDescent="0.25">
      <c r="A177" s="3">
        <v>45065</v>
      </c>
      <c r="B177" t="s">
        <v>142</v>
      </c>
      <c r="C177" t="s">
        <v>79</v>
      </c>
      <c r="D177" t="s">
        <v>20</v>
      </c>
      <c r="E177" t="s">
        <v>21</v>
      </c>
      <c r="F177" t="s">
        <v>37</v>
      </c>
      <c r="G177" t="s">
        <v>87</v>
      </c>
      <c r="H177" t="s">
        <v>136</v>
      </c>
      <c r="I177" s="5">
        <v>2.5000000000000001E-2</v>
      </c>
      <c r="J177">
        <f t="shared" si="6"/>
        <v>16.25</v>
      </c>
      <c r="K177">
        <v>2</v>
      </c>
      <c r="L177">
        <f t="shared" si="7"/>
        <v>14.25</v>
      </c>
      <c r="M177" s="4">
        <f t="shared" si="8"/>
        <v>2.1923076923076924E-2</v>
      </c>
      <c r="N177">
        <v>650</v>
      </c>
      <c r="O177">
        <v>650</v>
      </c>
      <c r="P177" t="s">
        <v>25</v>
      </c>
      <c r="Q177" t="s">
        <v>26</v>
      </c>
      <c r="R177" t="str">
        <f>IF(COUNTIF(Sheet2!B:B, A177) &gt; 0, "Yes", "No")</f>
        <v>Yes</v>
      </c>
    </row>
    <row r="178" spans="1:18" x14ac:dyDescent="0.25">
      <c r="A178" s="3">
        <v>45065</v>
      </c>
      <c r="B178" t="s">
        <v>142</v>
      </c>
      <c r="C178" t="s">
        <v>79</v>
      </c>
      <c r="D178" t="s">
        <v>20</v>
      </c>
      <c r="E178" t="s">
        <v>21</v>
      </c>
      <c r="F178" t="s">
        <v>40</v>
      </c>
      <c r="G178" t="s">
        <v>164</v>
      </c>
      <c r="H178" t="s">
        <v>202</v>
      </c>
      <c r="I178" s="5">
        <v>0.04</v>
      </c>
      <c r="J178">
        <f t="shared" si="6"/>
        <v>26</v>
      </c>
      <c r="K178">
        <v>3</v>
      </c>
      <c r="L178">
        <f t="shared" si="7"/>
        <v>23</v>
      </c>
      <c r="M178" s="4">
        <f t="shared" si="8"/>
        <v>3.5384615384615382E-2</v>
      </c>
      <c r="N178">
        <v>650</v>
      </c>
      <c r="O178">
        <v>650</v>
      </c>
      <c r="P178" t="s">
        <v>25</v>
      </c>
      <c r="Q178" t="s">
        <v>26</v>
      </c>
      <c r="R178" t="str">
        <f>IF(COUNTIF(Sheet2!B:B, A178) &gt; 0, "Yes", "No")</f>
        <v>Yes</v>
      </c>
    </row>
    <row r="179" spans="1:18" x14ac:dyDescent="0.25">
      <c r="A179" s="3">
        <v>45065</v>
      </c>
      <c r="B179" t="s">
        <v>142</v>
      </c>
      <c r="C179" t="s">
        <v>79</v>
      </c>
      <c r="D179" t="s">
        <v>20</v>
      </c>
      <c r="E179" t="s">
        <v>21</v>
      </c>
      <c r="F179" t="s">
        <v>43</v>
      </c>
      <c r="G179" t="s">
        <v>75</v>
      </c>
      <c r="H179" t="s">
        <v>120</v>
      </c>
      <c r="I179" s="5">
        <v>7.4999999999999997E-2</v>
      </c>
      <c r="J179">
        <f t="shared" si="6"/>
        <v>48.75</v>
      </c>
      <c r="K179">
        <v>0</v>
      </c>
      <c r="L179">
        <f t="shared" si="7"/>
        <v>48.75</v>
      </c>
      <c r="M179" s="4">
        <f t="shared" si="8"/>
        <v>7.4999999999999997E-2</v>
      </c>
      <c r="N179">
        <v>650</v>
      </c>
      <c r="O179">
        <v>650</v>
      </c>
      <c r="P179" t="s">
        <v>25</v>
      </c>
      <c r="Q179" t="s">
        <v>26</v>
      </c>
      <c r="R179" t="str">
        <f>IF(COUNTIF(Sheet2!B:B, A179) &gt; 0, "Yes", "No")</f>
        <v>Yes</v>
      </c>
    </row>
    <row r="180" spans="1:18" x14ac:dyDescent="0.25">
      <c r="A180" s="3">
        <v>45065</v>
      </c>
      <c r="B180" t="s">
        <v>142</v>
      </c>
      <c r="C180" t="s">
        <v>79</v>
      </c>
      <c r="D180" t="s">
        <v>20</v>
      </c>
      <c r="E180" t="s">
        <v>21</v>
      </c>
      <c r="F180" t="s">
        <v>46</v>
      </c>
      <c r="G180" t="s">
        <v>77</v>
      </c>
      <c r="H180" t="s">
        <v>203</v>
      </c>
      <c r="I180" s="5">
        <v>0.06</v>
      </c>
      <c r="J180">
        <f t="shared" si="6"/>
        <v>39</v>
      </c>
      <c r="K180">
        <v>7</v>
      </c>
      <c r="L180">
        <f t="shared" si="7"/>
        <v>32</v>
      </c>
      <c r="M180" s="4">
        <f t="shared" si="8"/>
        <v>4.9230769230769231E-2</v>
      </c>
      <c r="N180">
        <v>650</v>
      </c>
      <c r="O180">
        <v>650</v>
      </c>
      <c r="P180" t="s">
        <v>25</v>
      </c>
      <c r="Q180" t="s">
        <v>26</v>
      </c>
      <c r="R180" t="str">
        <f>IF(COUNTIF(Sheet2!B:B, A180) &gt; 0, "Yes", "No")</f>
        <v>Yes</v>
      </c>
    </row>
    <row r="181" spans="1:18" x14ac:dyDescent="0.25">
      <c r="A181" s="3">
        <v>45065</v>
      </c>
      <c r="B181" t="s">
        <v>142</v>
      </c>
      <c r="C181" t="s">
        <v>79</v>
      </c>
      <c r="D181" t="s">
        <v>20</v>
      </c>
      <c r="E181" t="s">
        <v>21</v>
      </c>
      <c r="F181" t="s">
        <v>49</v>
      </c>
      <c r="G181" t="s">
        <v>50</v>
      </c>
      <c r="H181" t="s">
        <v>49</v>
      </c>
      <c r="I181" s="5">
        <v>0.04</v>
      </c>
      <c r="J181">
        <f t="shared" si="6"/>
        <v>26</v>
      </c>
      <c r="K181">
        <v>0</v>
      </c>
      <c r="L181">
        <f t="shared" si="7"/>
        <v>26</v>
      </c>
      <c r="M181" s="4">
        <f t="shared" si="8"/>
        <v>0.04</v>
      </c>
      <c r="N181">
        <v>650</v>
      </c>
      <c r="O181">
        <v>650</v>
      </c>
      <c r="P181" t="s">
        <v>25</v>
      </c>
      <c r="Q181" t="s">
        <v>26</v>
      </c>
      <c r="R181" t="str">
        <f>IF(COUNTIF(Sheet2!B:B, A181) &gt; 0, "Yes", "No")</f>
        <v>Yes</v>
      </c>
    </row>
    <row r="182" spans="1:18" x14ac:dyDescent="0.25">
      <c r="A182" s="3">
        <v>45068</v>
      </c>
      <c r="B182" t="s">
        <v>142</v>
      </c>
      <c r="C182" t="s">
        <v>19</v>
      </c>
      <c r="D182" t="s">
        <v>20</v>
      </c>
      <c r="E182" t="s">
        <v>21</v>
      </c>
      <c r="F182" t="s">
        <v>22</v>
      </c>
      <c r="G182" t="s">
        <v>94</v>
      </c>
      <c r="H182" t="s">
        <v>199</v>
      </c>
      <c r="I182">
        <v>0.06</v>
      </c>
      <c r="J182">
        <f t="shared" si="6"/>
        <v>42</v>
      </c>
      <c r="K182">
        <v>4</v>
      </c>
      <c r="L182">
        <f t="shared" si="7"/>
        <v>38</v>
      </c>
      <c r="M182" s="4">
        <f t="shared" si="8"/>
        <v>5.4285714285714284E-2</v>
      </c>
      <c r="N182">
        <v>700</v>
      </c>
      <c r="O182">
        <v>700</v>
      </c>
      <c r="P182" t="s">
        <v>25</v>
      </c>
      <c r="Q182" t="s">
        <v>26</v>
      </c>
      <c r="R182" t="str">
        <f>IF(COUNTIF(Sheet2!B:B, A182) &gt; 0, "Yes", "No")</f>
        <v>No</v>
      </c>
    </row>
    <row r="183" spans="1:18" x14ac:dyDescent="0.25">
      <c r="A183" s="3">
        <v>45068</v>
      </c>
      <c r="B183" t="s">
        <v>142</v>
      </c>
      <c r="C183" t="s">
        <v>19</v>
      </c>
      <c r="D183" t="s">
        <v>20</v>
      </c>
      <c r="E183" t="s">
        <v>21</v>
      </c>
      <c r="F183" t="s">
        <v>27</v>
      </c>
      <c r="G183" t="s">
        <v>28</v>
      </c>
      <c r="H183" t="s">
        <v>204</v>
      </c>
      <c r="I183">
        <v>0.1</v>
      </c>
      <c r="J183">
        <f t="shared" si="6"/>
        <v>70</v>
      </c>
      <c r="K183">
        <v>3</v>
      </c>
      <c r="L183">
        <f t="shared" si="7"/>
        <v>67</v>
      </c>
      <c r="M183" s="4">
        <f t="shared" si="8"/>
        <v>9.571428571428571E-2</v>
      </c>
      <c r="N183">
        <v>700</v>
      </c>
      <c r="O183">
        <v>700</v>
      </c>
      <c r="P183" t="s">
        <v>25</v>
      </c>
      <c r="Q183" t="s">
        <v>26</v>
      </c>
      <c r="R183" t="str">
        <f>IF(COUNTIF(Sheet2!B:B, A183) &gt; 0, "Yes", "No")</f>
        <v>No</v>
      </c>
    </row>
    <row r="184" spans="1:18" x14ac:dyDescent="0.25">
      <c r="A184" s="3">
        <v>45068</v>
      </c>
      <c r="B184" t="s">
        <v>142</v>
      </c>
      <c r="C184" t="s">
        <v>19</v>
      </c>
      <c r="D184" t="s">
        <v>20</v>
      </c>
      <c r="E184" t="s">
        <v>21</v>
      </c>
      <c r="F184" t="s">
        <v>30</v>
      </c>
      <c r="G184" t="s">
        <v>55</v>
      </c>
      <c r="H184" t="s">
        <v>97</v>
      </c>
      <c r="I184">
        <v>0.09</v>
      </c>
      <c r="J184">
        <f t="shared" si="6"/>
        <v>63</v>
      </c>
      <c r="K184">
        <v>0</v>
      </c>
      <c r="L184">
        <f t="shared" si="7"/>
        <v>63</v>
      </c>
      <c r="M184" s="4">
        <f t="shared" si="8"/>
        <v>0.09</v>
      </c>
      <c r="N184">
        <v>700</v>
      </c>
      <c r="O184">
        <v>700</v>
      </c>
      <c r="P184" t="s">
        <v>25</v>
      </c>
      <c r="Q184" t="s">
        <v>26</v>
      </c>
      <c r="R184" t="str">
        <f>IF(COUNTIF(Sheet2!B:B, A184) &gt; 0, "Yes", "No")</f>
        <v>No</v>
      </c>
    </row>
    <row r="185" spans="1:18" x14ac:dyDescent="0.25">
      <c r="A185" s="3">
        <v>45068</v>
      </c>
      <c r="B185" t="s">
        <v>142</v>
      </c>
      <c r="C185" t="s">
        <v>19</v>
      </c>
      <c r="D185" t="s">
        <v>33</v>
      </c>
      <c r="E185" t="s">
        <v>21</v>
      </c>
      <c r="F185" t="s">
        <v>34</v>
      </c>
      <c r="G185" t="s">
        <v>57</v>
      </c>
      <c r="H185" t="s">
        <v>98</v>
      </c>
      <c r="I185">
        <v>0.15</v>
      </c>
      <c r="J185">
        <f t="shared" si="6"/>
        <v>52.5</v>
      </c>
      <c r="K185">
        <v>0</v>
      </c>
      <c r="L185">
        <f t="shared" si="7"/>
        <v>52.5</v>
      </c>
      <c r="M185" s="4">
        <f t="shared" si="8"/>
        <v>0.15</v>
      </c>
      <c r="N185">
        <v>350</v>
      </c>
      <c r="O185">
        <v>350</v>
      </c>
      <c r="P185" t="s">
        <v>25</v>
      </c>
      <c r="Q185" t="s">
        <v>26</v>
      </c>
      <c r="R185" t="str">
        <f>IF(COUNTIF(Sheet2!B:B, A185) &gt; 0, "Yes", "No")</f>
        <v>No</v>
      </c>
    </row>
    <row r="186" spans="1:18" x14ac:dyDescent="0.25">
      <c r="A186" s="3">
        <v>45068</v>
      </c>
      <c r="B186" t="s">
        <v>142</v>
      </c>
      <c r="C186" t="s">
        <v>19</v>
      </c>
      <c r="D186" t="s">
        <v>20</v>
      </c>
      <c r="E186" t="s">
        <v>21</v>
      </c>
      <c r="F186" t="s">
        <v>37</v>
      </c>
      <c r="G186" t="s">
        <v>87</v>
      </c>
      <c r="H186" t="s">
        <v>88</v>
      </c>
      <c r="I186">
        <v>0.03</v>
      </c>
      <c r="J186">
        <f t="shared" si="6"/>
        <v>21</v>
      </c>
      <c r="K186">
        <v>2</v>
      </c>
      <c r="L186">
        <f t="shared" si="7"/>
        <v>19</v>
      </c>
      <c r="M186" s="4">
        <f t="shared" si="8"/>
        <v>2.7142857142857142E-2</v>
      </c>
      <c r="N186">
        <v>700</v>
      </c>
      <c r="O186">
        <v>700</v>
      </c>
      <c r="P186" t="s">
        <v>25</v>
      </c>
      <c r="Q186" t="s">
        <v>26</v>
      </c>
      <c r="R186" t="str">
        <f>IF(COUNTIF(Sheet2!B:B, A186) &gt; 0, "Yes", "No")</f>
        <v>No</v>
      </c>
    </row>
    <row r="187" spans="1:18" x14ac:dyDescent="0.25">
      <c r="A187" s="3">
        <v>45068</v>
      </c>
      <c r="B187" t="s">
        <v>142</v>
      </c>
      <c r="C187" t="s">
        <v>19</v>
      </c>
      <c r="D187" t="s">
        <v>20</v>
      </c>
      <c r="E187" t="s">
        <v>21</v>
      </c>
      <c r="F187" t="s">
        <v>40</v>
      </c>
      <c r="G187" t="s">
        <v>41</v>
      </c>
      <c r="H187" t="s">
        <v>42</v>
      </c>
      <c r="I187">
        <v>4.4999999999999998E-2</v>
      </c>
      <c r="J187">
        <f t="shared" si="6"/>
        <v>31.5</v>
      </c>
      <c r="K187">
        <v>3</v>
      </c>
      <c r="L187">
        <f t="shared" si="7"/>
        <v>28.5</v>
      </c>
      <c r="M187" s="4">
        <f t="shared" si="8"/>
        <v>4.0714285714285717E-2</v>
      </c>
      <c r="N187">
        <v>700</v>
      </c>
      <c r="O187">
        <v>700</v>
      </c>
      <c r="P187" t="s">
        <v>25</v>
      </c>
      <c r="Q187" t="s">
        <v>26</v>
      </c>
      <c r="R187" t="str">
        <f>IF(COUNTIF(Sheet2!B:B, A187) &gt; 0, "Yes", "No")</f>
        <v>No</v>
      </c>
    </row>
    <row r="188" spans="1:18" x14ac:dyDescent="0.25">
      <c r="A188" s="3">
        <v>45068</v>
      </c>
      <c r="B188" t="s">
        <v>142</v>
      </c>
      <c r="C188" t="s">
        <v>19</v>
      </c>
      <c r="D188" t="s">
        <v>20</v>
      </c>
      <c r="E188" t="s">
        <v>21</v>
      </c>
      <c r="F188" t="s">
        <v>43</v>
      </c>
      <c r="G188" t="s">
        <v>44</v>
      </c>
      <c r="H188" t="s">
        <v>153</v>
      </c>
      <c r="I188">
        <v>0.11</v>
      </c>
      <c r="J188">
        <f t="shared" si="6"/>
        <v>77</v>
      </c>
      <c r="K188">
        <v>0</v>
      </c>
      <c r="L188">
        <f t="shared" si="7"/>
        <v>77</v>
      </c>
      <c r="M188" s="4">
        <f t="shared" si="8"/>
        <v>0.11</v>
      </c>
      <c r="N188">
        <v>700</v>
      </c>
      <c r="O188">
        <v>700</v>
      </c>
      <c r="P188" t="s">
        <v>25</v>
      </c>
      <c r="Q188" t="s">
        <v>26</v>
      </c>
      <c r="R188" t="str">
        <f>IF(COUNTIF(Sheet2!B:B, A188) &gt; 0, "Yes", "No")</f>
        <v>No</v>
      </c>
    </row>
    <row r="189" spans="1:18" x14ac:dyDescent="0.25">
      <c r="A189" s="3">
        <v>45068</v>
      </c>
      <c r="B189" t="s">
        <v>142</v>
      </c>
      <c r="C189" t="s">
        <v>19</v>
      </c>
      <c r="D189" t="s">
        <v>20</v>
      </c>
      <c r="E189" t="s">
        <v>21</v>
      </c>
      <c r="F189" t="s">
        <v>46</v>
      </c>
      <c r="G189" t="s">
        <v>92</v>
      </c>
      <c r="H189" t="s">
        <v>205</v>
      </c>
      <c r="I189">
        <v>8.5000000000000006E-2</v>
      </c>
      <c r="J189">
        <f t="shared" si="6"/>
        <v>59.500000000000007</v>
      </c>
      <c r="K189">
        <v>9</v>
      </c>
      <c r="L189">
        <f t="shared" si="7"/>
        <v>50.500000000000007</v>
      </c>
      <c r="M189" s="4">
        <f t="shared" si="8"/>
        <v>7.2142857142857147E-2</v>
      </c>
      <c r="N189">
        <v>700</v>
      </c>
      <c r="O189">
        <v>700</v>
      </c>
      <c r="P189" t="s">
        <v>25</v>
      </c>
      <c r="Q189" t="s">
        <v>26</v>
      </c>
      <c r="R189" t="str">
        <f>IF(COUNTIF(Sheet2!B:B, A189) &gt; 0, "Yes", "No")</f>
        <v>No</v>
      </c>
    </row>
    <row r="190" spans="1:18" x14ac:dyDescent="0.25">
      <c r="A190" s="3">
        <v>45068</v>
      </c>
      <c r="B190" t="s">
        <v>142</v>
      </c>
      <c r="C190" t="s">
        <v>19</v>
      </c>
      <c r="D190" t="s">
        <v>20</v>
      </c>
      <c r="E190" t="s">
        <v>21</v>
      </c>
      <c r="F190" t="s">
        <v>49</v>
      </c>
      <c r="G190" t="s">
        <v>50</v>
      </c>
      <c r="H190" t="s">
        <v>49</v>
      </c>
      <c r="I190">
        <v>0.09</v>
      </c>
      <c r="J190">
        <f t="shared" si="6"/>
        <v>63</v>
      </c>
      <c r="K190">
        <v>0</v>
      </c>
      <c r="L190">
        <f t="shared" si="7"/>
        <v>63</v>
      </c>
      <c r="M190" s="4">
        <f t="shared" si="8"/>
        <v>0.09</v>
      </c>
      <c r="N190">
        <v>700</v>
      </c>
      <c r="O190">
        <v>700</v>
      </c>
      <c r="P190" t="s">
        <v>25</v>
      </c>
      <c r="Q190" t="s">
        <v>26</v>
      </c>
      <c r="R190" t="str">
        <f>IF(COUNTIF(Sheet2!B:B, A190) &gt; 0, "Yes", "No")</f>
        <v>No</v>
      </c>
    </row>
    <row r="191" spans="1:18" x14ac:dyDescent="0.25">
      <c r="A191" s="3">
        <v>45069</v>
      </c>
      <c r="B191" t="s">
        <v>142</v>
      </c>
      <c r="C191" t="s">
        <v>105</v>
      </c>
      <c r="D191" t="s">
        <v>20</v>
      </c>
      <c r="E191" t="s">
        <v>67</v>
      </c>
      <c r="F191" t="s">
        <v>22</v>
      </c>
      <c r="G191" t="s">
        <v>122</v>
      </c>
      <c r="H191" t="s">
        <v>206</v>
      </c>
      <c r="I191">
        <v>8.5000000000000006E-2</v>
      </c>
      <c r="J191">
        <f t="shared" si="6"/>
        <v>59.500000000000007</v>
      </c>
      <c r="K191">
        <v>0</v>
      </c>
      <c r="L191">
        <f t="shared" si="7"/>
        <v>59.500000000000007</v>
      </c>
      <c r="M191" s="4">
        <f t="shared" si="8"/>
        <v>8.5000000000000006E-2</v>
      </c>
      <c r="N191">
        <v>700</v>
      </c>
      <c r="O191">
        <v>700</v>
      </c>
      <c r="P191" t="s">
        <v>25</v>
      </c>
      <c r="Q191" t="s">
        <v>26</v>
      </c>
      <c r="R191" t="str">
        <f>IF(COUNTIF(Sheet2!B:B, A191) &gt; 0, "Yes", "No")</f>
        <v>No</v>
      </c>
    </row>
    <row r="192" spans="1:18" x14ac:dyDescent="0.25">
      <c r="A192" s="3">
        <v>45069</v>
      </c>
      <c r="B192" t="s">
        <v>142</v>
      </c>
      <c r="C192" t="s">
        <v>105</v>
      </c>
      <c r="D192" t="s">
        <v>20</v>
      </c>
      <c r="E192" t="s">
        <v>67</v>
      </c>
      <c r="F192" t="s">
        <v>27</v>
      </c>
      <c r="G192" t="s">
        <v>28</v>
      </c>
      <c r="H192" t="s">
        <v>207</v>
      </c>
      <c r="I192">
        <v>0.11</v>
      </c>
      <c r="J192">
        <f t="shared" si="6"/>
        <v>77</v>
      </c>
      <c r="K192">
        <v>0</v>
      </c>
      <c r="L192">
        <f t="shared" si="7"/>
        <v>77</v>
      </c>
      <c r="M192" s="4">
        <f t="shared" si="8"/>
        <v>0.11</v>
      </c>
      <c r="N192">
        <v>700</v>
      </c>
      <c r="O192">
        <v>700</v>
      </c>
      <c r="P192" t="s">
        <v>25</v>
      </c>
      <c r="Q192" t="s">
        <v>26</v>
      </c>
      <c r="R192" t="str">
        <f>IF(COUNTIF(Sheet2!B:B, A192) &gt; 0, "Yes", "No")</f>
        <v>No</v>
      </c>
    </row>
    <row r="193" spans="1:18" x14ac:dyDescent="0.25">
      <c r="A193" s="3">
        <v>45069</v>
      </c>
      <c r="B193" t="s">
        <v>142</v>
      </c>
      <c r="C193" t="s">
        <v>105</v>
      </c>
      <c r="D193" t="s">
        <v>20</v>
      </c>
      <c r="E193" t="s">
        <v>67</v>
      </c>
      <c r="F193" t="s">
        <v>30</v>
      </c>
      <c r="G193" t="s">
        <v>31</v>
      </c>
      <c r="H193" t="s">
        <v>31</v>
      </c>
      <c r="I193">
        <v>0.09</v>
      </c>
      <c r="J193">
        <f t="shared" si="6"/>
        <v>63</v>
      </c>
      <c r="K193">
        <v>0</v>
      </c>
      <c r="L193">
        <f t="shared" si="7"/>
        <v>63</v>
      </c>
      <c r="M193" s="4">
        <f t="shared" si="8"/>
        <v>0.09</v>
      </c>
      <c r="N193">
        <v>700</v>
      </c>
      <c r="O193">
        <v>700</v>
      </c>
      <c r="P193" t="s">
        <v>25</v>
      </c>
      <c r="Q193" t="s">
        <v>26</v>
      </c>
      <c r="R193" t="str">
        <f>IF(COUNTIF(Sheet2!B:B, A193) &gt; 0, "Yes", "No")</f>
        <v>No</v>
      </c>
    </row>
    <row r="194" spans="1:18" x14ac:dyDescent="0.25">
      <c r="A194" s="3">
        <v>45069</v>
      </c>
      <c r="B194" t="s">
        <v>142</v>
      </c>
      <c r="C194" t="s">
        <v>105</v>
      </c>
      <c r="D194" t="s">
        <v>20</v>
      </c>
      <c r="E194" t="s">
        <v>67</v>
      </c>
      <c r="F194" t="s">
        <v>37</v>
      </c>
      <c r="G194" t="s">
        <v>117</v>
      </c>
      <c r="H194" t="s">
        <v>118</v>
      </c>
      <c r="I194">
        <v>3.5000000000000003E-2</v>
      </c>
      <c r="J194">
        <f t="shared" si="6"/>
        <v>24.500000000000004</v>
      </c>
      <c r="K194">
        <v>0</v>
      </c>
      <c r="L194">
        <f t="shared" si="7"/>
        <v>24.500000000000004</v>
      </c>
      <c r="M194" s="4">
        <f t="shared" si="8"/>
        <v>3.5000000000000003E-2</v>
      </c>
      <c r="N194">
        <v>700</v>
      </c>
      <c r="O194">
        <v>700</v>
      </c>
      <c r="P194" t="s">
        <v>25</v>
      </c>
      <c r="Q194" t="s">
        <v>26</v>
      </c>
      <c r="R194" t="str">
        <f>IF(COUNTIF(Sheet2!B:B, A194) &gt; 0, "Yes", "No")</f>
        <v>No</v>
      </c>
    </row>
    <row r="195" spans="1:18" x14ac:dyDescent="0.25">
      <c r="A195" s="3">
        <v>45069</v>
      </c>
      <c r="B195" t="s">
        <v>142</v>
      </c>
      <c r="C195" t="s">
        <v>105</v>
      </c>
      <c r="D195" t="s">
        <v>20</v>
      </c>
      <c r="E195" t="s">
        <v>67</v>
      </c>
      <c r="F195" t="s">
        <v>40</v>
      </c>
      <c r="G195" t="s">
        <v>73</v>
      </c>
      <c r="H195" t="s">
        <v>110</v>
      </c>
      <c r="I195">
        <v>0.05</v>
      </c>
      <c r="J195">
        <f t="shared" ref="J195:J258" si="9">I195*O195</f>
        <v>35</v>
      </c>
      <c r="K195">
        <v>0</v>
      </c>
      <c r="L195">
        <f t="shared" ref="L195:L258" si="10">J195-K195</f>
        <v>35</v>
      </c>
      <c r="M195" s="4">
        <f t="shared" ref="M195:M258" si="11">((I195*O195)-K195)/N195</f>
        <v>0.05</v>
      </c>
      <c r="N195">
        <v>700</v>
      </c>
      <c r="O195">
        <v>700</v>
      </c>
      <c r="P195" t="s">
        <v>25</v>
      </c>
      <c r="Q195" t="s">
        <v>26</v>
      </c>
      <c r="R195" t="str">
        <f>IF(COUNTIF(Sheet2!B:B, A195) &gt; 0, "Yes", "No")</f>
        <v>No</v>
      </c>
    </row>
    <row r="196" spans="1:18" x14ac:dyDescent="0.25">
      <c r="A196" s="3">
        <v>45069</v>
      </c>
      <c r="B196" t="s">
        <v>142</v>
      </c>
      <c r="C196" t="s">
        <v>105</v>
      </c>
      <c r="D196" t="s">
        <v>20</v>
      </c>
      <c r="E196" t="s">
        <v>67</v>
      </c>
      <c r="F196" t="s">
        <v>43</v>
      </c>
      <c r="G196" t="s">
        <v>90</v>
      </c>
      <c r="H196" t="s">
        <v>208</v>
      </c>
      <c r="I196">
        <v>0.11</v>
      </c>
      <c r="J196">
        <f t="shared" si="9"/>
        <v>77</v>
      </c>
      <c r="K196">
        <v>6</v>
      </c>
      <c r="L196">
        <f t="shared" si="10"/>
        <v>71</v>
      </c>
      <c r="M196" s="4">
        <f t="shared" si="11"/>
        <v>0.10142857142857142</v>
      </c>
      <c r="N196">
        <v>700</v>
      </c>
      <c r="O196">
        <v>700</v>
      </c>
      <c r="P196" t="s">
        <v>25</v>
      </c>
      <c r="Q196" t="s">
        <v>26</v>
      </c>
      <c r="R196" t="str">
        <f>IF(COUNTIF(Sheet2!B:B, A196) &gt; 0, "Yes", "No")</f>
        <v>No</v>
      </c>
    </row>
    <row r="197" spans="1:18" x14ac:dyDescent="0.25">
      <c r="A197" s="3">
        <v>45069</v>
      </c>
      <c r="B197" t="s">
        <v>142</v>
      </c>
      <c r="C197" t="s">
        <v>105</v>
      </c>
      <c r="D197" t="s">
        <v>20</v>
      </c>
      <c r="E197" t="s">
        <v>67</v>
      </c>
      <c r="F197" t="s">
        <v>46</v>
      </c>
      <c r="G197" t="s">
        <v>130</v>
      </c>
      <c r="H197" t="s">
        <v>209</v>
      </c>
      <c r="I197">
        <v>0.09</v>
      </c>
      <c r="J197">
        <f t="shared" si="9"/>
        <v>63</v>
      </c>
      <c r="K197">
        <v>0</v>
      </c>
      <c r="L197">
        <f t="shared" si="10"/>
        <v>63</v>
      </c>
      <c r="M197" s="4">
        <f t="shared" si="11"/>
        <v>0.09</v>
      </c>
      <c r="N197">
        <v>700</v>
      </c>
      <c r="O197">
        <v>700</v>
      </c>
      <c r="P197" t="s">
        <v>25</v>
      </c>
      <c r="Q197" t="s">
        <v>26</v>
      </c>
      <c r="R197" t="str">
        <f>IF(COUNTIF(Sheet2!B:B, A197) &gt; 0, "Yes", "No")</f>
        <v>No</v>
      </c>
    </row>
    <row r="198" spans="1:18" x14ac:dyDescent="0.25">
      <c r="A198" s="3">
        <v>45069</v>
      </c>
      <c r="B198" t="s">
        <v>142</v>
      </c>
      <c r="C198" t="s">
        <v>105</v>
      </c>
      <c r="D198" t="s">
        <v>20</v>
      </c>
      <c r="E198" t="s">
        <v>67</v>
      </c>
      <c r="F198" t="s">
        <v>49</v>
      </c>
      <c r="G198" t="s">
        <v>50</v>
      </c>
      <c r="H198" t="s">
        <v>49</v>
      </c>
      <c r="I198">
        <v>0.09</v>
      </c>
      <c r="J198">
        <f t="shared" si="9"/>
        <v>63</v>
      </c>
      <c r="K198">
        <v>0</v>
      </c>
      <c r="L198">
        <f t="shared" si="10"/>
        <v>63</v>
      </c>
      <c r="M198" s="4">
        <f t="shared" si="11"/>
        <v>0.09</v>
      </c>
      <c r="N198">
        <v>700</v>
      </c>
      <c r="O198">
        <v>700</v>
      </c>
      <c r="P198" t="s">
        <v>25</v>
      </c>
      <c r="Q198" t="s">
        <v>26</v>
      </c>
      <c r="R198" t="str">
        <f>IF(COUNTIF(Sheet2!B:B, A198) &gt; 0, "Yes", "No")</f>
        <v>No</v>
      </c>
    </row>
    <row r="199" spans="1:18" x14ac:dyDescent="0.25">
      <c r="A199" s="3">
        <v>45070</v>
      </c>
      <c r="B199" t="s">
        <v>142</v>
      </c>
      <c r="C199" t="s">
        <v>51</v>
      </c>
      <c r="D199" t="s">
        <v>20</v>
      </c>
      <c r="E199" t="s">
        <v>21</v>
      </c>
      <c r="F199" t="s">
        <v>22</v>
      </c>
      <c r="G199" t="s">
        <v>23</v>
      </c>
      <c r="H199" t="s">
        <v>24</v>
      </c>
      <c r="I199">
        <v>8.5000000000000006E-2</v>
      </c>
      <c r="J199">
        <f t="shared" si="9"/>
        <v>63.750000000000007</v>
      </c>
      <c r="K199">
        <v>3</v>
      </c>
      <c r="L199">
        <f t="shared" si="10"/>
        <v>60.750000000000007</v>
      </c>
      <c r="M199" s="4">
        <f t="shared" si="11"/>
        <v>8.1000000000000003E-2</v>
      </c>
      <c r="N199">
        <v>750</v>
      </c>
      <c r="O199">
        <v>750</v>
      </c>
      <c r="P199" t="s">
        <v>25</v>
      </c>
      <c r="Q199" t="s">
        <v>26</v>
      </c>
      <c r="R199" t="str">
        <f>IF(COUNTIF(Sheet2!B:B, A199) &gt; 0, "Yes", "No")</f>
        <v>No</v>
      </c>
    </row>
    <row r="200" spans="1:18" x14ac:dyDescent="0.25">
      <c r="A200" s="3">
        <v>45070</v>
      </c>
      <c r="B200" t="s">
        <v>142</v>
      </c>
      <c r="C200" t="s">
        <v>51</v>
      </c>
      <c r="D200" t="s">
        <v>20</v>
      </c>
      <c r="E200" t="s">
        <v>21</v>
      </c>
      <c r="F200" t="s">
        <v>27</v>
      </c>
      <c r="G200" t="s">
        <v>28</v>
      </c>
      <c r="H200" t="s">
        <v>210</v>
      </c>
      <c r="I200">
        <v>0.11</v>
      </c>
      <c r="J200">
        <f t="shared" si="9"/>
        <v>82.5</v>
      </c>
      <c r="K200">
        <v>4</v>
      </c>
      <c r="L200">
        <f t="shared" si="10"/>
        <v>78.5</v>
      </c>
      <c r="M200" s="4">
        <f t="shared" si="11"/>
        <v>0.10466666666666667</v>
      </c>
      <c r="N200">
        <v>750</v>
      </c>
      <c r="O200">
        <v>750</v>
      </c>
      <c r="P200" t="s">
        <v>25</v>
      </c>
      <c r="Q200" t="s">
        <v>26</v>
      </c>
      <c r="R200" t="str">
        <f>IF(COUNTIF(Sheet2!B:B, A200) &gt; 0, "Yes", "No")</f>
        <v>No</v>
      </c>
    </row>
    <row r="201" spans="1:18" x14ac:dyDescent="0.25">
      <c r="A201" s="3">
        <v>45070</v>
      </c>
      <c r="B201" t="s">
        <v>142</v>
      </c>
      <c r="C201" t="s">
        <v>51</v>
      </c>
      <c r="D201" t="s">
        <v>20</v>
      </c>
      <c r="E201" t="s">
        <v>21</v>
      </c>
      <c r="F201" t="s">
        <v>30</v>
      </c>
      <c r="G201" t="s">
        <v>31</v>
      </c>
      <c r="H201" t="s">
        <v>70</v>
      </c>
      <c r="I201">
        <v>0.09</v>
      </c>
      <c r="J201">
        <f t="shared" si="9"/>
        <v>67.5</v>
      </c>
      <c r="K201">
        <v>0</v>
      </c>
      <c r="L201">
        <f t="shared" si="10"/>
        <v>67.5</v>
      </c>
      <c r="M201" s="4">
        <f t="shared" si="11"/>
        <v>0.09</v>
      </c>
      <c r="N201">
        <v>750</v>
      </c>
      <c r="O201">
        <v>750</v>
      </c>
      <c r="P201" t="s">
        <v>25</v>
      </c>
      <c r="Q201" t="s">
        <v>26</v>
      </c>
      <c r="R201" t="str">
        <f>IF(COUNTIF(Sheet2!B:B, A201) &gt; 0, "Yes", "No")</f>
        <v>No</v>
      </c>
    </row>
    <row r="202" spans="1:18" x14ac:dyDescent="0.25">
      <c r="A202" s="3">
        <v>45070</v>
      </c>
      <c r="B202" t="s">
        <v>142</v>
      </c>
      <c r="C202" t="s">
        <v>51</v>
      </c>
      <c r="D202" t="s">
        <v>33</v>
      </c>
      <c r="E202" t="s">
        <v>21</v>
      </c>
      <c r="F202" t="s">
        <v>34</v>
      </c>
      <c r="G202" t="s">
        <v>57</v>
      </c>
      <c r="H202" t="s">
        <v>211</v>
      </c>
      <c r="I202">
        <v>0.15</v>
      </c>
      <c r="J202">
        <f t="shared" si="9"/>
        <v>56.25</v>
      </c>
      <c r="K202">
        <v>0</v>
      </c>
      <c r="L202">
        <f t="shared" si="10"/>
        <v>56.25</v>
      </c>
      <c r="M202" s="4">
        <f t="shared" si="11"/>
        <v>0.15</v>
      </c>
      <c r="N202">
        <v>375</v>
      </c>
      <c r="O202">
        <v>375</v>
      </c>
      <c r="P202" t="s">
        <v>25</v>
      </c>
      <c r="Q202" t="s">
        <v>26</v>
      </c>
      <c r="R202" t="str">
        <f>IF(COUNTIF(Sheet2!B:B, A202) &gt; 0, "Yes", "No")</f>
        <v>No</v>
      </c>
    </row>
    <row r="203" spans="1:18" x14ac:dyDescent="0.25">
      <c r="A203" s="3">
        <v>45070</v>
      </c>
      <c r="B203" t="s">
        <v>142</v>
      </c>
      <c r="C203" t="s">
        <v>51</v>
      </c>
      <c r="D203" t="s">
        <v>20</v>
      </c>
      <c r="E203" t="s">
        <v>21</v>
      </c>
      <c r="F203" t="s">
        <v>37</v>
      </c>
      <c r="G203" t="s">
        <v>59</v>
      </c>
      <c r="H203" t="s">
        <v>60</v>
      </c>
      <c r="I203">
        <v>0.03</v>
      </c>
      <c r="J203">
        <f t="shared" si="9"/>
        <v>22.5</v>
      </c>
      <c r="K203">
        <v>0</v>
      </c>
      <c r="L203">
        <f t="shared" si="10"/>
        <v>22.5</v>
      </c>
      <c r="M203" s="4">
        <f t="shared" si="11"/>
        <v>0.03</v>
      </c>
      <c r="N203">
        <v>750</v>
      </c>
      <c r="O203">
        <v>750</v>
      </c>
      <c r="P203" t="s">
        <v>25</v>
      </c>
      <c r="Q203" t="s">
        <v>26</v>
      </c>
      <c r="R203" t="str">
        <f>IF(COUNTIF(Sheet2!B:B, A203) &gt; 0, "Yes", "No")</f>
        <v>No</v>
      </c>
    </row>
    <row r="204" spans="1:18" x14ac:dyDescent="0.25">
      <c r="A204" s="3">
        <v>45070</v>
      </c>
      <c r="B204" t="s">
        <v>142</v>
      </c>
      <c r="C204" t="s">
        <v>51</v>
      </c>
      <c r="D204" t="s">
        <v>20</v>
      </c>
      <c r="E204" t="s">
        <v>21</v>
      </c>
      <c r="F204" t="s">
        <v>40</v>
      </c>
      <c r="G204" t="s">
        <v>137</v>
      </c>
      <c r="H204" t="s">
        <v>197</v>
      </c>
      <c r="I204">
        <v>4.4999999999999998E-2</v>
      </c>
      <c r="J204">
        <f t="shared" si="9"/>
        <v>33.75</v>
      </c>
      <c r="K204">
        <v>4</v>
      </c>
      <c r="L204">
        <f t="shared" si="10"/>
        <v>29.75</v>
      </c>
      <c r="M204" s="4">
        <f t="shared" si="11"/>
        <v>3.966666666666667E-2</v>
      </c>
      <c r="N204">
        <v>750</v>
      </c>
      <c r="O204">
        <v>750</v>
      </c>
      <c r="P204" t="s">
        <v>25</v>
      </c>
      <c r="Q204" t="s">
        <v>26</v>
      </c>
      <c r="R204" t="str">
        <f>IF(COUNTIF(Sheet2!B:B, A204) &gt; 0, "Yes", "No")</f>
        <v>No</v>
      </c>
    </row>
    <row r="205" spans="1:18" x14ac:dyDescent="0.25">
      <c r="A205" s="3">
        <v>45070</v>
      </c>
      <c r="B205" t="s">
        <v>142</v>
      </c>
      <c r="C205" t="s">
        <v>51</v>
      </c>
      <c r="D205" t="s">
        <v>20</v>
      </c>
      <c r="E205" t="s">
        <v>21</v>
      </c>
      <c r="F205" t="s">
        <v>43</v>
      </c>
      <c r="G205" t="s">
        <v>75</v>
      </c>
      <c r="H205" t="s">
        <v>212</v>
      </c>
      <c r="I205">
        <v>0.11</v>
      </c>
      <c r="J205">
        <f t="shared" si="9"/>
        <v>82.5</v>
      </c>
      <c r="K205">
        <v>5</v>
      </c>
      <c r="L205">
        <f t="shared" si="10"/>
        <v>77.5</v>
      </c>
      <c r="M205" s="4">
        <f t="shared" si="11"/>
        <v>0.10333333333333333</v>
      </c>
      <c r="N205">
        <v>750</v>
      </c>
      <c r="O205">
        <v>750</v>
      </c>
      <c r="P205" t="s">
        <v>25</v>
      </c>
      <c r="Q205" t="s">
        <v>26</v>
      </c>
      <c r="R205" t="str">
        <f>IF(COUNTIF(Sheet2!B:B, A205) &gt; 0, "Yes", "No")</f>
        <v>No</v>
      </c>
    </row>
    <row r="206" spans="1:18" x14ac:dyDescent="0.25">
      <c r="A206" s="3">
        <v>45070</v>
      </c>
      <c r="B206" t="s">
        <v>142</v>
      </c>
      <c r="C206" t="s">
        <v>51</v>
      </c>
      <c r="D206" t="s">
        <v>20</v>
      </c>
      <c r="E206" t="s">
        <v>21</v>
      </c>
      <c r="F206" t="s">
        <v>46</v>
      </c>
      <c r="G206" t="s">
        <v>47</v>
      </c>
      <c r="H206" t="s">
        <v>141</v>
      </c>
      <c r="I206">
        <v>8.5000000000000006E-2</v>
      </c>
      <c r="J206">
        <f t="shared" si="9"/>
        <v>63.750000000000007</v>
      </c>
      <c r="K206">
        <v>7</v>
      </c>
      <c r="L206">
        <f t="shared" si="10"/>
        <v>56.750000000000007</v>
      </c>
      <c r="M206" s="4">
        <f t="shared" si="11"/>
        <v>7.5666666666666674E-2</v>
      </c>
      <c r="N206">
        <v>750</v>
      </c>
      <c r="O206">
        <v>750</v>
      </c>
      <c r="P206" t="s">
        <v>25</v>
      </c>
      <c r="Q206" t="s">
        <v>26</v>
      </c>
      <c r="R206" t="str">
        <f>IF(COUNTIF(Sheet2!B:B, A206) &gt; 0, "Yes", "No")</f>
        <v>No</v>
      </c>
    </row>
    <row r="207" spans="1:18" x14ac:dyDescent="0.25">
      <c r="A207" s="3">
        <v>45070</v>
      </c>
      <c r="B207" t="s">
        <v>142</v>
      </c>
      <c r="C207" t="s">
        <v>51</v>
      </c>
      <c r="D207" t="s">
        <v>20</v>
      </c>
      <c r="E207" t="s">
        <v>21</v>
      </c>
      <c r="F207" t="s">
        <v>49</v>
      </c>
      <c r="G207" t="s">
        <v>50</v>
      </c>
      <c r="H207" t="s">
        <v>49</v>
      </c>
      <c r="I207">
        <v>0.09</v>
      </c>
      <c r="J207">
        <f t="shared" si="9"/>
        <v>67.5</v>
      </c>
      <c r="K207">
        <v>2</v>
      </c>
      <c r="L207">
        <f t="shared" si="10"/>
        <v>65.5</v>
      </c>
      <c r="M207" s="4">
        <f t="shared" si="11"/>
        <v>8.7333333333333332E-2</v>
      </c>
      <c r="N207">
        <v>750</v>
      </c>
      <c r="O207">
        <v>750</v>
      </c>
      <c r="P207" t="s">
        <v>25</v>
      </c>
      <c r="Q207" t="s">
        <v>26</v>
      </c>
      <c r="R207" t="str">
        <f>IF(COUNTIF(Sheet2!B:B, A207) &gt; 0, "Yes", "No")</f>
        <v>No</v>
      </c>
    </row>
    <row r="208" spans="1:18" x14ac:dyDescent="0.25">
      <c r="A208" s="3">
        <v>45071</v>
      </c>
      <c r="B208" t="s">
        <v>142</v>
      </c>
      <c r="C208" t="s">
        <v>66</v>
      </c>
      <c r="D208" t="s">
        <v>20</v>
      </c>
      <c r="E208" t="s">
        <v>67</v>
      </c>
      <c r="F208" t="s">
        <v>22</v>
      </c>
      <c r="G208" t="s">
        <v>52</v>
      </c>
      <c r="H208" t="s">
        <v>213</v>
      </c>
      <c r="I208">
        <v>8.5000000000000006E-2</v>
      </c>
      <c r="J208">
        <f t="shared" si="9"/>
        <v>59.500000000000007</v>
      </c>
      <c r="K208">
        <v>3</v>
      </c>
      <c r="L208">
        <f t="shared" si="10"/>
        <v>56.500000000000007</v>
      </c>
      <c r="M208" s="4">
        <f t="shared" si="11"/>
        <v>8.0714285714285725E-2</v>
      </c>
      <c r="N208">
        <v>700</v>
      </c>
      <c r="O208">
        <v>700</v>
      </c>
      <c r="P208" t="s">
        <v>25</v>
      </c>
      <c r="Q208" t="s">
        <v>26</v>
      </c>
      <c r="R208" t="str">
        <f>IF(COUNTIF(Sheet2!B:B, A208) &gt; 0, "Yes", "No")</f>
        <v>No</v>
      </c>
    </row>
    <row r="209" spans="1:18" x14ac:dyDescent="0.25">
      <c r="A209" s="3">
        <v>45071</v>
      </c>
      <c r="B209" t="s">
        <v>142</v>
      </c>
      <c r="C209" t="s">
        <v>66</v>
      </c>
      <c r="D209" t="s">
        <v>20</v>
      </c>
      <c r="E209" t="s">
        <v>67</v>
      </c>
      <c r="F209" t="s">
        <v>27</v>
      </c>
      <c r="G209" t="s">
        <v>28</v>
      </c>
      <c r="H209" t="s">
        <v>124</v>
      </c>
      <c r="I209">
        <v>0.11</v>
      </c>
      <c r="J209">
        <f t="shared" si="9"/>
        <v>77</v>
      </c>
      <c r="K209">
        <v>9</v>
      </c>
      <c r="L209">
        <f t="shared" si="10"/>
        <v>68</v>
      </c>
      <c r="M209" s="4">
        <f t="shared" si="11"/>
        <v>9.7142857142857142E-2</v>
      </c>
      <c r="N209">
        <v>700</v>
      </c>
      <c r="O209">
        <v>700</v>
      </c>
      <c r="P209" t="s">
        <v>25</v>
      </c>
      <c r="Q209" t="s">
        <v>26</v>
      </c>
      <c r="R209" t="str">
        <f>IF(COUNTIF(Sheet2!B:B, A209) &gt; 0, "Yes", "No")</f>
        <v>No</v>
      </c>
    </row>
    <row r="210" spans="1:18" x14ac:dyDescent="0.25">
      <c r="A210" s="3">
        <v>45071</v>
      </c>
      <c r="B210" t="s">
        <v>142</v>
      </c>
      <c r="C210" t="s">
        <v>66</v>
      </c>
      <c r="D210" t="s">
        <v>20</v>
      </c>
      <c r="E210" t="s">
        <v>67</v>
      </c>
      <c r="F210" t="s">
        <v>30</v>
      </c>
      <c r="G210" t="s">
        <v>31</v>
      </c>
      <c r="H210" t="s">
        <v>172</v>
      </c>
      <c r="I210">
        <v>0.09</v>
      </c>
      <c r="J210">
        <f t="shared" si="9"/>
        <v>63</v>
      </c>
      <c r="K210">
        <v>0</v>
      </c>
      <c r="L210">
        <f t="shared" si="10"/>
        <v>63</v>
      </c>
      <c r="M210" s="4">
        <f t="shared" si="11"/>
        <v>0.09</v>
      </c>
      <c r="N210">
        <v>700</v>
      </c>
      <c r="O210">
        <v>700</v>
      </c>
      <c r="P210" t="s">
        <v>25</v>
      </c>
      <c r="Q210" t="s">
        <v>26</v>
      </c>
      <c r="R210" t="str">
        <f>IF(COUNTIF(Sheet2!B:B, A210) &gt; 0, "Yes", "No")</f>
        <v>No</v>
      </c>
    </row>
    <row r="211" spans="1:18" x14ac:dyDescent="0.25">
      <c r="A211" s="3">
        <v>45071</v>
      </c>
      <c r="B211" t="s">
        <v>142</v>
      </c>
      <c r="C211" t="s">
        <v>66</v>
      </c>
      <c r="D211" t="s">
        <v>20</v>
      </c>
      <c r="E211" t="s">
        <v>67</v>
      </c>
      <c r="F211" t="s">
        <v>37</v>
      </c>
      <c r="G211" t="s">
        <v>87</v>
      </c>
      <c r="H211" t="s">
        <v>136</v>
      </c>
      <c r="I211">
        <v>3.5000000000000003E-2</v>
      </c>
      <c r="J211">
        <f t="shared" si="9"/>
        <v>24.500000000000004</v>
      </c>
      <c r="K211">
        <v>0</v>
      </c>
      <c r="L211">
        <f t="shared" si="10"/>
        <v>24.500000000000004</v>
      </c>
      <c r="M211" s="4">
        <f t="shared" si="11"/>
        <v>3.5000000000000003E-2</v>
      </c>
      <c r="N211">
        <v>700</v>
      </c>
      <c r="O211">
        <v>700</v>
      </c>
      <c r="P211" t="s">
        <v>25</v>
      </c>
      <c r="Q211" t="s">
        <v>26</v>
      </c>
      <c r="R211" t="str">
        <f>IF(COUNTIF(Sheet2!B:B, A211) &gt; 0, "Yes", "No")</f>
        <v>No</v>
      </c>
    </row>
    <row r="212" spans="1:18" x14ac:dyDescent="0.25">
      <c r="A212" s="3">
        <v>45071</v>
      </c>
      <c r="B212" t="s">
        <v>142</v>
      </c>
      <c r="C212" t="s">
        <v>66</v>
      </c>
      <c r="D212" t="s">
        <v>20</v>
      </c>
      <c r="E212" t="s">
        <v>67</v>
      </c>
      <c r="F212" t="s">
        <v>40</v>
      </c>
      <c r="G212" t="s">
        <v>157</v>
      </c>
      <c r="H212" t="s">
        <v>214</v>
      </c>
      <c r="I212">
        <v>0.05</v>
      </c>
      <c r="J212">
        <f t="shared" si="9"/>
        <v>35</v>
      </c>
      <c r="K212">
        <v>0</v>
      </c>
      <c r="L212">
        <f t="shared" si="10"/>
        <v>35</v>
      </c>
      <c r="M212" s="4">
        <f t="shared" si="11"/>
        <v>0.05</v>
      </c>
      <c r="N212">
        <v>700</v>
      </c>
      <c r="O212">
        <v>700</v>
      </c>
      <c r="P212" t="s">
        <v>25</v>
      </c>
      <c r="Q212" t="s">
        <v>26</v>
      </c>
      <c r="R212" t="str">
        <f>IF(COUNTIF(Sheet2!B:B, A212) &gt; 0, "Yes", "No")</f>
        <v>No</v>
      </c>
    </row>
    <row r="213" spans="1:18" x14ac:dyDescent="0.25">
      <c r="A213" s="3">
        <v>45071</v>
      </c>
      <c r="B213" t="s">
        <v>142</v>
      </c>
      <c r="C213" t="s">
        <v>66</v>
      </c>
      <c r="D213" t="s">
        <v>20</v>
      </c>
      <c r="E213" t="s">
        <v>67</v>
      </c>
      <c r="F213" t="s">
        <v>43</v>
      </c>
      <c r="G213" t="s">
        <v>215</v>
      </c>
      <c r="H213" t="s">
        <v>216</v>
      </c>
      <c r="I213">
        <v>0.11</v>
      </c>
      <c r="J213">
        <f t="shared" si="9"/>
        <v>77</v>
      </c>
      <c r="K213">
        <v>0</v>
      </c>
      <c r="L213">
        <f t="shared" si="10"/>
        <v>77</v>
      </c>
      <c r="M213" s="4">
        <f t="shared" si="11"/>
        <v>0.11</v>
      </c>
      <c r="N213">
        <v>700</v>
      </c>
      <c r="O213">
        <v>700</v>
      </c>
      <c r="P213" t="s">
        <v>25</v>
      </c>
      <c r="Q213" t="s">
        <v>26</v>
      </c>
      <c r="R213" t="str">
        <f>IF(COUNTIF(Sheet2!B:B, A213) &gt; 0, "Yes", "No")</f>
        <v>No</v>
      </c>
    </row>
    <row r="214" spans="1:18" x14ac:dyDescent="0.25">
      <c r="A214" s="3">
        <v>45071</v>
      </c>
      <c r="B214" t="s">
        <v>142</v>
      </c>
      <c r="C214" t="s">
        <v>66</v>
      </c>
      <c r="D214" t="s">
        <v>20</v>
      </c>
      <c r="E214" t="s">
        <v>67</v>
      </c>
      <c r="F214" t="s">
        <v>46</v>
      </c>
      <c r="G214" t="s">
        <v>103</v>
      </c>
      <c r="H214" t="s">
        <v>217</v>
      </c>
      <c r="I214">
        <v>0.09</v>
      </c>
      <c r="J214">
        <f t="shared" si="9"/>
        <v>63</v>
      </c>
      <c r="K214">
        <v>4</v>
      </c>
      <c r="L214">
        <f t="shared" si="10"/>
        <v>59</v>
      </c>
      <c r="M214" s="4">
        <f t="shared" si="11"/>
        <v>8.4285714285714283E-2</v>
      </c>
      <c r="N214">
        <v>700</v>
      </c>
      <c r="O214">
        <v>700</v>
      </c>
      <c r="P214" t="s">
        <v>25</v>
      </c>
      <c r="Q214" t="s">
        <v>26</v>
      </c>
      <c r="R214" t="str">
        <f>IF(COUNTIF(Sheet2!B:B, A214) &gt; 0, "Yes", "No")</f>
        <v>No</v>
      </c>
    </row>
    <row r="215" spans="1:18" x14ac:dyDescent="0.25">
      <c r="A215" s="3">
        <v>45071</v>
      </c>
      <c r="B215" t="s">
        <v>142</v>
      </c>
      <c r="C215" t="s">
        <v>66</v>
      </c>
      <c r="D215" t="s">
        <v>20</v>
      </c>
      <c r="E215" t="s">
        <v>67</v>
      </c>
      <c r="F215" t="s">
        <v>49</v>
      </c>
      <c r="G215" t="s">
        <v>50</v>
      </c>
      <c r="H215" t="s">
        <v>49</v>
      </c>
      <c r="I215">
        <v>0.09</v>
      </c>
      <c r="J215">
        <f t="shared" si="9"/>
        <v>63</v>
      </c>
      <c r="K215">
        <v>0</v>
      </c>
      <c r="L215">
        <f t="shared" si="10"/>
        <v>63</v>
      </c>
      <c r="M215" s="4">
        <f t="shared" si="11"/>
        <v>0.09</v>
      </c>
      <c r="N215">
        <v>700</v>
      </c>
      <c r="O215">
        <v>700</v>
      </c>
      <c r="P215" t="s">
        <v>25</v>
      </c>
      <c r="Q215" t="s">
        <v>26</v>
      </c>
      <c r="R215" t="str">
        <f>IF(COUNTIF(Sheet2!B:B, A215) &gt; 0, "Yes", "No")</f>
        <v>No</v>
      </c>
    </row>
    <row r="216" spans="1:18" x14ac:dyDescent="0.25">
      <c r="A216" s="3">
        <v>45072</v>
      </c>
      <c r="B216" t="s">
        <v>142</v>
      </c>
      <c r="C216" t="s">
        <v>79</v>
      </c>
      <c r="D216" t="s">
        <v>20</v>
      </c>
      <c r="E216" t="s">
        <v>21</v>
      </c>
      <c r="F216" t="s">
        <v>22</v>
      </c>
      <c r="G216" t="s">
        <v>52</v>
      </c>
      <c r="H216" t="s">
        <v>218</v>
      </c>
      <c r="I216" s="5">
        <v>0.06</v>
      </c>
      <c r="J216">
        <f t="shared" si="9"/>
        <v>42</v>
      </c>
      <c r="K216">
        <v>2</v>
      </c>
      <c r="L216">
        <f t="shared" si="10"/>
        <v>40</v>
      </c>
      <c r="M216" s="4">
        <f t="shared" si="11"/>
        <v>5.7142857142857141E-2</v>
      </c>
      <c r="N216">
        <v>700</v>
      </c>
      <c r="O216">
        <v>700</v>
      </c>
      <c r="P216" t="s">
        <v>25</v>
      </c>
      <c r="Q216" t="s">
        <v>26</v>
      </c>
      <c r="R216" t="str">
        <f>IF(COUNTIF(Sheet2!B:B, A216) &gt; 0, "Yes", "No")</f>
        <v>Yes</v>
      </c>
    </row>
    <row r="217" spans="1:18" x14ac:dyDescent="0.25">
      <c r="A217" s="3">
        <v>45072</v>
      </c>
      <c r="B217" t="s">
        <v>142</v>
      </c>
      <c r="C217" t="s">
        <v>79</v>
      </c>
      <c r="D217" t="s">
        <v>20</v>
      </c>
      <c r="E217" t="s">
        <v>21</v>
      </c>
      <c r="F217" t="s">
        <v>27</v>
      </c>
      <c r="G217" t="s">
        <v>81</v>
      </c>
      <c r="H217" t="s">
        <v>219</v>
      </c>
      <c r="I217" s="5">
        <v>0.1</v>
      </c>
      <c r="J217">
        <f t="shared" si="9"/>
        <v>70</v>
      </c>
      <c r="K217">
        <v>9</v>
      </c>
      <c r="L217">
        <f t="shared" si="10"/>
        <v>61</v>
      </c>
      <c r="M217" s="4">
        <f t="shared" si="11"/>
        <v>8.7142857142857147E-2</v>
      </c>
      <c r="N217">
        <v>700</v>
      </c>
      <c r="O217">
        <v>700</v>
      </c>
      <c r="P217" t="s">
        <v>25</v>
      </c>
      <c r="Q217" t="s">
        <v>26</v>
      </c>
      <c r="R217" t="str">
        <f>IF(COUNTIF(Sheet2!B:B, A217) &gt; 0, "Yes", "No")</f>
        <v>Yes</v>
      </c>
    </row>
    <row r="218" spans="1:18" x14ac:dyDescent="0.25">
      <c r="A218" s="3">
        <v>45072</v>
      </c>
      <c r="B218" t="s">
        <v>142</v>
      </c>
      <c r="C218" t="s">
        <v>79</v>
      </c>
      <c r="D218" t="s">
        <v>20</v>
      </c>
      <c r="E218" t="s">
        <v>21</v>
      </c>
      <c r="F218" t="s">
        <v>30</v>
      </c>
      <c r="G218" t="s">
        <v>55</v>
      </c>
      <c r="H218" t="s">
        <v>125</v>
      </c>
      <c r="I218" s="5">
        <v>0.06</v>
      </c>
      <c r="J218">
        <f t="shared" si="9"/>
        <v>42</v>
      </c>
      <c r="K218">
        <v>0</v>
      </c>
      <c r="L218">
        <f t="shared" si="10"/>
        <v>42</v>
      </c>
      <c r="M218" s="4">
        <f t="shared" si="11"/>
        <v>0.06</v>
      </c>
      <c r="N218">
        <v>700</v>
      </c>
      <c r="O218">
        <v>700</v>
      </c>
      <c r="P218" t="s">
        <v>25</v>
      </c>
      <c r="Q218" t="s">
        <v>26</v>
      </c>
      <c r="R218" t="str">
        <f>IF(COUNTIF(Sheet2!B:B, A218) &gt; 0, "Yes", "No")</f>
        <v>Yes</v>
      </c>
    </row>
    <row r="219" spans="1:18" x14ac:dyDescent="0.25">
      <c r="A219" s="3">
        <v>45072</v>
      </c>
      <c r="B219" t="s">
        <v>142</v>
      </c>
      <c r="C219" t="s">
        <v>79</v>
      </c>
      <c r="D219" t="s">
        <v>33</v>
      </c>
      <c r="E219" t="s">
        <v>21</v>
      </c>
      <c r="F219" t="s">
        <v>84</v>
      </c>
      <c r="G219" t="s">
        <v>177</v>
      </c>
      <c r="H219" t="s">
        <v>220</v>
      </c>
      <c r="I219" s="5">
        <v>0.3</v>
      </c>
      <c r="J219">
        <f t="shared" si="9"/>
        <v>105</v>
      </c>
      <c r="K219">
        <v>0</v>
      </c>
      <c r="L219">
        <f t="shared" si="10"/>
        <v>105</v>
      </c>
      <c r="M219" s="4">
        <f t="shared" si="11"/>
        <v>0.3</v>
      </c>
      <c r="N219">
        <v>350</v>
      </c>
      <c r="O219">
        <v>350</v>
      </c>
      <c r="P219" t="s">
        <v>25</v>
      </c>
      <c r="Q219" t="s">
        <v>26</v>
      </c>
      <c r="R219" t="str">
        <f>IF(COUNTIF(Sheet2!B:B, A219) &gt; 0, "Yes", "No")</f>
        <v>Yes</v>
      </c>
    </row>
    <row r="220" spans="1:18" x14ac:dyDescent="0.25">
      <c r="A220" s="3">
        <v>45072</v>
      </c>
      <c r="B220" t="s">
        <v>142</v>
      </c>
      <c r="C220" t="s">
        <v>79</v>
      </c>
      <c r="D220" t="s">
        <v>20</v>
      </c>
      <c r="E220" t="s">
        <v>21</v>
      </c>
      <c r="F220" t="s">
        <v>37</v>
      </c>
      <c r="G220" t="s">
        <v>38</v>
      </c>
      <c r="H220" t="s">
        <v>39</v>
      </c>
      <c r="I220" s="5">
        <v>2.5000000000000001E-2</v>
      </c>
      <c r="J220">
        <f t="shared" si="9"/>
        <v>17.5</v>
      </c>
      <c r="K220">
        <v>0</v>
      </c>
      <c r="L220">
        <f t="shared" si="10"/>
        <v>17.5</v>
      </c>
      <c r="M220" s="4">
        <f t="shared" si="11"/>
        <v>2.5000000000000001E-2</v>
      </c>
      <c r="N220">
        <v>700</v>
      </c>
      <c r="O220">
        <v>700</v>
      </c>
      <c r="P220" t="s">
        <v>25</v>
      </c>
      <c r="Q220" t="s">
        <v>26</v>
      </c>
      <c r="R220" t="str">
        <f>IF(COUNTIF(Sheet2!B:B, A220) &gt; 0, "Yes", "No")</f>
        <v>Yes</v>
      </c>
    </row>
    <row r="221" spans="1:18" x14ac:dyDescent="0.25">
      <c r="A221" s="3">
        <v>45072</v>
      </c>
      <c r="B221" t="s">
        <v>142</v>
      </c>
      <c r="C221" t="s">
        <v>79</v>
      </c>
      <c r="D221" t="s">
        <v>20</v>
      </c>
      <c r="E221" t="s">
        <v>21</v>
      </c>
      <c r="F221" t="s">
        <v>40</v>
      </c>
      <c r="G221" t="s">
        <v>157</v>
      </c>
      <c r="H221" t="s">
        <v>221</v>
      </c>
      <c r="I221" s="5">
        <v>0.04</v>
      </c>
      <c r="J221">
        <f t="shared" si="9"/>
        <v>28</v>
      </c>
      <c r="K221">
        <v>2</v>
      </c>
      <c r="L221">
        <f t="shared" si="10"/>
        <v>26</v>
      </c>
      <c r="M221" s="4">
        <f t="shared" si="11"/>
        <v>3.7142857142857144E-2</v>
      </c>
      <c r="N221">
        <v>700</v>
      </c>
      <c r="O221">
        <v>700</v>
      </c>
      <c r="P221" t="s">
        <v>25</v>
      </c>
      <c r="Q221" t="s">
        <v>26</v>
      </c>
      <c r="R221" t="str">
        <f>IF(COUNTIF(Sheet2!B:B, A221) &gt; 0, "Yes", "No")</f>
        <v>Yes</v>
      </c>
    </row>
    <row r="222" spans="1:18" x14ac:dyDescent="0.25">
      <c r="A222" s="3">
        <v>45072</v>
      </c>
      <c r="B222" t="s">
        <v>142</v>
      </c>
      <c r="C222" t="s">
        <v>79</v>
      </c>
      <c r="D222" t="s">
        <v>20</v>
      </c>
      <c r="E222" t="s">
        <v>21</v>
      </c>
      <c r="F222" t="s">
        <v>43</v>
      </c>
      <c r="G222" t="s">
        <v>90</v>
      </c>
      <c r="H222" t="s">
        <v>222</v>
      </c>
      <c r="I222" s="5">
        <v>7.0000000000000007E-2</v>
      </c>
      <c r="J222">
        <f t="shared" si="9"/>
        <v>49.000000000000007</v>
      </c>
      <c r="K222">
        <v>4</v>
      </c>
      <c r="L222">
        <f t="shared" si="10"/>
        <v>45.000000000000007</v>
      </c>
      <c r="M222" s="4">
        <f t="shared" si="11"/>
        <v>6.4285714285714293E-2</v>
      </c>
      <c r="N222">
        <v>700</v>
      </c>
      <c r="O222">
        <v>700</v>
      </c>
      <c r="P222" t="s">
        <v>25</v>
      </c>
      <c r="Q222" t="s">
        <v>26</v>
      </c>
      <c r="R222" t="str">
        <f>IF(COUNTIF(Sheet2!B:B, A222) &gt; 0, "Yes", "No")</f>
        <v>Yes</v>
      </c>
    </row>
    <row r="223" spans="1:18" x14ac:dyDescent="0.25">
      <c r="A223" s="3">
        <v>45072</v>
      </c>
      <c r="B223" t="s">
        <v>142</v>
      </c>
      <c r="C223" t="s">
        <v>79</v>
      </c>
      <c r="D223" t="s">
        <v>20</v>
      </c>
      <c r="E223" t="s">
        <v>21</v>
      </c>
      <c r="F223" t="s">
        <v>46</v>
      </c>
      <c r="G223" t="s">
        <v>169</v>
      </c>
      <c r="H223" t="s">
        <v>223</v>
      </c>
      <c r="I223" s="5">
        <v>0.06</v>
      </c>
      <c r="J223">
        <f t="shared" si="9"/>
        <v>42</v>
      </c>
      <c r="K223">
        <v>0</v>
      </c>
      <c r="L223">
        <f t="shared" si="10"/>
        <v>42</v>
      </c>
      <c r="M223" s="4">
        <f t="shared" si="11"/>
        <v>0.06</v>
      </c>
      <c r="N223">
        <v>700</v>
      </c>
      <c r="O223">
        <v>700</v>
      </c>
      <c r="P223" t="s">
        <v>25</v>
      </c>
      <c r="Q223" t="s">
        <v>26</v>
      </c>
      <c r="R223" t="str">
        <f>IF(COUNTIF(Sheet2!B:B, A223) &gt; 0, "Yes", "No")</f>
        <v>Yes</v>
      </c>
    </row>
    <row r="224" spans="1:18" x14ac:dyDescent="0.25">
      <c r="A224" s="3">
        <v>45072</v>
      </c>
      <c r="B224" t="s">
        <v>142</v>
      </c>
      <c r="C224" t="s">
        <v>79</v>
      </c>
      <c r="D224" t="s">
        <v>20</v>
      </c>
      <c r="E224" t="s">
        <v>21</v>
      </c>
      <c r="F224" t="s">
        <v>49</v>
      </c>
      <c r="G224" t="s">
        <v>50</v>
      </c>
      <c r="H224" t="s">
        <v>49</v>
      </c>
      <c r="I224" s="5">
        <v>0.04</v>
      </c>
      <c r="J224">
        <f t="shared" si="9"/>
        <v>28</v>
      </c>
      <c r="K224">
        <v>2</v>
      </c>
      <c r="L224">
        <f t="shared" si="10"/>
        <v>26</v>
      </c>
      <c r="M224" s="4">
        <f t="shared" si="11"/>
        <v>3.7142857142857144E-2</v>
      </c>
      <c r="N224">
        <v>700</v>
      </c>
      <c r="O224">
        <v>700</v>
      </c>
      <c r="P224" t="s">
        <v>25</v>
      </c>
      <c r="Q224" t="s">
        <v>26</v>
      </c>
      <c r="R224" t="str">
        <f>IF(COUNTIF(Sheet2!B:B, A224) &gt; 0, "Yes", "No")</f>
        <v>Yes</v>
      </c>
    </row>
    <row r="225" spans="1:18" x14ac:dyDescent="0.25">
      <c r="A225" s="3">
        <v>45075</v>
      </c>
      <c r="B225" t="s">
        <v>142</v>
      </c>
      <c r="C225" t="s">
        <v>19</v>
      </c>
      <c r="D225" t="s">
        <v>20</v>
      </c>
      <c r="E225" t="s">
        <v>21</v>
      </c>
      <c r="F225" t="s">
        <v>22</v>
      </c>
      <c r="G225" t="s">
        <v>52</v>
      </c>
      <c r="H225" t="s">
        <v>53</v>
      </c>
      <c r="I225">
        <v>8.5000000000000006E-2</v>
      </c>
      <c r="J225">
        <f t="shared" si="9"/>
        <v>61.625000000000007</v>
      </c>
      <c r="K225">
        <v>4</v>
      </c>
      <c r="L225">
        <f t="shared" si="10"/>
        <v>57.625000000000007</v>
      </c>
      <c r="M225" s="4">
        <f t="shared" si="11"/>
        <v>7.9482758620689667E-2</v>
      </c>
      <c r="N225">
        <v>725</v>
      </c>
      <c r="O225">
        <v>725</v>
      </c>
      <c r="P225" t="s">
        <v>25</v>
      </c>
      <c r="Q225" t="s">
        <v>26</v>
      </c>
      <c r="R225" t="str">
        <f>IF(COUNTIF(Sheet2!B:B, A225) &gt; 0, "Yes", "No")</f>
        <v>No</v>
      </c>
    </row>
    <row r="226" spans="1:18" x14ac:dyDescent="0.25">
      <c r="A226" s="3">
        <v>45075</v>
      </c>
      <c r="B226" t="s">
        <v>142</v>
      </c>
      <c r="C226" t="s">
        <v>19</v>
      </c>
      <c r="D226" t="s">
        <v>20</v>
      </c>
      <c r="E226" t="s">
        <v>21</v>
      </c>
      <c r="F226" t="s">
        <v>27</v>
      </c>
      <c r="G226" t="s">
        <v>28</v>
      </c>
      <c r="H226" t="s">
        <v>156</v>
      </c>
      <c r="I226">
        <v>0.11</v>
      </c>
      <c r="J226">
        <f t="shared" si="9"/>
        <v>79.75</v>
      </c>
      <c r="K226">
        <v>6</v>
      </c>
      <c r="L226">
        <f t="shared" si="10"/>
        <v>73.75</v>
      </c>
      <c r="M226" s="4">
        <f t="shared" si="11"/>
        <v>0.10172413793103448</v>
      </c>
      <c r="N226">
        <v>725</v>
      </c>
      <c r="O226">
        <v>725</v>
      </c>
      <c r="P226" t="s">
        <v>25</v>
      </c>
      <c r="Q226" t="s">
        <v>26</v>
      </c>
      <c r="R226" t="str">
        <f>IF(COUNTIF(Sheet2!B:B, A226) &gt; 0, "Yes", "No")</f>
        <v>No</v>
      </c>
    </row>
    <row r="227" spans="1:18" x14ac:dyDescent="0.25">
      <c r="A227" s="3">
        <v>45075</v>
      </c>
      <c r="B227" t="s">
        <v>142</v>
      </c>
      <c r="C227" t="s">
        <v>19</v>
      </c>
      <c r="D227" t="s">
        <v>20</v>
      </c>
      <c r="E227" t="s">
        <v>21</v>
      </c>
      <c r="F227" t="s">
        <v>30</v>
      </c>
      <c r="G227" t="s">
        <v>55</v>
      </c>
      <c r="H227" t="s">
        <v>183</v>
      </c>
      <c r="I227">
        <v>0.09</v>
      </c>
      <c r="J227">
        <f t="shared" si="9"/>
        <v>65.25</v>
      </c>
      <c r="K227">
        <v>0</v>
      </c>
      <c r="L227">
        <f t="shared" si="10"/>
        <v>65.25</v>
      </c>
      <c r="M227" s="4">
        <f t="shared" si="11"/>
        <v>0.09</v>
      </c>
      <c r="N227">
        <v>725</v>
      </c>
      <c r="O227">
        <v>725</v>
      </c>
      <c r="P227" t="s">
        <v>25</v>
      </c>
      <c r="Q227" t="s">
        <v>26</v>
      </c>
      <c r="R227" t="str">
        <f>IF(COUNTIF(Sheet2!B:B, A227) &gt; 0, "Yes", "No")</f>
        <v>No</v>
      </c>
    </row>
    <row r="228" spans="1:18" x14ac:dyDescent="0.25">
      <c r="A228" s="3">
        <v>45075</v>
      </c>
      <c r="B228" t="s">
        <v>142</v>
      </c>
      <c r="C228" t="s">
        <v>19</v>
      </c>
      <c r="D228" t="s">
        <v>33</v>
      </c>
      <c r="E228" t="s">
        <v>21</v>
      </c>
      <c r="F228" t="s">
        <v>34</v>
      </c>
      <c r="G228" t="s">
        <v>57</v>
      </c>
      <c r="H228" t="s">
        <v>224</v>
      </c>
      <c r="I228">
        <v>0.15</v>
      </c>
      <c r="J228">
        <f t="shared" si="9"/>
        <v>54.449999999999996</v>
      </c>
      <c r="K228">
        <v>0</v>
      </c>
      <c r="L228">
        <f t="shared" si="10"/>
        <v>54.449999999999996</v>
      </c>
      <c r="M228" s="4">
        <f t="shared" si="11"/>
        <v>0.15</v>
      </c>
      <c r="N228">
        <v>363</v>
      </c>
      <c r="O228">
        <v>363</v>
      </c>
      <c r="P228" t="s">
        <v>25</v>
      </c>
      <c r="Q228" t="s">
        <v>26</v>
      </c>
      <c r="R228" t="str">
        <f>IF(COUNTIF(Sheet2!B:B, A228) &gt; 0, "Yes", "No")</f>
        <v>No</v>
      </c>
    </row>
    <row r="229" spans="1:18" x14ac:dyDescent="0.25">
      <c r="A229" s="3">
        <v>45075</v>
      </c>
      <c r="B229" t="s">
        <v>142</v>
      </c>
      <c r="C229" t="s">
        <v>19</v>
      </c>
      <c r="D229" t="s">
        <v>20</v>
      </c>
      <c r="E229" t="s">
        <v>21</v>
      </c>
      <c r="F229" t="s">
        <v>37</v>
      </c>
      <c r="G229" t="s">
        <v>38</v>
      </c>
      <c r="H229" t="s">
        <v>39</v>
      </c>
      <c r="I229">
        <v>0.03</v>
      </c>
      <c r="J229">
        <f t="shared" si="9"/>
        <v>21.75</v>
      </c>
      <c r="K229">
        <v>3.5</v>
      </c>
      <c r="L229">
        <f t="shared" si="10"/>
        <v>18.25</v>
      </c>
      <c r="M229" s="4">
        <f t="shared" si="11"/>
        <v>2.5172413793103449E-2</v>
      </c>
      <c r="N229">
        <v>725</v>
      </c>
      <c r="O229">
        <v>725</v>
      </c>
      <c r="P229" t="s">
        <v>25</v>
      </c>
      <c r="Q229" t="s">
        <v>26</v>
      </c>
      <c r="R229" t="str">
        <f>IF(COUNTIF(Sheet2!B:B, A229) &gt; 0, "Yes", "No")</f>
        <v>No</v>
      </c>
    </row>
    <row r="230" spans="1:18" x14ac:dyDescent="0.25">
      <c r="A230" s="3">
        <v>45075</v>
      </c>
      <c r="B230" t="s">
        <v>142</v>
      </c>
      <c r="C230" t="s">
        <v>19</v>
      </c>
      <c r="D230" t="s">
        <v>20</v>
      </c>
      <c r="E230" t="s">
        <v>21</v>
      </c>
      <c r="F230" t="s">
        <v>40</v>
      </c>
      <c r="G230" t="s">
        <v>41</v>
      </c>
      <c r="H230" t="s">
        <v>42</v>
      </c>
      <c r="I230">
        <v>4.4999999999999998E-2</v>
      </c>
      <c r="J230">
        <f t="shared" si="9"/>
        <v>32.625</v>
      </c>
      <c r="K230">
        <v>2.5</v>
      </c>
      <c r="L230">
        <f t="shared" si="10"/>
        <v>30.125</v>
      </c>
      <c r="M230" s="4">
        <f t="shared" si="11"/>
        <v>4.1551724137931033E-2</v>
      </c>
      <c r="N230">
        <v>725</v>
      </c>
      <c r="O230">
        <v>725</v>
      </c>
      <c r="P230" t="s">
        <v>25</v>
      </c>
      <c r="Q230" t="s">
        <v>26</v>
      </c>
      <c r="R230" t="str">
        <f>IF(COUNTIF(Sheet2!B:B, A230) &gt; 0, "Yes", "No")</f>
        <v>No</v>
      </c>
    </row>
    <row r="231" spans="1:18" x14ac:dyDescent="0.25">
      <c r="A231" s="3">
        <v>45075</v>
      </c>
      <c r="B231" t="s">
        <v>142</v>
      </c>
      <c r="C231" t="s">
        <v>19</v>
      </c>
      <c r="D231" t="s">
        <v>20</v>
      </c>
      <c r="E231" t="s">
        <v>21</v>
      </c>
      <c r="F231" t="s">
        <v>43</v>
      </c>
      <c r="G231" t="s">
        <v>44</v>
      </c>
      <c r="H231" t="s">
        <v>225</v>
      </c>
      <c r="I231">
        <v>0.11</v>
      </c>
      <c r="J231">
        <f t="shared" si="9"/>
        <v>79.75</v>
      </c>
      <c r="K231">
        <v>0</v>
      </c>
      <c r="L231">
        <f t="shared" si="10"/>
        <v>79.75</v>
      </c>
      <c r="M231" s="4">
        <f t="shared" si="11"/>
        <v>0.11</v>
      </c>
      <c r="N231">
        <v>725</v>
      </c>
      <c r="O231">
        <v>725</v>
      </c>
      <c r="P231" t="s">
        <v>25</v>
      </c>
      <c r="Q231" t="s">
        <v>26</v>
      </c>
      <c r="R231" t="str">
        <f>IF(COUNTIF(Sheet2!B:B, A231) &gt; 0, "Yes", "No")</f>
        <v>No</v>
      </c>
    </row>
    <row r="232" spans="1:18" x14ac:dyDescent="0.25">
      <c r="A232" s="3">
        <v>45075</v>
      </c>
      <c r="B232" t="s">
        <v>142</v>
      </c>
      <c r="C232" t="s">
        <v>19</v>
      </c>
      <c r="D232" t="s">
        <v>20</v>
      </c>
      <c r="E232" t="s">
        <v>21</v>
      </c>
      <c r="F232" t="s">
        <v>46</v>
      </c>
      <c r="G232" t="s">
        <v>92</v>
      </c>
      <c r="H232" t="s">
        <v>93</v>
      </c>
      <c r="I232">
        <v>8.5000000000000006E-2</v>
      </c>
      <c r="J232">
        <f t="shared" si="9"/>
        <v>61.625000000000007</v>
      </c>
      <c r="K232">
        <v>3</v>
      </c>
      <c r="L232">
        <f t="shared" si="10"/>
        <v>58.625000000000007</v>
      </c>
      <c r="M232" s="4">
        <f t="shared" si="11"/>
        <v>8.0862068965517245E-2</v>
      </c>
      <c r="N232">
        <v>725</v>
      </c>
      <c r="O232">
        <v>725</v>
      </c>
      <c r="P232" t="s">
        <v>25</v>
      </c>
      <c r="Q232" t="s">
        <v>26</v>
      </c>
      <c r="R232" t="str">
        <f>IF(COUNTIF(Sheet2!B:B, A232) &gt; 0, "Yes", "No")</f>
        <v>No</v>
      </c>
    </row>
    <row r="233" spans="1:18" x14ac:dyDescent="0.25">
      <c r="A233" s="3">
        <v>45075</v>
      </c>
      <c r="B233" t="s">
        <v>142</v>
      </c>
      <c r="C233" t="s">
        <v>19</v>
      </c>
      <c r="D233" t="s">
        <v>20</v>
      </c>
      <c r="E233" t="s">
        <v>21</v>
      </c>
      <c r="F233" t="s">
        <v>49</v>
      </c>
      <c r="G233" t="s">
        <v>50</v>
      </c>
      <c r="H233" t="s">
        <v>49</v>
      </c>
      <c r="I233">
        <v>0.09</v>
      </c>
      <c r="J233">
        <f t="shared" si="9"/>
        <v>65.25</v>
      </c>
      <c r="K233">
        <v>0</v>
      </c>
      <c r="L233">
        <f t="shared" si="10"/>
        <v>65.25</v>
      </c>
      <c r="M233" s="4">
        <f t="shared" si="11"/>
        <v>0.09</v>
      </c>
      <c r="N233">
        <v>725</v>
      </c>
      <c r="O233">
        <v>725</v>
      </c>
      <c r="P233" t="s">
        <v>25</v>
      </c>
      <c r="Q233" t="s">
        <v>26</v>
      </c>
      <c r="R233" t="str">
        <f>IF(COUNTIF(Sheet2!B:B, A233) &gt; 0, "Yes", "No")</f>
        <v>No</v>
      </c>
    </row>
    <row r="234" spans="1:18" x14ac:dyDescent="0.25">
      <c r="A234" s="3">
        <v>45076</v>
      </c>
      <c r="B234" t="s">
        <v>142</v>
      </c>
      <c r="C234" t="s">
        <v>105</v>
      </c>
      <c r="D234" t="s">
        <v>20</v>
      </c>
      <c r="E234" t="s">
        <v>67</v>
      </c>
      <c r="F234" t="s">
        <v>22</v>
      </c>
      <c r="G234" t="s">
        <v>94</v>
      </c>
      <c r="H234" t="s">
        <v>226</v>
      </c>
      <c r="I234">
        <v>8.5000000000000006E-2</v>
      </c>
      <c r="J234">
        <f t="shared" si="9"/>
        <v>59.500000000000007</v>
      </c>
      <c r="K234">
        <v>1</v>
      </c>
      <c r="L234">
        <f t="shared" si="10"/>
        <v>58.500000000000007</v>
      </c>
      <c r="M234" s="4">
        <f t="shared" si="11"/>
        <v>8.3571428571428588E-2</v>
      </c>
      <c r="N234">
        <v>700</v>
      </c>
      <c r="O234">
        <v>700</v>
      </c>
      <c r="P234" t="s">
        <v>25</v>
      </c>
      <c r="Q234" t="s">
        <v>26</v>
      </c>
      <c r="R234" t="str">
        <f>IF(COUNTIF(Sheet2!B:B, A234) &gt; 0, "Yes", "No")</f>
        <v>No</v>
      </c>
    </row>
    <row r="235" spans="1:18" x14ac:dyDescent="0.25">
      <c r="A235" s="3">
        <v>45076</v>
      </c>
      <c r="B235" t="s">
        <v>142</v>
      </c>
      <c r="C235" t="s">
        <v>105</v>
      </c>
      <c r="D235" t="s">
        <v>20</v>
      </c>
      <c r="E235" t="s">
        <v>67</v>
      </c>
      <c r="F235" t="s">
        <v>27</v>
      </c>
      <c r="G235" t="s">
        <v>28</v>
      </c>
      <c r="H235" t="s">
        <v>227</v>
      </c>
      <c r="I235">
        <v>0.11</v>
      </c>
      <c r="J235">
        <f t="shared" si="9"/>
        <v>77</v>
      </c>
      <c r="K235">
        <v>0</v>
      </c>
      <c r="L235">
        <f t="shared" si="10"/>
        <v>77</v>
      </c>
      <c r="M235" s="4">
        <f t="shared" si="11"/>
        <v>0.11</v>
      </c>
      <c r="N235">
        <v>700</v>
      </c>
      <c r="O235">
        <v>700</v>
      </c>
      <c r="P235" t="s">
        <v>25</v>
      </c>
      <c r="Q235" t="s">
        <v>26</v>
      </c>
      <c r="R235" t="str">
        <f>IF(COUNTIF(Sheet2!B:B, A235) &gt; 0, "Yes", "No")</f>
        <v>No</v>
      </c>
    </row>
    <row r="236" spans="1:18" x14ac:dyDescent="0.25">
      <c r="A236" s="3">
        <v>45076</v>
      </c>
      <c r="B236" t="s">
        <v>142</v>
      </c>
      <c r="C236" t="s">
        <v>105</v>
      </c>
      <c r="D236" t="s">
        <v>20</v>
      </c>
      <c r="E236" t="s">
        <v>67</v>
      </c>
      <c r="F236" t="s">
        <v>30</v>
      </c>
      <c r="G236" t="s">
        <v>31</v>
      </c>
      <c r="H236" t="s">
        <v>172</v>
      </c>
      <c r="I236">
        <v>0.09</v>
      </c>
      <c r="J236">
        <f t="shared" si="9"/>
        <v>63</v>
      </c>
      <c r="K236">
        <v>0</v>
      </c>
      <c r="L236">
        <f t="shared" si="10"/>
        <v>63</v>
      </c>
      <c r="M236" s="4">
        <f t="shared" si="11"/>
        <v>0.09</v>
      </c>
      <c r="N236">
        <v>700</v>
      </c>
      <c r="O236">
        <v>700</v>
      </c>
      <c r="P236" t="s">
        <v>25</v>
      </c>
      <c r="Q236" t="s">
        <v>26</v>
      </c>
      <c r="R236" t="str">
        <f>IF(COUNTIF(Sheet2!B:B, A236) &gt; 0, "Yes", "No")</f>
        <v>No</v>
      </c>
    </row>
    <row r="237" spans="1:18" x14ac:dyDescent="0.25">
      <c r="A237" s="3">
        <v>45076</v>
      </c>
      <c r="B237" t="s">
        <v>142</v>
      </c>
      <c r="C237" t="s">
        <v>105</v>
      </c>
      <c r="D237" t="s">
        <v>20</v>
      </c>
      <c r="E237" t="s">
        <v>67</v>
      </c>
      <c r="F237" t="s">
        <v>37</v>
      </c>
      <c r="G237" t="s">
        <v>87</v>
      </c>
      <c r="H237" t="s">
        <v>88</v>
      </c>
      <c r="I237">
        <v>3.5000000000000003E-2</v>
      </c>
      <c r="J237">
        <f t="shared" si="9"/>
        <v>24.500000000000004</v>
      </c>
      <c r="K237">
        <v>2</v>
      </c>
      <c r="L237">
        <f t="shared" si="10"/>
        <v>22.500000000000004</v>
      </c>
      <c r="M237" s="4">
        <f t="shared" si="11"/>
        <v>3.2142857142857147E-2</v>
      </c>
      <c r="N237">
        <v>700</v>
      </c>
      <c r="O237">
        <v>700</v>
      </c>
      <c r="P237" t="s">
        <v>25</v>
      </c>
      <c r="Q237" t="s">
        <v>26</v>
      </c>
      <c r="R237" t="str">
        <f>IF(COUNTIF(Sheet2!B:B, A237) &gt; 0, "Yes", "No")</f>
        <v>No</v>
      </c>
    </row>
    <row r="238" spans="1:18" x14ac:dyDescent="0.25">
      <c r="A238" s="3">
        <v>45076</v>
      </c>
      <c r="B238" t="s">
        <v>142</v>
      </c>
      <c r="C238" t="s">
        <v>105</v>
      </c>
      <c r="D238" t="s">
        <v>20</v>
      </c>
      <c r="E238" t="s">
        <v>67</v>
      </c>
      <c r="F238" t="s">
        <v>40</v>
      </c>
      <c r="G238" t="s">
        <v>137</v>
      </c>
      <c r="H238" t="s">
        <v>152</v>
      </c>
      <c r="I238">
        <v>0.05</v>
      </c>
      <c r="J238">
        <f t="shared" si="9"/>
        <v>35</v>
      </c>
      <c r="K238">
        <v>2</v>
      </c>
      <c r="L238">
        <f t="shared" si="10"/>
        <v>33</v>
      </c>
      <c r="M238" s="4">
        <f t="shared" si="11"/>
        <v>4.7142857142857146E-2</v>
      </c>
      <c r="N238">
        <v>700</v>
      </c>
      <c r="O238">
        <v>700</v>
      </c>
      <c r="P238" t="s">
        <v>25</v>
      </c>
      <c r="Q238" t="s">
        <v>26</v>
      </c>
      <c r="R238" t="str">
        <f>IF(COUNTIF(Sheet2!B:B, A238) &gt; 0, "Yes", "No")</f>
        <v>No</v>
      </c>
    </row>
    <row r="239" spans="1:18" x14ac:dyDescent="0.25">
      <c r="A239" s="3">
        <v>45076</v>
      </c>
      <c r="B239" t="s">
        <v>142</v>
      </c>
      <c r="C239" t="s">
        <v>105</v>
      </c>
      <c r="D239" t="s">
        <v>20</v>
      </c>
      <c r="E239" t="s">
        <v>67</v>
      </c>
      <c r="F239" t="s">
        <v>43</v>
      </c>
      <c r="G239" t="s">
        <v>159</v>
      </c>
      <c r="H239" t="s">
        <v>160</v>
      </c>
      <c r="I239">
        <v>0.11</v>
      </c>
      <c r="J239">
        <f t="shared" si="9"/>
        <v>77</v>
      </c>
      <c r="K239">
        <v>2</v>
      </c>
      <c r="L239">
        <f t="shared" si="10"/>
        <v>75</v>
      </c>
      <c r="M239" s="4">
        <f t="shared" si="11"/>
        <v>0.10714285714285714</v>
      </c>
      <c r="N239">
        <v>700</v>
      </c>
      <c r="O239">
        <v>700</v>
      </c>
      <c r="P239" t="s">
        <v>25</v>
      </c>
      <c r="Q239" t="s">
        <v>26</v>
      </c>
      <c r="R239" t="str">
        <f>IF(COUNTIF(Sheet2!B:B, A239) &gt; 0, "Yes", "No")</f>
        <v>No</v>
      </c>
    </row>
    <row r="240" spans="1:18" x14ac:dyDescent="0.25">
      <c r="A240" s="3">
        <v>45076</v>
      </c>
      <c r="B240" t="s">
        <v>142</v>
      </c>
      <c r="C240" t="s">
        <v>105</v>
      </c>
      <c r="D240" t="s">
        <v>20</v>
      </c>
      <c r="E240" t="s">
        <v>67</v>
      </c>
      <c r="F240" t="s">
        <v>46</v>
      </c>
      <c r="G240" t="s">
        <v>47</v>
      </c>
      <c r="H240" t="s">
        <v>228</v>
      </c>
      <c r="I240">
        <v>8.5000000000000006E-2</v>
      </c>
      <c r="J240">
        <f t="shared" si="9"/>
        <v>59.500000000000007</v>
      </c>
      <c r="K240">
        <v>3</v>
      </c>
      <c r="L240">
        <f t="shared" si="10"/>
        <v>56.500000000000007</v>
      </c>
      <c r="M240" s="4">
        <f t="shared" si="11"/>
        <v>8.0714285714285725E-2</v>
      </c>
      <c r="N240">
        <v>700</v>
      </c>
      <c r="O240">
        <v>700</v>
      </c>
      <c r="P240" t="s">
        <v>25</v>
      </c>
      <c r="Q240" t="s">
        <v>26</v>
      </c>
      <c r="R240" t="str">
        <f>IF(COUNTIF(Sheet2!B:B, A240) &gt; 0, "Yes", "No")</f>
        <v>No</v>
      </c>
    </row>
    <row r="241" spans="1:18" x14ac:dyDescent="0.25">
      <c r="A241" s="3">
        <v>45076</v>
      </c>
      <c r="B241" t="s">
        <v>142</v>
      </c>
      <c r="C241" t="s">
        <v>105</v>
      </c>
      <c r="D241" t="s">
        <v>20</v>
      </c>
      <c r="E241" t="s">
        <v>67</v>
      </c>
      <c r="F241" t="s">
        <v>49</v>
      </c>
      <c r="G241" t="s">
        <v>50</v>
      </c>
      <c r="H241" t="s">
        <v>49</v>
      </c>
      <c r="I241">
        <v>0.09</v>
      </c>
      <c r="J241">
        <f t="shared" si="9"/>
        <v>63</v>
      </c>
      <c r="K241">
        <v>0</v>
      </c>
      <c r="L241">
        <f t="shared" si="10"/>
        <v>63</v>
      </c>
      <c r="M241" s="4">
        <f t="shared" si="11"/>
        <v>0.09</v>
      </c>
      <c r="N241">
        <v>700</v>
      </c>
      <c r="O241">
        <v>700</v>
      </c>
      <c r="P241" t="s">
        <v>25</v>
      </c>
      <c r="Q241" t="s">
        <v>26</v>
      </c>
      <c r="R241" t="str">
        <f>IF(COUNTIF(Sheet2!B:B, A241) &gt; 0, "Yes", "No")</f>
        <v>No</v>
      </c>
    </row>
    <row r="242" spans="1:18" x14ac:dyDescent="0.25">
      <c r="A242" s="3">
        <v>45077</v>
      </c>
      <c r="B242" t="s">
        <v>142</v>
      </c>
      <c r="C242" t="s">
        <v>51</v>
      </c>
      <c r="D242" t="s">
        <v>20</v>
      </c>
      <c r="E242" t="s">
        <v>21</v>
      </c>
      <c r="F242" t="s">
        <v>22</v>
      </c>
      <c r="G242" t="s">
        <v>94</v>
      </c>
      <c r="H242" t="s">
        <v>199</v>
      </c>
      <c r="I242">
        <v>8.5000000000000006E-2</v>
      </c>
      <c r="J242">
        <f t="shared" si="9"/>
        <v>63.750000000000007</v>
      </c>
      <c r="K242">
        <v>6</v>
      </c>
      <c r="L242">
        <f t="shared" si="10"/>
        <v>57.750000000000007</v>
      </c>
      <c r="M242" s="4">
        <f t="shared" si="11"/>
        <v>7.7000000000000013E-2</v>
      </c>
      <c r="N242">
        <v>750</v>
      </c>
      <c r="O242">
        <v>750</v>
      </c>
      <c r="P242" t="s">
        <v>25</v>
      </c>
      <c r="Q242" t="s">
        <v>26</v>
      </c>
      <c r="R242" t="str">
        <f>IF(COUNTIF(Sheet2!B:B, A242) &gt; 0, "Yes", "No")</f>
        <v>No</v>
      </c>
    </row>
    <row r="243" spans="1:18" x14ac:dyDescent="0.25">
      <c r="A243" s="3">
        <v>45077</v>
      </c>
      <c r="B243" t="s">
        <v>142</v>
      </c>
      <c r="C243" t="s">
        <v>51</v>
      </c>
      <c r="D243" t="s">
        <v>20</v>
      </c>
      <c r="E243" t="s">
        <v>21</v>
      </c>
      <c r="F243" t="s">
        <v>27</v>
      </c>
      <c r="G243" t="s">
        <v>28</v>
      </c>
      <c r="H243" t="s">
        <v>229</v>
      </c>
      <c r="I243">
        <v>0.11</v>
      </c>
      <c r="J243">
        <f t="shared" si="9"/>
        <v>82.5</v>
      </c>
      <c r="K243">
        <v>3</v>
      </c>
      <c r="L243">
        <f t="shared" si="10"/>
        <v>79.5</v>
      </c>
      <c r="M243" s="4">
        <f t="shared" si="11"/>
        <v>0.106</v>
      </c>
      <c r="N243">
        <v>750</v>
      </c>
      <c r="O243">
        <v>750</v>
      </c>
      <c r="P243" t="s">
        <v>25</v>
      </c>
      <c r="Q243" t="s">
        <v>26</v>
      </c>
      <c r="R243" t="str">
        <f>IF(COUNTIF(Sheet2!B:B, A243) &gt; 0, "Yes", "No")</f>
        <v>No</v>
      </c>
    </row>
    <row r="244" spans="1:18" x14ac:dyDescent="0.25">
      <c r="A244" s="3">
        <v>45077</v>
      </c>
      <c r="B244" t="s">
        <v>142</v>
      </c>
      <c r="C244" t="s">
        <v>51</v>
      </c>
      <c r="D244" t="s">
        <v>20</v>
      </c>
      <c r="E244" t="s">
        <v>21</v>
      </c>
      <c r="F244" t="s">
        <v>30</v>
      </c>
      <c r="G244" t="s">
        <v>55</v>
      </c>
      <c r="H244" t="s">
        <v>83</v>
      </c>
      <c r="I244">
        <v>0.09</v>
      </c>
      <c r="J244">
        <f t="shared" si="9"/>
        <v>67.5</v>
      </c>
      <c r="K244">
        <v>0</v>
      </c>
      <c r="L244">
        <f t="shared" si="10"/>
        <v>67.5</v>
      </c>
      <c r="M244" s="4">
        <f t="shared" si="11"/>
        <v>0.09</v>
      </c>
      <c r="N244">
        <v>750</v>
      </c>
      <c r="O244">
        <v>750</v>
      </c>
      <c r="P244" t="s">
        <v>25</v>
      </c>
      <c r="Q244" t="s">
        <v>26</v>
      </c>
      <c r="R244" t="str">
        <f>IF(COUNTIF(Sheet2!B:B, A244) &gt; 0, "Yes", "No")</f>
        <v>No</v>
      </c>
    </row>
    <row r="245" spans="1:18" x14ac:dyDescent="0.25">
      <c r="A245" s="3">
        <v>45077</v>
      </c>
      <c r="B245" t="s">
        <v>142</v>
      </c>
      <c r="C245" t="s">
        <v>51</v>
      </c>
      <c r="D245" t="s">
        <v>33</v>
      </c>
      <c r="E245" t="s">
        <v>21</v>
      </c>
      <c r="F245" t="s">
        <v>34</v>
      </c>
      <c r="G245" t="s">
        <v>35</v>
      </c>
      <c r="H245" t="s">
        <v>230</v>
      </c>
      <c r="I245">
        <v>0.15</v>
      </c>
      <c r="J245">
        <f t="shared" si="9"/>
        <v>56.25</v>
      </c>
      <c r="K245">
        <v>0</v>
      </c>
      <c r="L245">
        <f t="shared" si="10"/>
        <v>56.25</v>
      </c>
      <c r="M245" s="4">
        <f t="shared" si="11"/>
        <v>0.15</v>
      </c>
      <c r="N245">
        <v>375</v>
      </c>
      <c r="O245">
        <v>375</v>
      </c>
      <c r="P245" t="s">
        <v>25</v>
      </c>
      <c r="Q245" t="s">
        <v>26</v>
      </c>
      <c r="R245" t="str">
        <f>IF(COUNTIF(Sheet2!B:B, A245) &gt; 0, "Yes", "No")</f>
        <v>No</v>
      </c>
    </row>
    <row r="246" spans="1:18" x14ac:dyDescent="0.25">
      <c r="A246" s="3">
        <v>45077</v>
      </c>
      <c r="B246" t="s">
        <v>142</v>
      </c>
      <c r="C246" t="s">
        <v>51</v>
      </c>
      <c r="D246" t="s">
        <v>20</v>
      </c>
      <c r="E246" t="s">
        <v>21</v>
      </c>
      <c r="F246" t="s">
        <v>37</v>
      </c>
      <c r="G246" t="s">
        <v>87</v>
      </c>
      <c r="H246" t="s">
        <v>99</v>
      </c>
      <c r="I246">
        <v>0.03</v>
      </c>
      <c r="J246">
        <f t="shared" si="9"/>
        <v>22.5</v>
      </c>
      <c r="K246">
        <v>2</v>
      </c>
      <c r="L246">
        <f t="shared" si="10"/>
        <v>20.5</v>
      </c>
      <c r="M246" s="4">
        <f t="shared" si="11"/>
        <v>2.7333333333333334E-2</v>
      </c>
      <c r="N246">
        <v>750</v>
      </c>
      <c r="O246">
        <v>750</v>
      </c>
      <c r="P246" t="s">
        <v>25</v>
      </c>
      <c r="Q246" t="s">
        <v>26</v>
      </c>
      <c r="R246" t="str">
        <f>IF(COUNTIF(Sheet2!B:B, A246) &gt; 0, "Yes", "No")</f>
        <v>No</v>
      </c>
    </row>
    <row r="247" spans="1:18" x14ac:dyDescent="0.25">
      <c r="A247" s="3">
        <v>45077</v>
      </c>
      <c r="B247" t="s">
        <v>142</v>
      </c>
      <c r="C247" t="s">
        <v>51</v>
      </c>
      <c r="D247" t="s">
        <v>20</v>
      </c>
      <c r="E247" t="s">
        <v>21</v>
      </c>
      <c r="F247" t="s">
        <v>40</v>
      </c>
      <c r="G247" t="s">
        <v>73</v>
      </c>
      <c r="H247" t="s">
        <v>231</v>
      </c>
      <c r="I247">
        <v>4.4999999999999998E-2</v>
      </c>
      <c r="J247">
        <f t="shared" si="9"/>
        <v>33.75</v>
      </c>
      <c r="K247">
        <v>4</v>
      </c>
      <c r="L247">
        <f t="shared" si="10"/>
        <v>29.75</v>
      </c>
      <c r="M247" s="4">
        <f t="shared" si="11"/>
        <v>3.966666666666667E-2</v>
      </c>
      <c r="N247">
        <v>750</v>
      </c>
      <c r="O247">
        <v>750</v>
      </c>
      <c r="P247" t="s">
        <v>25</v>
      </c>
      <c r="Q247" t="s">
        <v>26</v>
      </c>
      <c r="R247" t="str">
        <f>IF(COUNTIF(Sheet2!B:B, A247) &gt; 0, "Yes", "No")</f>
        <v>No</v>
      </c>
    </row>
    <row r="248" spans="1:18" x14ac:dyDescent="0.25">
      <c r="A248" s="3">
        <v>45077</v>
      </c>
      <c r="B248" t="s">
        <v>142</v>
      </c>
      <c r="C248" t="s">
        <v>51</v>
      </c>
      <c r="D248" t="s">
        <v>20</v>
      </c>
      <c r="E248" t="s">
        <v>21</v>
      </c>
      <c r="F248" t="s">
        <v>43</v>
      </c>
      <c r="G248" t="s">
        <v>44</v>
      </c>
      <c r="H248" t="s">
        <v>232</v>
      </c>
      <c r="I248">
        <v>0.11</v>
      </c>
      <c r="J248">
        <f t="shared" si="9"/>
        <v>82.5</v>
      </c>
      <c r="K248">
        <v>0</v>
      </c>
      <c r="L248">
        <f t="shared" si="10"/>
        <v>82.5</v>
      </c>
      <c r="M248" s="4">
        <f t="shared" si="11"/>
        <v>0.11</v>
      </c>
      <c r="N248">
        <v>750</v>
      </c>
      <c r="O248">
        <v>750</v>
      </c>
      <c r="P248" t="s">
        <v>25</v>
      </c>
      <c r="Q248" t="s">
        <v>26</v>
      </c>
      <c r="R248" t="str">
        <f>IF(COUNTIF(Sheet2!B:B, A248) &gt; 0, "Yes", "No")</f>
        <v>No</v>
      </c>
    </row>
    <row r="249" spans="1:18" x14ac:dyDescent="0.25">
      <c r="A249" s="3">
        <v>45077</v>
      </c>
      <c r="B249" t="s">
        <v>142</v>
      </c>
      <c r="C249" t="s">
        <v>51</v>
      </c>
      <c r="D249" t="s">
        <v>20</v>
      </c>
      <c r="E249" t="s">
        <v>21</v>
      </c>
      <c r="F249" t="s">
        <v>46</v>
      </c>
      <c r="G249" t="s">
        <v>103</v>
      </c>
      <c r="H249" t="s">
        <v>233</v>
      </c>
      <c r="I249">
        <v>0.09</v>
      </c>
      <c r="J249">
        <f t="shared" si="9"/>
        <v>67.5</v>
      </c>
      <c r="K249">
        <v>10</v>
      </c>
      <c r="L249">
        <f t="shared" si="10"/>
        <v>57.5</v>
      </c>
      <c r="M249" s="4">
        <f t="shared" si="11"/>
        <v>7.6666666666666661E-2</v>
      </c>
      <c r="N249">
        <v>750</v>
      </c>
      <c r="O249">
        <v>750</v>
      </c>
      <c r="P249" t="s">
        <v>25</v>
      </c>
      <c r="Q249" t="s">
        <v>26</v>
      </c>
      <c r="R249" t="str">
        <f>IF(COUNTIF(Sheet2!B:B, A249) &gt; 0, "Yes", "No")</f>
        <v>No</v>
      </c>
    </row>
    <row r="250" spans="1:18" x14ac:dyDescent="0.25">
      <c r="A250" s="3">
        <v>45077</v>
      </c>
      <c r="B250" t="s">
        <v>142</v>
      </c>
      <c r="C250" t="s">
        <v>51</v>
      </c>
      <c r="D250" t="s">
        <v>20</v>
      </c>
      <c r="E250" t="s">
        <v>21</v>
      </c>
      <c r="F250" t="s">
        <v>49</v>
      </c>
      <c r="G250" t="s">
        <v>50</v>
      </c>
      <c r="H250" t="s">
        <v>49</v>
      </c>
      <c r="I250">
        <v>0.09</v>
      </c>
      <c r="J250">
        <f t="shared" si="9"/>
        <v>67.5</v>
      </c>
      <c r="K250">
        <v>0</v>
      </c>
      <c r="L250">
        <f t="shared" si="10"/>
        <v>67.5</v>
      </c>
      <c r="M250" s="4">
        <f t="shared" si="11"/>
        <v>0.09</v>
      </c>
      <c r="N250">
        <v>750</v>
      </c>
      <c r="O250">
        <v>750</v>
      </c>
      <c r="P250" t="s">
        <v>25</v>
      </c>
      <c r="Q250" t="s">
        <v>26</v>
      </c>
      <c r="R250" t="str">
        <f>IF(COUNTIF(Sheet2!B:B, A250) &gt; 0, "Yes", "No")</f>
        <v>No</v>
      </c>
    </row>
    <row r="251" spans="1:18" x14ac:dyDescent="0.25">
      <c r="A251" s="3">
        <v>45078</v>
      </c>
      <c r="B251" t="s">
        <v>234</v>
      </c>
      <c r="C251" t="s">
        <v>66</v>
      </c>
      <c r="D251" t="s">
        <v>20</v>
      </c>
      <c r="E251" t="s">
        <v>67</v>
      </c>
      <c r="F251" t="s">
        <v>22</v>
      </c>
      <c r="G251" t="s">
        <v>122</v>
      </c>
      <c r="H251" t="s">
        <v>155</v>
      </c>
      <c r="I251">
        <v>8.5000000000000006E-2</v>
      </c>
      <c r="J251">
        <f t="shared" si="9"/>
        <v>59.500000000000007</v>
      </c>
      <c r="K251">
        <v>0</v>
      </c>
      <c r="L251">
        <f t="shared" si="10"/>
        <v>59.500000000000007</v>
      </c>
      <c r="M251" s="4">
        <f t="shared" si="11"/>
        <v>8.5000000000000006E-2</v>
      </c>
      <c r="N251">
        <v>700</v>
      </c>
      <c r="O251">
        <v>700</v>
      </c>
      <c r="P251" t="s">
        <v>25</v>
      </c>
      <c r="Q251" t="s">
        <v>26</v>
      </c>
      <c r="R251" t="str">
        <f>IF(COUNTIF(Sheet2!B:B, A251) &gt; 0, "Yes", "No")</f>
        <v>No</v>
      </c>
    </row>
    <row r="252" spans="1:18" x14ac:dyDescent="0.25">
      <c r="A252" s="3">
        <v>45078</v>
      </c>
      <c r="B252" t="s">
        <v>234</v>
      </c>
      <c r="C252" t="s">
        <v>66</v>
      </c>
      <c r="D252" t="s">
        <v>20</v>
      </c>
      <c r="E252" t="s">
        <v>67</v>
      </c>
      <c r="F252" t="s">
        <v>27</v>
      </c>
      <c r="G252" t="s">
        <v>235</v>
      </c>
      <c r="H252" t="s">
        <v>236</v>
      </c>
      <c r="I252">
        <v>0.12</v>
      </c>
      <c r="J252">
        <f t="shared" si="9"/>
        <v>84</v>
      </c>
      <c r="K252">
        <v>0</v>
      </c>
      <c r="L252">
        <f t="shared" si="10"/>
        <v>84</v>
      </c>
      <c r="M252" s="4">
        <f t="shared" si="11"/>
        <v>0.12</v>
      </c>
      <c r="N252">
        <v>700</v>
      </c>
      <c r="O252">
        <v>700</v>
      </c>
      <c r="P252" t="s">
        <v>25</v>
      </c>
      <c r="Q252" t="s">
        <v>26</v>
      </c>
      <c r="R252" t="str">
        <f>IF(COUNTIF(Sheet2!B:B, A252) &gt; 0, "Yes", "No")</f>
        <v>No</v>
      </c>
    </row>
    <row r="253" spans="1:18" x14ac:dyDescent="0.25">
      <c r="A253" s="3">
        <v>45078</v>
      </c>
      <c r="B253" t="s">
        <v>234</v>
      </c>
      <c r="C253" t="s">
        <v>66</v>
      </c>
      <c r="D253" t="s">
        <v>20</v>
      </c>
      <c r="E253" t="s">
        <v>67</v>
      </c>
      <c r="F253" t="s">
        <v>30</v>
      </c>
      <c r="G253" t="s">
        <v>55</v>
      </c>
      <c r="H253" t="s">
        <v>56</v>
      </c>
      <c r="I253">
        <v>0.09</v>
      </c>
      <c r="J253">
        <f t="shared" si="9"/>
        <v>63</v>
      </c>
      <c r="K253">
        <v>0</v>
      </c>
      <c r="L253">
        <f t="shared" si="10"/>
        <v>63</v>
      </c>
      <c r="M253" s="4">
        <f t="shared" si="11"/>
        <v>0.09</v>
      </c>
      <c r="N253">
        <v>700</v>
      </c>
      <c r="O253">
        <v>700</v>
      </c>
      <c r="P253" t="s">
        <v>25</v>
      </c>
      <c r="Q253" t="s">
        <v>26</v>
      </c>
      <c r="R253" t="str">
        <f>IF(COUNTIF(Sheet2!B:B, A253) &gt; 0, "Yes", "No")</f>
        <v>No</v>
      </c>
    </row>
    <row r="254" spans="1:18" x14ac:dyDescent="0.25">
      <c r="A254" s="3">
        <v>45078</v>
      </c>
      <c r="B254" t="s">
        <v>234</v>
      </c>
      <c r="C254" t="s">
        <v>66</v>
      </c>
      <c r="D254" t="s">
        <v>20</v>
      </c>
      <c r="E254" t="s">
        <v>67</v>
      </c>
      <c r="F254" t="s">
        <v>37</v>
      </c>
      <c r="G254" t="s">
        <v>87</v>
      </c>
      <c r="H254" t="s">
        <v>136</v>
      </c>
      <c r="I254">
        <v>3.5000000000000003E-2</v>
      </c>
      <c r="J254">
        <f t="shared" si="9"/>
        <v>24.500000000000004</v>
      </c>
      <c r="K254">
        <v>5</v>
      </c>
      <c r="L254">
        <f t="shared" si="10"/>
        <v>19.500000000000004</v>
      </c>
      <c r="M254" s="4">
        <f t="shared" si="11"/>
        <v>2.7857142857142862E-2</v>
      </c>
      <c r="N254">
        <v>700</v>
      </c>
      <c r="O254">
        <v>700</v>
      </c>
      <c r="P254" t="s">
        <v>25</v>
      </c>
      <c r="Q254" t="s">
        <v>26</v>
      </c>
      <c r="R254" t="str">
        <f>IF(COUNTIF(Sheet2!B:B, A254) &gt; 0, "Yes", "No")</f>
        <v>No</v>
      </c>
    </row>
    <row r="255" spans="1:18" x14ac:dyDescent="0.25">
      <c r="A255" s="3">
        <v>45078</v>
      </c>
      <c r="B255" t="s">
        <v>234</v>
      </c>
      <c r="C255" t="s">
        <v>66</v>
      </c>
      <c r="D255" t="s">
        <v>20</v>
      </c>
      <c r="E255" t="s">
        <v>67</v>
      </c>
      <c r="F255" t="s">
        <v>40</v>
      </c>
      <c r="G255" t="s">
        <v>157</v>
      </c>
      <c r="H255" t="s">
        <v>158</v>
      </c>
      <c r="I255">
        <v>0.05</v>
      </c>
      <c r="J255">
        <f t="shared" si="9"/>
        <v>35</v>
      </c>
      <c r="K255">
        <v>0</v>
      </c>
      <c r="L255">
        <f t="shared" si="10"/>
        <v>35</v>
      </c>
      <c r="M255" s="4">
        <f t="shared" si="11"/>
        <v>0.05</v>
      </c>
      <c r="N255">
        <v>700</v>
      </c>
      <c r="O255">
        <v>700</v>
      </c>
      <c r="P255" t="s">
        <v>25</v>
      </c>
      <c r="Q255" t="s">
        <v>26</v>
      </c>
      <c r="R255" t="str">
        <f>IF(COUNTIF(Sheet2!B:B, A255) &gt; 0, "Yes", "No")</f>
        <v>No</v>
      </c>
    </row>
    <row r="256" spans="1:18" x14ac:dyDescent="0.25">
      <c r="A256" s="3">
        <v>45078</v>
      </c>
      <c r="B256" t="s">
        <v>234</v>
      </c>
      <c r="C256" t="s">
        <v>66</v>
      </c>
      <c r="D256" t="s">
        <v>20</v>
      </c>
      <c r="E256" t="s">
        <v>67</v>
      </c>
      <c r="F256" t="s">
        <v>43</v>
      </c>
      <c r="G256" t="s">
        <v>128</v>
      </c>
      <c r="H256" t="s">
        <v>129</v>
      </c>
      <c r="I256">
        <v>0.11</v>
      </c>
      <c r="J256">
        <f t="shared" si="9"/>
        <v>77</v>
      </c>
      <c r="K256">
        <v>5</v>
      </c>
      <c r="L256">
        <f t="shared" si="10"/>
        <v>72</v>
      </c>
      <c r="M256" s="4">
        <f t="shared" si="11"/>
        <v>0.10285714285714286</v>
      </c>
      <c r="N256">
        <v>700</v>
      </c>
      <c r="O256">
        <v>700</v>
      </c>
      <c r="P256" t="s">
        <v>25</v>
      </c>
      <c r="Q256" t="s">
        <v>26</v>
      </c>
      <c r="R256" t="str">
        <f>IF(COUNTIF(Sheet2!B:B, A256) &gt; 0, "Yes", "No")</f>
        <v>No</v>
      </c>
    </row>
    <row r="257" spans="1:18" x14ac:dyDescent="0.25">
      <c r="A257" s="3">
        <v>45078</v>
      </c>
      <c r="B257" t="s">
        <v>234</v>
      </c>
      <c r="C257" t="s">
        <v>66</v>
      </c>
      <c r="D257" t="s">
        <v>20</v>
      </c>
      <c r="E257" t="s">
        <v>67</v>
      </c>
      <c r="F257" t="s">
        <v>46</v>
      </c>
      <c r="G257" t="s">
        <v>130</v>
      </c>
      <c r="H257" t="s">
        <v>237</v>
      </c>
      <c r="I257">
        <v>8.5000000000000006E-2</v>
      </c>
      <c r="J257">
        <f t="shared" si="9"/>
        <v>59.500000000000007</v>
      </c>
      <c r="K257">
        <v>0</v>
      </c>
      <c r="L257">
        <f t="shared" si="10"/>
        <v>59.500000000000007</v>
      </c>
      <c r="M257" s="4">
        <f t="shared" si="11"/>
        <v>8.5000000000000006E-2</v>
      </c>
      <c r="N257">
        <v>700</v>
      </c>
      <c r="O257">
        <v>700</v>
      </c>
      <c r="P257" t="s">
        <v>25</v>
      </c>
      <c r="Q257" t="s">
        <v>26</v>
      </c>
      <c r="R257" t="str">
        <f>IF(COUNTIF(Sheet2!B:B, A257) &gt; 0, "Yes", "No")</f>
        <v>No</v>
      </c>
    </row>
    <row r="258" spans="1:18" x14ac:dyDescent="0.25">
      <c r="A258" s="3">
        <v>45078</v>
      </c>
      <c r="B258" t="s">
        <v>234</v>
      </c>
      <c r="C258" t="s">
        <v>66</v>
      </c>
      <c r="D258" t="s">
        <v>20</v>
      </c>
      <c r="E258" t="s">
        <v>67</v>
      </c>
      <c r="F258" t="s">
        <v>49</v>
      </c>
      <c r="G258" t="s">
        <v>50</v>
      </c>
      <c r="H258" t="s">
        <v>49</v>
      </c>
      <c r="I258">
        <v>0.09</v>
      </c>
      <c r="J258">
        <f t="shared" si="9"/>
        <v>63</v>
      </c>
      <c r="K258">
        <v>0</v>
      </c>
      <c r="L258">
        <f t="shared" si="10"/>
        <v>63</v>
      </c>
      <c r="M258" s="4">
        <f t="shared" si="11"/>
        <v>0.09</v>
      </c>
      <c r="N258">
        <v>700</v>
      </c>
      <c r="O258">
        <v>700</v>
      </c>
      <c r="P258" t="s">
        <v>25</v>
      </c>
      <c r="Q258" t="s">
        <v>26</v>
      </c>
      <c r="R258" t="str">
        <f>IF(COUNTIF(Sheet2!B:B, A258) &gt; 0, "Yes", "No")</f>
        <v>No</v>
      </c>
    </row>
    <row r="259" spans="1:18" x14ac:dyDescent="0.25">
      <c r="A259" s="3">
        <v>45079</v>
      </c>
      <c r="B259" t="s">
        <v>234</v>
      </c>
      <c r="C259" t="s">
        <v>79</v>
      </c>
      <c r="D259" t="s">
        <v>20</v>
      </c>
      <c r="E259" t="s">
        <v>21</v>
      </c>
      <c r="F259" t="s">
        <v>22</v>
      </c>
      <c r="G259" t="s">
        <v>94</v>
      </c>
      <c r="H259" t="s">
        <v>168</v>
      </c>
      <c r="I259" s="5">
        <v>0.06</v>
      </c>
      <c r="J259">
        <f t="shared" ref="J259:J322" si="12">I259*O259</f>
        <v>39</v>
      </c>
      <c r="K259">
        <v>0</v>
      </c>
      <c r="L259">
        <f t="shared" ref="L259:L322" si="13">J259-K259</f>
        <v>39</v>
      </c>
      <c r="M259" s="4">
        <f t="shared" ref="M259:M322" si="14">((I259*O259)-K259)/N259</f>
        <v>0.06</v>
      </c>
      <c r="N259">
        <v>650</v>
      </c>
      <c r="O259">
        <v>650</v>
      </c>
      <c r="P259" t="s">
        <v>25</v>
      </c>
      <c r="Q259" t="s">
        <v>26</v>
      </c>
      <c r="R259" t="str">
        <f>IF(COUNTIF(Sheet2!B:B, A259) &gt; 0, "Yes", "No")</f>
        <v>Yes</v>
      </c>
    </row>
    <row r="260" spans="1:18" x14ac:dyDescent="0.25">
      <c r="A260" s="3">
        <v>45079</v>
      </c>
      <c r="B260" t="s">
        <v>234</v>
      </c>
      <c r="C260" t="s">
        <v>79</v>
      </c>
      <c r="D260" t="s">
        <v>20</v>
      </c>
      <c r="E260" t="s">
        <v>21</v>
      </c>
      <c r="F260" t="s">
        <v>27</v>
      </c>
      <c r="G260" t="s">
        <v>28</v>
      </c>
      <c r="H260" t="s">
        <v>238</v>
      </c>
      <c r="I260" s="5">
        <v>0.1</v>
      </c>
      <c r="J260">
        <f t="shared" si="12"/>
        <v>65</v>
      </c>
      <c r="K260">
        <v>7</v>
      </c>
      <c r="L260">
        <f t="shared" si="13"/>
        <v>58</v>
      </c>
      <c r="M260" s="4">
        <f t="shared" si="14"/>
        <v>8.9230769230769225E-2</v>
      </c>
      <c r="N260">
        <v>650</v>
      </c>
      <c r="O260">
        <v>650</v>
      </c>
      <c r="P260" t="s">
        <v>25</v>
      </c>
      <c r="Q260" t="s">
        <v>26</v>
      </c>
      <c r="R260" t="str">
        <f>IF(COUNTIF(Sheet2!B:B, A260) &gt; 0, "Yes", "No")</f>
        <v>Yes</v>
      </c>
    </row>
    <row r="261" spans="1:18" x14ac:dyDescent="0.25">
      <c r="A261" s="3">
        <v>45079</v>
      </c>
      <c r="B261" t="s">
        <v>234</v>
      </c>
      <c r="C261" t="s">
        <v>79</v>
      </c>
      <c r="D261" t="s">
        <v>20</v>
      </c>
      <c r="E261" t="s">
        <v>21</v>
      </c>
      <c r="F261" t="s">
        <v>30</v>
      </c>
      <c r="G261" t="s">
        <v>31</v>
      </c>
      <c r="H261" t="s">
        <v>70</v>
      </c>
      <c r="I261" s="5">
        <v>0.06</v>
      </c>
      <c r="J261">
        <f t="shared" si="12"/>
        <v>39</v>
      </c>
      <c r="K261">
        <v>3</v>
      </c>
      <c r="L261">
        <f t="shared" si="13"/>
        <v>36</v>
      </c>
      <c r="M261" s="4">
        <f t="shared" si="14"/>
        <v>5.5384615384615386E-2</v>
      </c>
      <c r="N261">
        <v>650</v>
      </c>
      <c r="O261">
        <v>650</v>
      </c>
      <c r="P261" t="s">
        <v>25</v>
      </c>
      <c r="Q261" t="s">
        <v>26</v>
      </c>
      <c r="R261" t="str">
        <f>IF(COUNTIF(Sheet2!B:B, A261) &gt; 0, "Yes", "No")</f>
        <v>Yes</v>
      </c>
    </row>
    <row r="262" spans="1:18" x14ac:dyDescent="0.25">
      <c r="A262" s="3">
        <v>45079</v>
      </c>
      <c r="B262" t="s">
        <v>234</v>
      </c>
      <c r="C262" t="s">
        <v>79</v>
      </c>
      <c r="D262" t="s">
        <v>33</v>
      </c>
      <c r="E262" t="s">
        <v>21</v>
      </c>
      <c r="F262" t="s">
        <v>84</v>
      </c>
      <c r="G262" t="s">
        <v>85</v>
      </c>
      <c r="H262" t="s">
        <v>86</v>
      </c>
      <c r="I262" s="5">
        <v>0.3</v>
      </c>
      <c r="J262">
        <f t="shared" si="12"/>
        <v>97.5</v>
      </c>
      <c r="K262">
        <v>0</v>
      </c>
      <c r="L262">
        <f t="shared" si="13"/>
        <v>97.5</v>
      </c>
      <c r="M262" s="4">
        <f t="shared" si="14"/>
        <v>0.3</v>
      </c>
      <c r="N262">
        <v>325</v>
      </c>
      <c r="O262">
        <v>325</v>
      </c>
      <c r="P262" t="s">
        <v>25</v>
      </c>
      <c r="Q262" t="s">
        <v>26</v>
      </c>
      <c r="R262" t="str">
        <f>IF(COUNTIF(Sheet2!B:B, A262) &gt; 0, "Yes", "No")</f>
        <v>Yes</v>
      </c>
    </row>
    <row r="263" spans="1:18" x14ac:dyDescent="0.25">
      <c r="A263" s="3">
        <v>45079</v>
      </c>
      <c r="B263" t="s">
        <v>234</v>
      </c>
      <c r="C263" t="s">
        <v>79</v>
      </c>
      <c r="D263" t="s">
        <v>20</v>
      </c>
      <c r="E263" t="s">
        <v>21</v>
      </c>
      <c r="F263" t="s">
        <v>37</v>
      </c>
      <c r="G263" t="s">
        <v>59</v>
      </c>
      <c r="H263" t="s">
        <v>60</v>
      </c>
      <c r="I263" s="5">
        <v>2.5000000000000001E-2</v>
      </c>
      <c r="J263">
        <f t="shared" si="12"/>
        <v>16.25</v>
      </c>
      <c r="K263">
        <v>3</v>
      </c>
      <c r="L263">
        <f t="shared" si="13"/>
        <v>13.25</v>
      </c>
      <c r="M263" s="4">
        <f t="shared" si="14"/>
        <v>2.0384615384615383E-2</v>
      </c>
      <c r="N263">
        <v>650</v>
      </c>
      <c r="O263">
        <v>650</v>
      </c>
      <c r="P263" t="s">
        <v>25</v>
      </c>
      <c r="Q263" t="s">
        <v>26</v>
      </c>
      <c r="R263" t="str">
        <f>IF(COUNTIF(Sheet2!B:B, A263) &gt; 0, "Yes", "No")</f>
        <v>Yes</v>
      </c>
    </row>
    <row r="264" spans="1:18" x14ac:dyDescent="0.25">
      <c r="A264" s="3">
        <v>45079</v>
      </c>
      <c r="B264" t="s">
        <v>234</v>
      </c>
      <c r="C264" t="s">
        <v>79</v>
      </c>
      <c r="D264" t="s">
        <v>20</v>
      </c>
      <c r="E264" t="s">
        <v>21</v>
      </c>
      <c r="F264" t="s">
        <v>40</v>
      </c>
      <c r="G264" t="s">
        <v>61</v>
      </c>
      <c r="H264" t="s">
        <v>62</v>
      </c>
      <c r="I264" s="5">
        <v>0.04</v>
      </c>
      <c r="J264">
        <f t="shared" si="12"/>
        <v>26</v>
      </c>
      <c r="K264">
        <v>3</v>
      </c>
      <c r="L264">
        <f t="shared" si="13"/>
        <v>23</v>
      </c>
      <c r="M264" s="4">
        <f t="shared" si="14"/>
        <v>3.5384615384615382E-2</v>
      </c>
      <c r="N264">
        <v>650</v>
      </c>
      <c r="O264">
        <v>650</v>
      </c>
      <c r="P264" t="s">
        <v>25</v>
      </c>
      <c r="Q264" t="s">
        <v>26</v>
      </c>
      <c r="R264" t="str">
        <f>IF(COUNTIF(Sheet2!B:B, A264) &gt; 0, "Yes", "No")</f>
        <v>Yes</v>
      </c>
    </row>
    <row r="265" spans="1:18" x14ac:dyDescent="0.25">
      <c r="A265" s="3">
        <v>45079</v>
      </c>
      <c r="B265" t="s">
        <v>234</v>
      </c>
      <c r="C265" t="s">
        <v>79</v>
      </c>
      <c r="D265" t="s">
        <v>20</v>
      </c>
      <c r="E265" t="s">
        <v>21</v>
      </c>
      <c r="F265" t="s">
        <v>43</v>
      </c>
      <c r="G265" t="s">
        <v>90</v>
      </c>
      <c r="H265" t="s">
        <v>239</v>
      </c>
      <c r="I265" s="5">
        <v>7.4999999999999997E-2</v>
      </c>
      <c r="J265">
        <f t="shared" si="12"/>
        <v>48.75</v>
      </c>
      <c r="K265">
        <v>0</v>
      </c>
      <c r="L265">
        <f t="shared" si="13"/>
        <v>48.75</v>
      </c>
      <c r="M265" s="4">
        <f t="shared" si="14"/>
        <v>7.4999999999999997E-2</v>
      </c>
      <c r="N265">
        <v>650</v>
      </c>
      <c r="O265">
        <v>650</v>
      </c>
      <c r="P265" t="s">
        <v>25</v>
      </c>
      <c r="Q265" t="s">
        <v>26</v>
      </c>
      <c r="R265" t="str">
        <f>IF(COUNTIF(Sheet2!B:B, A265) &gt; 0, "Yes", "No")</f>
        <v>Yes</v>
      </c>
    </row>
    <row r="266" spans="1:18" x14ac:dyDescent="0.25">
      <c r="A266" s="3">
        <v>45079</v>
      </c>
      <c r="B266" t="s">
        <v>234</v>
      </c>
      <c r="C266" t="s">
        <v>79</v>
      </c>
      <c r="D266" t="s">
        <v>20</v>
      </c>
      <c r="E266" t="s">
        <v>21</v>
      </c>
      <c r="F266" t="s">
        <v>46</v>
      </c>
      <c r="G266" t="s">
        <v>77</v>
      </c>
      <c r="H266" t="s">
        <v>203</v>
      </c>
      <c r="I266" s="5">
        <v>0.06</v>
      </c>
      <c r="J266">
        <f t="shared" si="12"/>
        <v>39</v>
      </c>
      <c r="K266">
        <v>5</v>
      </c>
      <c r="L266">
        <f t="shared" si="13"/>
        <v>34</v>
      </c>
      <c r="M266" s="4">
        <f t="shared" si="14"/>
        <v>5.2307692307692305E-2</v>
      </c>
      <c r="N266">
        <v>650</v>
      </c>
      <c r="O266">
        <v>650</v>
      </c>
      <c r="P266" t="s">
        <v>25</v>
      </c>
      <c r="Q266" t="s">
        <v>26</v>
      </c>
      <c r="R266" t="str">
        <f>IF(COUNTIF(Sheet2!B:B, A266) &gt; 0, "Yes", "No")</f>
        <v>Yes</v>
      </c>
    </row>
    <row r="267" spans="1:18" x14ac:dyDescent="0.25">
      <c r="A267" s="3">
        <v>45079</v>
      </c>
      <c r="B267" t="s">
        <v>234</v>
      </c>
      <c r="C267" t="s">
        <v>79</v>
      </c>
      <c r="D267" t="s">
        <v>20</v>
      </c>
      <c r="E267" t="s">
        <v>21</v>
      </c>
      <c r="F267" t="s">
        <v>49</v>
      </c>
      <c r="G267" t="s">
        <v>50</v>
      </c>
      <c r="H267" t="s">
        <v>49</v>
      </c>
      <c r="I267" s="5">
        <v>0.04</v>
      </c>
      <c r="J267">
        <f t="shared" si="12"/>
        <v>26</v>
      </c>
      <c r="K267">
        <v>2</v>
      </c>
      <c r="L267">
        <f t="shared" si="13"/>
        <v>24</v>
      </c>
      <c r="M267" s="4">
        <f t="shared" si="14"/>
        <v>3.6923076923076927E-2</v>
      </c>
      <c r="N267">
        <v>650</v>
      </c>
      <c r="O267">
        <v>650</v>
      </c>
      <c r="P267" t="s">
        <v>25</v>
      </c>
      <c r="Q267" t="s">
        <v>26</v>
      </c>
      <c r="R267" t="str">
        <f>IF(COUNTIF(Sheet2!B:B, A267) &gt; 0, "Yes", "No")</f>
        <v>Yes</v>
      </c>
    </row>
    <row r="268" spans="1:18" x14ac:dyDescent="0.25">
      <c r="A268" s="3">
        <v>45082</v>
      </c>
      <c r="B268" t="s">
        <v>234</v>
      </c>
      <c r="C268" t="s">
        <v>19</v>
      </c>
      <c r="D268" t="s">
        <v>20</v>
      </c>
      <c r="E268" t="s">
        <v>21</v>
      </c>
      <c r="F268" t="s">
        <v>22</v>
      </c>
      <c r="G268" t="s">
        <v>122</v>
      </c>
      <c r="H268" t="s">
        <v>240</v>
      </c>
      <c r="I268">
        <v>8.5000000000000006E-2</v>
      </c>
      <c r="J268">
        <f t="shared" si="12"/>
        <v>59.500000000000007</v>
      </c>
      <c r="K268">
        <v>2</v>
      </c>
      <c r="L268">
        <f t="shared" si="13"/>
        <v>57.500000000000007</v>
      </c>
      <c r="M268" s="4">
        <f t="shared" si="14"/>
        <v>8.2142857142857156E-2</v>
      </c>
      <c r="N268">
        <v>700</v>
      </c>
      <c r="O268">
        <v>700</v>
      </c>
      <c r="P268" t="s">
        <v>25</v>
      </c>
      <c r="Q268" t="s">
        <v>26</v>
      </c>
      <c r="R268" t="str">
        <f>IF(COUNTIF(Sheet2!B:B, A268) &gt; 0, "Yes", "No")</f>
        <v>No</v>
      </c>
    </row>
    <row r="269" spans="1:18" x14ac:dyDescent="0.25">
      <c r="A269" s="3">
        <v>45082</v>
      </c>
      <c r="B269" t="s">
        <v>234</v>
      </c>
      <c r="C269" t="s">
        <v>19</v>
      </c>
      <c r="D269" t="s">
        <v>20</v>
      </c>
      <c r="E269" t="s">
        <v>21</v>
      </c>
      <c r="F269" t="s">
        <v>27</v>
      </c>
      <c r="G269" t="s">
        <v>28</v>
      </c>
      <c r="H269" t="s">
        <v>171</v>
      </c>
      <c r="I269">
        <v>0.11</v>
      </c>
      <c r="J269">
        <f t="shared" si="12"/>
        <v>77</v>
      </c>
      <c r="K269">
        <v>0</v>
      </c>
      <c r="L269">
        <f t="shared" si="13"/>
        <v>77</v>
      </c>
      <c r="M269" s="4">
        <f t="shared" si="14"/>
        <v>0.11</v>
      </c>
      <c r="N269">
        <v>700</v>
      </c>
      <c r="O269">
        <v>700</v>
      </c>
      <c r="P269" t="s">
        <v>25</v>
      </c>
      <c r="Q269" t="s">
        <v>26</v>
      </c>
      <c r="R269" t="str">
        <f>IF(COUNTIF(Sheet2!B:B, A269) &gt; 0, "Yes", "No")</f>
        <v>No</v>
      </c>
    </row>
    <row r="270" spans="1:18" x14ac:dyDescent="0.25">
      <c r="A270" s="3">
        <v>45082</v>
      </c>
      <c r="B270" t="s">
        <v>234</v>
      </c>
      <c r="C270" t="s">
        <v>19</v>
      </c>
      <c r="D270" t="s">
        <v>20</v>
      </c>
      <c r="E270" t="s">
        <v>21</v>
      </c>
      <c r="F270" t="s">
        <v>30</v>
      </c>
      <c r="G270" t="s">
        <v>31</v>
      </c>
      <c r="H270" t="s">
        <v>31</v>
      </c>
      <c r="I270">
        <v>0.09</v>
      </c>
      <c r="J270">
        <f t="shared" si="12"/>
        <v>63</v>
      </c>
      <c r="K270">
        <v>0</v>
      </c>
      <c r="L270">
        <f t="shared" si="13"/>
        <v>63</v>
      </c>
      <c r="M270" s="4">
        <f t="shared" si="14"/>
        <v>0.09</v>
      </c>
      <c r="N270">
        <v>700</v>
      </c>
      <c r="O270">
        <v>700</v>
      </c>
      <c r="P270" t="s">
        <v>25</v>
      </c>
      <c r="Q270" t="s">
        <v>26</v>
      </c>
      <c r="R270" t="str">
        <f>IF(COUNTIF(Sheet2!B:B, A270) &gt; 0, "Yes", "No")</f>
        <v>No</v>
      </c>
    </row>
    <row r="271" spans="1:18" x14ac:dyDescent="0.25">
      <c r="A271" s="3">
        <v>45082</v>
      </c>
      <c r="B271" t="s">
        <v>234</v>
      </c>
      <c r="C271" t="s">
        <v>19</v>
      </c>
      <c r="D271" t="s">
        <v>33</v>
      </c>
      <c r="E271" t="s">
        <v>21</v>
      </c>
      <c r="F271" t="s">
        <v>34</v>
      </c>
      <c r="G271" t="s">
        <v>35</v>
      </c>
      <c r="H271" t="s">
        <v>241</v>
      </c>
      <c r="I271">
        <v>0.15</v>
      </c>
      <c r="J271">
        <f t="shared" si="12"/>
        <v>52.5</v>
      </c>
      <c r="K271">
        <v>3</v>
      </c>
      <c r="L271">
        <f t="shared" si="13"/>
        <v>49.5</v>
      </c>
      <c r="M271" s="4">
        <f t="shared" si="14"/>
        <v>0.14142857142857143</v>
      </c>
      <c r="N271">
        <v>350</v>
      </c>
      <c r="O271">
        <v>350</v>
      </c>
      <c r="P271" t="s">
        <v>25</v>
      </c>
      <c r="Q271" t="s">
        <v>26</v>
      </c>
      <c r="R271" t="str">
        <f>IF(COUNTIF(Sheet2!B:B, A271) &gt; 0, "Yes", "No")</f>
        <v>No</v>
      </c>
    </row>
    <row r="272" spans="1:18" x14ac:dyDescent="0.25">
      <c r="A272" s="3">
        <v>45082</v>
      </c>
      <c r="B272" t="s">
        <v>234</v>
      </c>
      <c r="C272" t="s">
        <v>19</v>
      </c>
      <c r="D272" t="s">
        <v>20</v>
      </c>
      <c r="E272" t="s">
        <v>21</v>
      </c>
      <c r="F272" t="s">
        <v>37</v>
      </c>
      <c r="G272" t="s">
        <v>38</v>
      </c>
      <c r="H272" t="s">
        <v>39</v>
      </c>
      <c r="I272">
        <v>0.03</v>
      </c>
      <c r="J272">
        <f t="shared" si="12"/>
        <v>21</v>
      </c>
      <c r="K272">
        <v>4</v>
      </c>
      <c r="L272">
        <f t="shared" si="13"/>
        <v>17</v>
      </c>
      <c r="M272" s="4">
        <f t="shared" si="14"/>
        <v>2.4285714285714285E-2</v>
      </c>
      <c r="N272">
        <v>700</v>
      </c>
      <c r="O272">
        <v>700</v>
      </c>
      <c r="P272" t="s">
        <v>25</v>
      </c>
      <c r="Q272" t="s">
        <v>26</v>
      </c>
      <c r="R272" t="str">
        <f>IF(COUNTIF(Sheet2!B:B, A272) &gt; 0, "Yes", "No")</f>
        <v>No</v>
      </c>
    </row>
    <row r="273" spans="1:18" x14ac:dyDescent="0.25">
      <c r="A273" s="3">
        <v>45082</v>
      </c>
      <c r="B273" t="s">
        <v>234</v>
      </c>
      <c r="C273" t="s">
        <v>19</v>
      </c>
      <c r="D273" t="s">
        <v>20</v>
      </c>
      <c r="E273" t="s">
        <v>21</v>
      </c>
      <c r="F273" t="s">
        <v>40</v>
      </c>
      <c r="G273" t="s">
        <v>61</v>
      </c>
      <c r="H273" t="s">
        <v>89</v>
      </c>
      <c r="I273">
        <v>4.4999999999999998E-2</v>
      </c>
      <c r="J273">
        <f t="shared" si="12"/>
        <v>31.5</v>
      </c>
      <c r="K273">
        <v>4</v>
      </c>
      <c r="L273">
        <f t="shared" si="13"/>
        <v>27.5</v>
      </c>
      <c r="M273" s="4">
        <f t="shared" si="14"/>
        <v>3.9285714285714285E-2</v>
      </c>
      <c r="N273">
        <v>700</v>
      </c>
      <c r="O273">
        <v>700</v>
      </c>
      <c r="P273" t="s">
        <v>25</v>
      </c>
      <c r="Q273" t="s">
        <v>26</v>
      </c>
      <c r="R273" t="str">
        <f>IF(COUNTIF(Sheet2!B:B, A273) &gt; 0, "Yes", "No")</f>
        <v>No</v>
      </c>
    </row>
    <row r="274" spans="1:18" x14ac:dyDescent="0.25">
      <c r="A274" s="3">
        <v>45082</v>
      </c>
      <c r="B274" t="s">
        <v>234</v>
      </c>
      <c r="C274" t="s">
        <v>19</v>
      </c>
      <c r="D274" t="s">
        <v>20</v>
      </c>
      <c r="E274" t="s">
        <v>21</v>
      </c>
      <c r="F274" t="s">
        <v>43</v>
      </c>
      <c r="G274" t="s">
        <v>215</v>
      </c>
      <c r="H274" t="s">
        <v>216</v>
      </c>
      <c r="I274">
        <v>0.11</v>
      </c>
      <c r="J274">
        <f t="shared" si="12"/>
        <v>77</v>
      </c>
      <c r="K274">
        <v>2</v>
      </c>
      <c r="L274">
        <f t="shared" si="13"/>
        <v>75</v>
      </c>
      <c r="M274" s="4">
        <f t="shared" si="14"/>
        <v>0.10714285714285714</v>
      </c>
      <c r="N274">
        <v>700</v>
      </c>
      <c r="O274">
        <v>700</v>
      </c>
      <c r="P274" t="s">
        <v>25</v>
      </c>
      <c r="Q274" t="s">
        <v>26</v>
      </c>
      <c r="R274" t="str">
        <f>IF(COUNTIF(Sheet2!B:B, A274) &gt; 0, "Yes", "No")</f>
        <v>No</v>
      </c>
    </row>
    <row r="275" spans="1:18" x14ac:dyDescent="0.25">
      <c r="A275" s="3">
        <v>45082</v>
      </c>
      <c r="B275" t="s">
        <v>234</v>
      </c>
      <c r="C275" t="s">
        <v>19</v>
      </c>
      <c r="D275" t="s">
        <v>20</v>
      </c>
      <c r="E275" t="s">
        <v>21</v>
      </c>
      <c r="F275" t="s">
        <v>46</v>
      </c>
      <c r="G275" t="s">
        <v>130</v>
      </c>
      <c r="H275" t="s">
        <v>242</v>
      </c>
      <c r="I275">
        <v>8.5000000000000006E-2</v>
      </c>
      <c r="J275">
        <f t="shared" si="12"/>
        <v>59.500000000000007</v>
      </c>
      <c r="K275">
        <v>8</v>
      </c>
      <c r="L275">
        <f t="shared" si="13"/>
        <v>51.500000000000007</v>
      </c>
      <c r="M275" s="4">
        <f t="shared" si="14"/>
        <v>7.3571428571428579E-2</v>
      </c>
      <c r="N275">
        <v>700</v>
      </c>
      <c r="O275">
        <v>700</v>
      </c>
      <c r="P275" t="s">
        <v>25</v>
      </c>
      <c r="Q275" t="s">
        <v>26</v>
      </c>
      <c r="R275" t="str">
        <f>IF(COUNTIF(Sheet2!B:B, A275) &gt; 0, "Yes", "No")</f>
        <v>No</v>
      </c>
    </row>
    <row r="276" spans="1:18" x14ac:dyDescent="0.25">
      <c r="A276" s="3">
        <v>45082</v>
      </c>
      <c r="B276" t="s">
        <v>234</v>
      </c>
      <c r="C276" t="s">
        <v>19</v>
      </c>
      <c r="D276" t="s">
        <v>20</v>
      </c>
      <c r="E276" t="s">
        <v>21</v>
      </c>
      <c r="F276" t="s">
        <v>49</v>
      </c>
      <c r="G276" t="s">
        <v>50</v>
      </c>
      <c r="H276" t="s">
        <v>49</v>
      </c>
      <c r="I276">
        <v>0.09</v>
      </c>
      <c r="J276">
        <f t="shared" si="12"/>
        <v>63</v>
      </c>
      <c r="K276">
        <v>0</v>
      </c>
      <c r="L276">
        <f t="shared" si="13"/>
        <v>63</v>
      </c>
      <c r="M276" s="4">
        <f t="shared" si="14"/>
        <v>0.09</v>
      </c>
      <c r="N276">
        <v>700</v>
      </c>
      <c r="O276">
        <v>700</v>
      </c>
      <c r="P276" t="s">
        <v>25</v>
      </c>
      <c r="Q276" t="s">
        <v>26</v>
      </c>
      <c r="R276" t="str">
        <f>IF(COUNTIF(Sheet2!B:B, A276) &gt; 0, "Yes", "No")</f>
        <v>No</v>
      </c>
    </row>
    <row r="277" spans="1:18" x14ac:dyDescent="0.25">
      <c r="A277" s="3">
        <v>45083</v>
      </c>
      <c r="B277" t="s">
        <v>234</v>
      </c>
      <c r="C277" t="s">
        <v>105</v>
      </c>
      <c r="D277" t="s">
        <v>20</v>
      </c>
      <c r="E277" t="s">
        <v>67</v>
      </c>
      <c r="F277" t="s">
        <v>22</v>
      </c>
      <c r="G277" t="s">
        <v>52</v>
      </c>
      <c r="H277" t="s">
        <v>243</v>
      </c>
      <c r="I277">
        <v>8.5000000000000006E-2</v>
      </c>
      <c r="J277">
        <f t="shared" si="12"/>
        <v>59.500000000000007</v>
      </c>
      <c r="K277">
        <v>0</v>
      </c>
      <c r="L277">
        <f t="shared" si="13"/>
        <v>59.500000000000007</v>
      </c>
      <c r="M277" s="4">
        <f t="shared" si="14"/>
        <v>8.5000000000000006E-2</v>
      </c>
      <c r="N277">
        <v>700</v>
      </c>
      <c r="O277">
        <v>700</v>
      </c>
      <c r="P277" t="s">
        <v>25</v>
      </c>
      <c r="Q277" t="s">
        <v>26</v>
      </c>
      <c r="R277" t="str">
        <f>IF(COUNTIF(Sheet2!B:B, A277) &gt; 0, "Yes", "No")</f>
        <v>No</v>
      </c>
    </row>
    <row r="278" spans="1:18" x14ac:dyDescent="0.25">
      <c r="A278" s="3">
        <v>45083</v>
      </c>
      <c r="B278" t="s">
        <v>234</v>
      </c>
      <c r="C278" t="s">
        <v>105</v>
      </c>
      <c r="D278" t="s">
        <v>20</v>
      </c>
      <c r="E278" t="s">
        <v>67</v>
      </c>
      <c r="F278" t="s">
        <v>27</v>
      </c>
      <c r="G278" t="s">
        <v>28</v>
      </c>
      <c r="H278" t="s">
        <v>244</v>
      </c>
      <c r="I278">
        <v>0.11</v>
      </c>
      <c r="J278">
        <f t="shared" si="12"/>
        <v>77</v>
      </c>
      <c r="K278">
        <v>0</v>
      </c>
      <c r="L278">
        <f t="shared" si="13"/>
        <v>77</v>
      </c>
      <c r="M278" s="4">
        <f t="shared" si="14"/>
        <v>0.11</v>
      </c>
      <c r="N278">
        <v>700</v>
      </c>
      <c r="O278">
        <v>700</v>
      </c>
      <c r="P278" t="s">
        <v>25</v>
      </c>
      <c r="Q278" t="s">
        <v>26</v>
      </c>
      <c r="R278" t="str">
        <f>IF(COUNTIF(Sheet2!B:B, A278) &gt; 0, "Yes", "No")</f>
        <v>No</v>
      </c>
    </row>
    <row r="279" spans="1:18" x14ac:dyDescent="0.25">
      <c r="A279" s="3">
        <v>45083</v>
      </c>
      <c r="B279" t="s">
        <v>234</v>
      </c>
      <c r="C279" t="s">
        <v>105</v>
      </c>
      <c r="D279" t="s">
        <v>20</v>
      </c>
      <c r="E279" t="s">
        <v>67</v>
      </c>
      <c r="F279" t="s">
        <v>30</v>
      </c>
      <c r="G279" t="s">
        <v>31</v>
      </c>
      <c r="H279" t="s">
        <v>172</v>
      </c>
      <c r="I279">
        <v>0.09</v>
      </c>
      <c r="J279">
        <f t="shared" si="12"/>
        <v>63</v>
      </c>
      <c r="K279">
        <v>0</v>
      </c>
      <c r="L279">
        <f t="shared" si="13"/>
        <v>63</v>
      </c>
      <c r="M279" s="4">
        <f t="shared" si="14"/>
        <v>0.09</v>
      </c>
      <c r="N279">
        <v>700</v>
      </c>
      <c r="O279">
        <v>700</v>
      </c>
      <c r="P279" t="s">
        <v>25</v>
      </c>
      <c r="Q279" t="s">
        <v>26</v>
      </c>
      <c r="R279" t="str">
        <f>IF(COUNTIF(Sheet2!B:B, A279) &gt; 0, "Yes", "No")</f>
        <v>No</v>
      </c>
    </row>
    <row r="280" spans="1:18" x14ac:dyDescent="0.25">
      <c r="A280" s="3">
        <v>45083</v>
      </c>
      <c r="B280" t="s">
        <v>234</v>
      </c>
      <c r="C280" t="s">
        <v>105</v>
      </c>
      <c r="D280" t="s">
        <v>20</v>
      </c>
      <c r="E280" t="s">
        <v>67</v>
      </c>
      <c r="F280" t="s">
        <v>37</v>
      </c>
      <c r="G280" t="s">
        <v>87</v>
      </c>
      <c r="H280" t="s">
        <v>88</v>
      </c>
      <c r="I280">
        <v>3.5000000000000003E-2</v>
      </c>
      <c r="J280">
        <f t="shared" si="12"/>
        <v>24.500000000000004</v>
      </c>
      <c r="K280">
        <v>0</v>
      </c>
      <c r="L280">
        <f t="shared" si="13"/>
        <v>24.500000000000004</v>
      </c>
      <c r="M280" s="4">
        <f t="shared" si="14"/>
        <v>3.5000000000000003E-2</v>
      </c>
      <c r="N280">
        <v>700</v>
      </c>
      <c r="O280">
        <v>700</v>
      </c>
      <c r="P280" t="s">
        <v>25</v>
      </c>
      <c r="Q280" t="s">
        <v>26</v>
      </c>
      <c r="R280" t="str">
        <f>IF(COUNTIF(Sheet2!B:B, A280) &gt; 0, "Yes", "No")</f>
        <v>No</v>
      </c>
    </row>
    <row r="281" spans="1:18" x14ac:dyDescent="0.25">
      <c r="A281" s="3">
        <v>45083</v>
      </c>
      <c r="B281" t="s">
        <v>234</v>
      </c>
      <c r="C281" t="s">
        <v>105</v>
      </c>
      <c r="D281" t="s">
        <v>20</v>
      </c>
      <c r="E281" t="s">
        <v>67</v>
      </c>
      <c r="F281" t="s">
        <v>40</v>
      </c>
      <c r="G281" t="s">
        <v>164</v>
      </c>
      <c r="H281" t="s">
        <v>202</v>
      </c>
      <c r="I281">
        <v>0.05</v>
      </c>
      <c r="J281">
        <f t="shared" si="12"/>
        <v>35</v>
      </c>
      <c r="K281">
        <v>0</v>
      </c>
      <c r="L281">
        <f t="shared" si="13"/>
        <v>35</v>
      </c>
      <c r="M281" s="4">
        <f t="shared" si="14"/>
        <v>0.05</v>
      </c>
      <c r="N281">
        <v>700</v>
      </c>
      <c r="O281">
        <v>700</v>
      </c>
      <c r="P281" t="s">
        <v>25</v>
      </c>
      <c r="Q281" t="s">
        <v>26</v>
      </c>
      <c r="R281" t="str">
        <f>IF(COUNTIF(Sheet2!B:B, A281) &gt; 0, "Yes", "No")</f>
        <v>No</v>
      </c>
    </row>
    <row r="282" spans="1:18" x14ac:dyDescent="0.25">
      <c r="A282" s="3">
        <v>45083</v>
      </c>
      <c r="B282" t="s">
        <v>234</v>
      </c>
      <c r="C282" t="s">
        <v>105</v>
      </c>
      <c r="D282" t="s">
        <v>20</v>
      </c>
      <c r="E282" t="s">
        <v>67</v>
      </c>
      <c r="F282" t="s">
        <v>43</v>
      </c>
      <c r="G282" t="s">
        <v>75</v>
      </c>
      <c r="H282" t="s">
        <v>212</v>
      </c>
      <c r="I282">
        <v>0.11</v>
      </c>
      <c r="J282">
        <f t="shared" si="12"/>
        <v>77</v>
      </c>
      <c r="K282">
        <v>0</v>
      </c>
      <c r="L282">
        <f t="shared" si="13"/>
        <v>77</v>
      </c>
      <c r="M282" s="4">
        <f t="shared" si="14"/>
        <v>0.11</v>
      </c>
      <c r="N282">
        <v>700</v>
      </c>
      <c r="O282">
        <v>700</v>
      </c>
      <c r="P282" t="s">
        <v>25</v>
      </c>
      <c r="Q282" t="s">
        <v>26</v>
      </c>
      <c r="R282" t="str">
        <f>IF(COUNTIF(Sheet2!B:B, A282) &gt; 0, "Yes", "No")</f>
        <v>No</v>
      </c>
    </row>
    <row r="283" spans="1:18" x14ac:dyDescent="0.25">
      <c r="A283" s="3">
        <v>45083</v>
      </c>
      <c r="B283" t="s">
        <v>234</v>
      </c>
      <c r="C283" t="s">
        <v>105</v>
      </c>
      <c r="D283" t="s">
        <v>20</v>
      </c>
      <c r="E283" t="s">
        <v>67</v>
      </c>
      <c r="F283" t="s">
        <v>46</v>
      </c>
      <c r="G283" t="s">
        <v>77</v>
      </c>
      <c r="H283" t="s">
        <v>245</v>
      </c>
      <c r="I283">
        <v>8.5000000000000006E-2</v>
      </c>
      <c r="J283">
        <f t="shared" si="12"/>
        <v>59.500000000000007</v>
      </c>
      <c r="K283">
        <v>8</v>
      </c>
      <c r="L283">
        <f t="shared" si="13"/>
        <v>51.500000000000007</v>
      </c>
      <c r="M283" s="4">
        <f t="shared" si="14"/>
        <v>7.3571428571428579E-2</v>
      </c>
      <c r="N283">
        <v>700</v>
      </c>
      <c r="O283">
        <v>700</v>
      </c>
      <c r="P283" t="s">
        <v>25</v>
      </c>
      <c r="Q283" t="s">
        <v>26</v>
      </c>
      <c r="R283" t="str">
        <f>IF(COUNTIF(Sheet2!B:B, A283) &gt; 0, "Yes", "No")</f>
        <v>No</v>
      </c>
    </row>
    <row r="284" spans="1:18" x14ac:dyDescent="0.25">
      <c r="A284" s="3">
        <v>45083</v>
      </c>
      <c r="B284" t="s">
        <v>234</v>
      </c>
      <c r="C284" t="s">
        <v>105</v>
      </c>
      <c r="D284" t="s">
        <v>20</v>
      </c>
      <c r="E284" t="s">
        <v>67</v>
      </c>
      <c r="F284" t="s">
        <v>49</v>
      </c>
      <c r="G284" t="s">
        <v>50</v>
      </c>
      <c r="H284" t="s">
        <v>49</v>
      </c>
      <c r="I284">
        <v>0.09</v>
      </c>
      <c r="J284">
        <f t="shared" si="12"/>
        <v>63</v>
      </c>
      <c r="K284">
        <v>0</v>
      </c>
      <c r="L284">
        <f t="shared" si="13"/>
        <v>63</v>
      </c>
      <c r="M284" s="4">
        <f t="shared" si="14"/>
        <v>0.09</v>
      </c>
      <c r="N284">
        <v>700</v>
      </c>
      <c r="O284">
        <v>700</v>
      </c>
      <c r="P284" t="s">
        <v>25</v>
      </c>
      <c r="Q284" t="s">
        <v>26</v>
      </c>
      <c r="R284" t="str">
        <f>IF(COUNTIF(Sheet2!B:B, A284) &gt; 0, "Yes", "No")</f>
        <v>No</v>
      </c>
    </row>
    <row r="285" spans="1:18" x14ac:dyDescent="0.25">
      <c r="A285" s="3">
        <v>45084</v>
      </c>
      <c r="B285" t="s">
        <v>234</v>
      </c>
      <c r="C285" t="s">
        <v>51</v>
      </c>
      <c r="D285" t="s">
        <v>20</v>
      </c>
      <c r="E285" t="s">
        <v>21</v>
      </c>
      <c r="F285" t="s">
        <v>22</v>
      </c>
      <c r="G285" t="s">
        <v>52</v>
      </c>
      <c r="H285" t="s">
        <v>246</v>
      </c>
      <c r="I285">
        <v>8.5000000000000006E-2</v>
      </c>
      <c r="J285">
        <f t="shared" si="12"/>
        <v>68</v>
      </c>
      <c r="K285">
        <v>9</v>
      </c>
      <c r="L285">
        <f t="shared" si="13"/>
        <v>59</v>
      </c>
      <c r="M285" s="4">
        <f t="shared" si="14"/>
        <v>7.3749999999999996E-2</v>
      </c>
      <c r="N285">
        <v>800</v>
      </c>
      <c r="O285">
        <v>800</v>
      </c>
      <c r="P285" t="s">
        <v>25</v>
      </c>
      <c r="Q285" t="s">
        <v>26</v>
      </c>
      <c r="R285" t="str">
        <f>IF(COUNTIF(Sheet2!B:B, A285) &gt; 0, "Yes", "No")</f>
        <v>No</v>
      </c>
    </row>
    <row r="286" spans="1:18" x14ac:dyDescent="0.25">
      <c r="A286" s="3">
        <v>45084</v>
      </c>
      <c r="B286" t="s">
        <v>234</v>
      </c>
      <c r="C286" t="s">
        <v>51</v>
      </c>
      <c r="D286" t="s">
        <v>20</v>
      </c>
      <c r="E286" t="s">
        <v>21</v>
      </c>
      <c r="F286" t="s">
        <v>27</v>
      </c>
      <c r="G286" t="s">
        <v>28</v>
      </c>
      <c r="H286" t="s">
        <v>182</v>
      </c>
      <c r="I286">
        <v>0.11</v>
      </c>
      <c r="J286">
        <f t="shared" si="12"/>
        <v>88</v>
      </c>
      <c r="K286">
        <v>0</v>
      </c>
      <c r="L286">
        <f t="shared" si="13"/>
        <v>88</v>
      </c>
      <c r="M286" s="4">
        <f t="shared" si="14"/>
        <v>0.11</v>
      </c>
      <c r="N286">
        <v>800</v>
      </c>
      <c r="O286">
        <v>800</v>
      </c>
      <c r="P286" t="s">
        <v>25</v>
      </c>
      <c r="Q286" t="s">
        <v>26</v>
      </c>
      <c r="R286" t="str">
        <f>IF(COUNTIF(Sheet2!B:B, A286) &gt; 0, "Yes", "No")</f>
        <v>No</v>
      </c>
    </row>
    <row r="287" spans="1:18" x14ac:dyDescent="0.25">
      <c r="A287" s="3">
        <v>45084</v>
      </c>
      <c r="B287" t="s">
        <v>234</v>
      </c>
      <c r="C287" t="s">
        <v>51</v>
      </c>
      <c r="D287" t="s">
        <v>20</v>
      </c>
      <c r="E287" t="s">
        <v>21</v>
      </c>
      <c r="F287" t="s">
        <v>30</v>
      </c>
      <c r="G287" t="s">
        <v>55</v>
      </c>
      <c r="H287" t="s">
        <v>125</v>
      </c>
      <c r="I287">
        <v>0.09</v>
      </c>
      <c r="J287">
        <f t="shared" si="12"/>
        <v>72</v>
      </c>
      <c r="K287">
        <v>0</v>
      </c>
      <c r="L287">
        <f t="shared" si="13"/>
        <v>72</v>
      </c>
      <c r="M287" s="4">
        <f t="shared" si="14"/>
        <v>0.09</v>
      </c>
      <c r="N287">
        <v>800</v>
      </c>
      <c r="O287">
        <v>800</v>
      </c>
      <c r="P287" t="s">
        <v>25</v>
      </c>
      <c r="Q287" t="s">
        <v>26</v>
      </c>
      <c r="R287" t="str">
        <f>IF(COUNTIF(Sheet2!B:B, A287) &gt; 0, "Yes", "No")</f>
        <v>No</v>
      </c>
    </row>
    <row r="288" spans="1:18" x14ac:dyDescent="0.25">
      <c r="A288" s="3">
        <v>45084</v>
      </c>
      <c r="B288" t="s">
        <v>234</v>
      </c>
      <c r="C288" t="s">
        <v>51</v>
      </c>
      <c r="D288" t="s">
        <v>33</v>
      </c>
      <c r="E288" t="s">
        <v>21</v>
      </c>
      <c r="F288" t="s">
        <v>34</v>
      </c>
      <c r="G288" t="s">
        <v>35</v>
      </c>
      <c r="H288" t="s">
        <v>247</v>
      </c>
      <c r="I288">
        <v>0.15</v>
      </c>
      <c r="J288">
        <f t="shared" si="12"/>
        <v>60</v>
      </c>
      <c r="K288">
        <v>0</v>
      </c>
      <c r="L288">
        <f t="shared" si="13"/>
        <v>60</v>
      </c>
      <c r="M288" s="4">
        <f t="shared" si="14"/>
        <v>0.15</v>
      </c>
      <c r="N288">
        <v>400</v>
      </c>
      <c r="O288">
        <v>400</v>
      </c>
      <c r="P288" t="s">
        <v>25</v>
      </c>
      <c r="Q288" t="s">
        <v>26</v>
      </c>
      <c r="R288" t="str">
        <f>IF(COUNTIF(Sheet2!B:B, A288) &gt; 0, "Yes", "No")</f>
        <v>No</v>
      </c>
    </row>
    <row r="289" spans="1:18" x14ac:dyDescent="0.25">
      <c r="A289" s="3">
        <v>45084</v>
      </c>
      <c r="B289" t="s">
        <v>234</v>
      </c>
      <c r="C289" t="s">
        <v>51</v>
      </c>
      <c r="D289" t="s">
        <v>20</v>
      </c>
      <c r="E289" t="s">
        <v>21</v>
      </c>
      <c r="F289" t="s">
        <v>37</v>
      </c>
      <c r="G289" t="s">
        <v>87</v>
      </c>
      <c r="H289" t="s">
        <v>99</v>
      </c>
      <c r="I289">
        <v>0.03</v>
      </c>
      <c r="J289">
        <f t="shared" si="12"/>
        <v>24</v>
      </c>
      <c r="K289">
        <v>2</v>
      </c>
      <c r="L289">
        <f t="shared" si="13"/>
        <v>22</v>
      </c>
      <c r="M289" s="4">
        <f t="shared" si="14"/>
        <v>2.75E-2</v>
      </c>
      <c r="N289">
        <v>800</v>
      </c>
      <c r="O289">
        <v>800</v>
      </c>
      <c r="P289" t="s">
        <v>25</v>
      </c>
      <c r="Q289" t="s">
        <v>26</v>
      </c>
      <c r="R289" t="str">
        <f>IF(COUNTIF(Sheet2!B:B, A289) &gt; 0, "Yes", "No")</f>
        <v>No</v>
      </c>
    </row>
    <row r="290" spans="1:18" x14ac:dyDescent="0.25">
      <c r="A290" s="3">
        <v>45084</v>
      </c>
      <c r="B290" t="s">
        <v>234</v>
      </c>
      <c r="C290" t="s">
        <v>51</v>
      </c>
      <c r="D290" t="s">
        <v>20</v>
      </c>
      <c r="E290" t="s">
        <v>21</v>
      </c>
      <c r="F290" t="s">
        <v>40</v>
      </c>
      <c r="G290" t="s">
        <v>73</v>
      </c>
      <c r="H290" t="s">
        <v>231</v>
      </c>
      <c r="I290">
        <v>4.4999999999999998E-2</v>
      </c>
      <c r="J290">
        <f t="shared" si="12"/>
        <v>36</v>
      </c>
      <c r="K290">
        <v>3</v>
      </c>
      <c r="L290">
        <f t="shared" si="13"/>
        <v>33</v>
      </c>
      <c r="M290" s="4">
        <f t="shared" si="14"/>
        <v>4.1250000000000002E-2</v>
      </c>
      <c r="N290">
        <v>800</v>
      </c>
      <c r="O290">
        <v>800</v>
      </c>
      <c r="P290" t="s">
        <v>25</v>
      </c>
      <c r="Q290" t="s">
        <v>26</v>
      </c>
      <c r="R290" t="str">
        <f>IF(COUNTIF(Sheet2!B:B, A290) &gt; 0, "Yes", "No")</f>
        <v>No</v>
      </c>
    </row>
    <row r="291" spans="1:18" x14ac:dyDescent="0.25">
      <c r="A291" s="3">
        <v>45084</v>
      </c>
      <c r="B291" t="s">
        <v>234</v>
      </c>
      <c r="C291" t="s">
        <v>51</v>
      </c>
      <c r="D291" t="s">
        <v>20</v>
      </c>
      <c r="E291" t="s">
        <v>21</v>
      </c>
      <c r="F291" t="s">
        <v>43</v>
      </c>
      <c r="G291" t="s">
        <v>44</v>
      </c>
      <c r="H291" t="s">
        <v>248</v>
      </c>
      <c r="I291">
        <v>0.11</v>
      </c>
      <c r="J291">
        <f t="shared" si="12"/>
        <v>88</v>
      </c>
      <c r="K291">
        <v>0</v>
      </c>
      <c r="L291">
        <f t="shared" si="13"/>
        <v>88</v>
      </c>
      <c r="M291" s="4">
        <f t="shared" si="14"/>
        <v>0.11</v>
      </c>
      <c r="N291">
        <v>800</v>
      </c>
      <c r="O291">
        <v>800</v>
      </c>
      <c r="P291" t="s">
        <v>25</v>
      </c>
      <c r="Q291" t="s">
        <v>26</v>
      </c>
      <c r="R291" t="str">
        <f>IF(COUNTIF(Sheet2!B:B, A291) &gt; 0, "Yes", "No")</f>
        <v>No</v>
      </c>
    </row>
    <row r="292" spans="1:18" x14ac:dyDescent="0.25">
      <c r="A292" s="3">
        <v>45084</v>
      </c>
      <c r="B292" t="s">
        <v>234</v>
      </c>
      <c r="C292" t="s">
        <v>51</v>
      </c>
      <c r="D292" t="s">
        <v>20</v>
      </c>
      <c r="E292" t="s">
        <v>21</v>
      </c>
      <c r="F292" t="s">
        <v>46</v>
      </c>
      <c r="G292" t="s">
        <v>92</v>
      </c>
      <c r="H292" t="s">
        <v>249</v>
      </c>
      <c r="I292">
        <v>8.5000000000000006E-2</v>
      </c>
      <c r="J292">
        <f t="shared" si="12"/>
        <v>68</v>
      </c>
      <c r="K292">
        <v>0</v>
      </c>
      <c r="L292">
        <f t="shared" si="13"/>
        <v>68</v>
      </c>
      <c r="M292" s="4">
        <f t="shared" si="14"/>
        <v>8.5000000000000006E-2</v>
      </c>
      <c r="N292">
        <v>800</v>
      </c>
      <c r="O292">
        <v>800</v>
      </c>
      <c r="P292" t="s">
        <v>25</v>
      </c>
      <c r="Q292" t="s">
        <v>26</v>
      </c>
      <c r="R292" t="str">
        <f>IF(COUNTIF(Sheet2!B:B, A292) &gt; 0, "Yes", "No")</f>
        <v>No</v>
      </c>
    </row>
    <row r="293" spans="1:18" x14ac:dyDescent="0.25">
      <c r="A293" s="3">
        <v>45084</v>
      </c>
      <c r="B293" t="s">
        <v>234</v>
      </c>
      <c r="C293" t="s">
        <v>51</v>
      </c>
      <c r="D293" t="s">
        <v>20</v>
      </c>
      <c r="E293" t="s">
        <v>21</v>
      </c>
      <c r="F293" t="s">
        <v>49</v>
      </c>
      <c r="G293" t="s">
        <v>50</v>
      </c>
      <c r="H293" t="s">
        <v>49</v>
      </c>
      <c r="I293">
        <v>0.09</v>
      </c>
      <c r="J293">
        <f t="shared" si="12"/>
        <v>72</v>
      </c>
      <c r="K293">
        <v>0</v>
      </c>
      <c r="L293">
        <f t="shared" si="13"/>
        <v>72</v>
      </c>
      <c r="M293" s="4">
        <f t="shared" si="14"/>
        <v>0.09</v>
      </c>
      <c r="N293">
        <v>800</v>
      </c>
      <c r="O293">
        <v>800</v>
      </c>
      <c r="P293" t="s">
        <v>25</v>
      </c>
      <c r="Q293" t="s">
        <v>26</v>
      </c>
      <c r="R293" t="str">
        <f>IF(COUNTIF(Sheet2!B:B, A293) &gt; 0, "Yes", "No")</f>
        <v>No</v>
      </c>
    </row>
    <row r="294" spans="1:18" x14ac:dyDescent="0.25">
      <c r="A294" s="3">
        <v>45085</v>
      </c>
      <c r="B294" t="s">
        <v>234</v>
      </c>
      <c r="C294" t="s">
        <v>66</v>
      </c>
      <c r="D294" t="s">
        <v>20</v>
      </c>
      <c r="E294" t="s">
        <v>67</v>
      </c>
      <c r="F294" t="s">
        <v>22</v>
      </c>
      <c r="G294" t="s">
        <v>23</v>
      </c>
      <c r="H294" t="s">
        <v>114</v>
      </c>
      <c r="I294">
        <v>8.5000000000000006E-2</v>
      </c>
      <c r="J294">
        <f t="shared" si="12"/>
        <v>59.500000000000007</v>
      </c>
      <c r="K294">
        <v>2</v>
      </c>
      <c r="L294">
        <f t="shared" si="13"/>
        <v>57.500000000000007</v>
      </c>
      <c r="M294" s="4">
        <f t="shared" si="14"/>
        <v>8.2142857142857156E-2</v>
      </c>
      <c r="N294">
        <v>700</v>
      </c>
      <c r="O294">
        <v>700</v>
      </c>
      <c r="P294" t="s">
        <v>25</v>
      </c>
      <c r="Q294" t="s">
        <v>26</v>
      </c>
      <c r="R294" t="str">
        <f>IF(COUNTIF(Sheet2!B:B, A294) &gt; 0, "Yes", "No")</f>
        <v>No</v>
      </c>
    </row>
    <row r="295" spans="1:18" x14ac:dyDescent="0.25">
      <c r="A295" s="3">
        <v>45085</v>
      </c>
      <c r="B295" t="s">
        <v>234</v>
      </c>
      <c r="C295" t="s">
        <v>66</v>
      </c>
      <c r="D295" t="s">
        <v>20</v>
      </c>
      <c r="E295" t="s">
        <v>67</v>
      </c>
      <c r="F295" t="s">
        <v>27</v>
      </c>
      <c r="G295" t="s">
        <v>28</v>
      </c>
      <c r="H295" t="s">
        <v>250</v>
      </c>
      <c r="I295">
        <v>0.11</v>
      </c>
      <c r="J295">
        <f t="shared" si="12"/>
        <v>77</v>
      </c>
      <c r="K295">
        <v>6</v>
      </c>
      <c r="L295">
        <f t="shared" si="13"/>
        <v>71</v>
      </c>
      <c r="M295" s="4">
        <f t="shared" si="14"/>
        <v>0.10142857142857142</v>
      </c>
      <c r="N295">
        <v>700</v>
      </c>
      <c r="O295">
        <v>700</v>
      </c>
      <c r="P295" t="s">
        <v>25</v>
      </c>
      <c r="Q295" t="s">
        <v>26</v>
      </c>
      <c r="R295" t="str">
        <f>IF(COUNTIF(Sheet2!B:B, A295) &gt; 0, "Yes", "No")</f>
        <v>No</v>
      </c>
    </row>
    <row r="296" spans="1:18" x14ac:dyDescent="0.25">
      <c r="A296" s="3">
        <v>45085</v>
      </c>
      <c r="B296" t="s">
        <v>234</v>
      </c>
      <c r="C296" t="s">
        <v>66</v>
      </c>
      <c r="D296" t="s">
        <v>20</v>
      </c>
      <c r="E296" t="s">
        <v>67</v>
      </c>
      <c r="F296" t="s">
        <v>30</v>
      </c>
      <c r="G296" t="s">
        <v>31</v>
      </c>
      <c r="H296" t="s">
        <v>70</v>
      </c>
      <c r="I296">
        <v>0.09</v>
      </c>
      <c r="J296">
        <f t="shared" si="12"/>
        <v>63</v>
      </c>
      <c r="K296">
        <v>0</v>
      </c>
      <c r="L296">
        <f t="shared" si="13"/>
        <v>63</v>
      </c>
      <c r="M296" s="4">
        <f t="shared" si="14"/>
        <v>0.09</v>
      </c>
      <c r="N296">
        <v>700</v>
      </c>
      <c r="O296">
        <v>700</v>
      </c>
      <c r="P296" t="s">
        <v>25</v>
      </c>
      <c r="Q296" t="s">
        <v>26</v>
      </c>
      <c r="R296" t="str">
        <f>IF(COUNTIF(Sheet2!B:B, A296) &gt; 0, "Yes", "No")</f>
        <v>No</v>
      </c>
    </row>
    <row r="297" spans="1:18" x14ac:dyDescent="0.25">
      <c r="A297" s="3">
        <v>45085</v>
      </c>
      <c r="B297" t="s">
        <v>234</v>
      </c>
      <c r="C297" t="s">
        <v>66</v>
      </c>
      <c r="D297" t="s">
        <v>20</v>
      </c>
      <c r="E297" t="s">
        <v>67</v>
      </c>
      <c r="F297" t="s">
        <v>37</v>
      </c>
      <c r="G297" t="s">
        <v>87</v>
      </c>
      <c r="H297" t="s">
        <v>136</v>
      </c>
      <c r="I297">
        <v>3.5000000000000003E-2</v>
      </c>
      <c r="J297">
        <f t="shared" si="12"/>
        <v>24.500000000000004</v>
      </c>
      <c r="K297">
        <v>2</v>
      </c>
      <c r="L297">
        <f t="shared" si="13"/>
        <v>22.500000000000004</v>
      </c>
      <c r="M297" s="4">
        <f t="shared" si="14"/>
        <v>3.2142857142857147E-2</v>
      </c>
      <c r="N297">
        <v>700</v>
      </c>
      <c r="O297">
        <v>700</v>
      </c>
      <c r="P297" t="s">
        <v>25</v>
      </c>
      <c r="Q297" t="s">
        <v>26</v>
      </c>
      <c r="R297" t="str">
        <f>IF(COUNTIF(Sheet2!B:B, A297) &gt; 0, "Yes", "No")</f>
        <v>No</v>
      </c>
    </row>
    <row r="298" spans="1:18" x14ac:dyDescent="0.25">
      <c r="A298" s="3">
        <v>45085</v>
      </c>
      <c r="B298" t="s">
        <v>234</v>
      </c>
      <c r="C298" t="s">
        <v>66</v>
      </c>
      <c r="D298" t="s">
        <v>20</v>
      </c>
      <c r="E298" t="s">
        <v>67</v>
      </c>
      <c r="F298" t="s">
        <v>40</v>
      </c>
      <c r="G298" t="s">
        <v>137</v>
      </c>
      <c r="H298" t="s">
        <v>251</v>
      </c>
      <c r="I298">
        <v>0.05</v>
      </c>
      <c r="J298">
        <f t="shared" si="12"/>
        <v>35</v>
      </c>
      <c r="K298">
        <v>0</v>
      </c>
      <c r="L298">
        <f t="shared" si="13"/>
        <v>35</v>
      </c>
      <c r="M298" s="4">
        <f t="shared" si="14"/>
        <v>0.05</v>
      </c>
      <c r="N298">
        <v>700</v>
      </c>
      <c r="O298">
        <v>700</v>
      </c>
      <c r="P298" t="s">
        <v>25</v>
      </c>
      <c r="Q298" t="s">
        <v>26</v>
      </c>
      <c r="R298" t="str">
        <f>IF(COUNTIF(Sheet2!B:B, A298) &gt; 0, "Yes", "No")</f>
        <v>No</v>
      </c>
    </row>
    <row r="299" spans="1:18" x14ac:dyDescent="0.25">
      <c r="A299" s="3">
        <v>45085</v>
      </c>
      <c r="B299" t="s">
        <v>234</v>
      </c>
      <c r="C299" t="s">
        <v>66</v>
      </c>
      <c r="D299" t="s">
        <v>20</v>
      </c>
      <c r="E299" t="s">
        <v>67</v>
      </c>
      <c r="F299" t="s">
        <v>43</v>
      </c>
      <c r="G299" t="s">
        <v>252</v>
      </c>
      <c r="H299" t="s">
        <v>253</v>
      </c>
      <c r="I299">
        <v>0.11</v>
      </c>
      <c r="J299">
        <f t="shared" si="12"/>
        <v>77</v>
      </c>
      <c r="K299">
        <v>0</v>
      </c>
      <c r="L299">
        <f t="shared" si="13"/>
        <v>77</v>
      </c>
      <c r="M299" s="4">
        <f t="shared" si="14"/>
        <v>0.11</v>
      </c>
      <c r="N299">
        <v>700</v>
      </c>
      <c r="O299">
        <v>700</v>
      </c>
      <c r="P299" t="s">
        <v>25</v>
      </c>
      <c r="Q299" t="s">
        <v>26</v>
      </c>
      <c r="R299" t="str">
        <f>IF(COUNTIF(Sheet2!B:B, A299) &gt; 0, "Yes", "No")</f>
        <v>No</v>
      </c>
    </row>
    <row r="300" spans="1:18" x14ac:dyDescent="0.25">
      <c r="A300" s="3">
        <v>45085</v>
      </c>
      <c r="B300" t="s">
        <v>234</v>
      </c>
      <c r="C300" t="s">
        <v>66</v>
      </c>
      <c r="D300" t="s">
        <v>20</v>
      </c>
      <c r="E300" t="s">
        <v>67</v>
      </c>
      <c r="F300" t="s">
        <v>46</v>
      </c>
      <c r="G300" t="s">
        <v>47</v>
      </c>
      <c r="H300" t="s">
        <v>141</v>
      </c>
      <c r="I300">
        <v>8.5000000000000006E-2</v>
      </c>
      <c r="J300">
        <f t="shared" si="12"/>
        <v>59.500000000000007</v>
      </c>
      <c r="K300">
        <v>8</v>
      </c>
      <c r="L300">
        <f t="shared" si="13"/>
        <v>51.500000000000007</v>
      </c>
      <c r="M300" s="4">
        <f t="shared" si="14"/>
        <v>7.3571428571428579E-2</v>
      </c>
      <c r="N300">
        <v>700</v>
      </c>
      <c r="O300">
        <v>700</v>
      </c>
      <c r="P300" t="s">
        <v>25</v>
      </c>
      <c r="Q300" t="s">
        <v>26</v>
      </c>
      <c r="R300" t="str">
        <f>IF(COUNTIF(Sheet2!B:B, A300) &gt; 0, "Yes", "No")</f>
        <v>No</v>
      </c>
    </row>
    <row r="301" spans="1:18" x14ac:dyDescent="0.25">
      <c r="A301" s="3">
        <v>45085</v>
      </c>
      <c r="B301" t="s">
        <v>234</v>
      </c>
      <c r="C301" t="s">
        <v>66</v>
      </c>
      <c r="D301" t="s">
        <v>20</v>
      </c>
      <c r="E301" t="s">
        <v>67</v>
      </c>
      <c r="F301" t="s">
        <v>49</v>
      </c>
      <c r="G301" t="s">
        <v>50</v>
      </c>
      <c r="H301" t="s">
        <v>49</v>
      </c>
      <c r="I301">
        <v>0.09</v>
      </c>
      <c r="J301">
        <f t="shared" si="12"/>
        <v>63</v>
      </c>
      <c r="K301">
        <v>0</v>
      </c>
      <c r="L301">
        <f t="shared" si="13"/>
        <v>63</v>
      </c>
      <c r="M301" s="4">
        <f t="shared" si="14"/>
        <v>0.09</v>
      </c>
      <c r="N301">
        <v>700</v>
      </c>
      <c r="O301">
        <v>700</v>
      </c>
      <c r="P301" t="s">
        <v>25</v>
      </c>
      <c r="Q301" t="s">
        <v>26</v>
      </c>
      <c r="R301" t="str">
        <f>IF(COUNTIF(Sheet2!B:B, A301) &gt; 0, "Yes", "No")</f>
        <v>No</v>
      </c>
    </row>
    <row r="302" spans="1:18" x14ac:dyDescent="0.25">
      <c r="A302" s="3">
        <v>45086</v>
      </c>
      <c r="B302" t="s">
        <v>234</v>
      </c>
      <c r="C302" t="s">
        <v>79</v>
      </c>
      <c r="D302" t="s">
        <v>20</v>
      </c>
      <c r="E302" t="s">
        <v>21</v>
      </c>
      <c r="F302" t="s">
        <v>22</v>
      </c>
      <c r="G302" t="s">
        <v>23</v>
      </c>
      <c r="H302" t="s">
        <v>196</v>
      </c>
      <c r="I302" s="5">
        <v>0.06</v>
      </c>
      <c r="J302">
        <f t="shared" si="12"/>
        <v>42</v>
      </c>
      <c r="K302">
        <v>0</v>
      </c>
      <c r="L302">
        <f t="shared" si="13"/>
        <v>42</v>
      </c>
      <c r="M302" s="4">
        <f t="shared" si="14"/>
        <v>0.06</v>
      </c>
      <c r="N302">
        <v>700</v>
      </c>
      <c r="O302">
        <v>700</v>
      </c>
      <c r="P302" t="s">
        <v>25</v>
      </c>
      <c r="Q302" t="s">
        <v>26</v>
      </c>
      <c r="R302" t="str">
        <f>IF(COUNTIF(Sheet2!B:B, A302) &gt; 0, "Yes", "No")</f>
        <v>Yes</v>
      </c>
    </row>
    <row r="303" spans="1:18" x14ac:dyDescent="0.25">
      <c r="A303" s="3">
        <v>45086</v>
      </c>
      <c r="B303" t="s">
        <v>234</v>
      </c>
      <c r="C303" t="s">
        <v>79</v>
      </c>
      <c r="D303" t="s">
        <v>20</v>
      </c>
      <c r="E303" t="s">
        <v>21</v>
      </c>
      <c r="F303" t="s">
        <v>27</v>
      </c>
      <c r="G303" t="s">
        <v>144</v>
      </c>
      <c r="H303" t="s">
        <v>254</v>
      </c>
      <c r="I303" s="5">
        <v>0.1</v>
      </c>
      <c r="J303">
        <f t="shared" si="12"/>
        <v>70</v>
      </c>
      <c r="K303">
        <v>16</v>
      </c>
      <c r="L303">
        <f t="shared" si="13"/>
        <v>54</v>
      </c>
      <c r="M303" s="4">
        <f t="shared" si="14"/>
        <v>7.7142857142857138E-2</v>
      </c>
      <c r="N303">
        <v>700</v>
      </c>
      <c r="O303">
        <v>700</v>
      </c>
      <c r="P303" t="s">
        <v>25</v>
      </c>
      <c r="Q303" t="s">
        <v>26</v>
      </c>
      <c r="R303" t="str">
        <f>IF(COUNTIF(Sheet2!B:B, A303) &gt; 0, "Yes", "No")</f>
        <v>Yes</v>
      </c>
    </row>
    <row r="304" spans="1:18" x14ac:dyDescent="0.25">
      <c r="A304" s="3">
        <v>45086</v>
      </c>
      <c r="B304" t="s">
        <v>234</v>
      </c>
      <c r="C304" t="s">
        <v>79</v>
      </c>
      <c r="D304" t="s">
        <v>20</v>
      </c>
      <c r="E304" t="s">
        <v>21</v>
      </c>
      <c r="F304" t="s">
        <v>30</v>
      </c>
      <c r="G304" t="s">
        <v>55</v>
      </c>
      <c r="H304" t="s">
        <v>56</v>
      </c>
      <c r="I304" s="5">
        <v>0.06</v>
      </c>
      <c r="J304">
        <f t="shared" si="12"/>
        <v>42</v>
      </c>
      <c r="K304">
        <v>3</v>
      </c>
      <c r="L304">
        <f t="shared" si="13"/>
        <v>39</v>
      </c>
      <c r="M304" s="4">
        <f t="shared" si="14"/>
        <v>5.5714285714285716E-2</v>
      </c>
      <c r="N304">
        <v>700</v>
      </c>
      <c r="O304">
        <v>700</v>
      </c>
      <c r="P304" t="s">
        <v>25</v>
      </c>
      <c r="Q304" t="s">
        <v>26</v>
      </c>
      <c r="R304" t="str">
        <f>IF(COUNTIF(Sheet2!B:B, A304) &gt; 0, "Yes", "No")</f>
        <v>Yes</v>
      </c>
    </row>
    <row r="305" spans="1:18" x14ac:dyDescent="0.25">
      <c r="A305" s="3">
        <v>45086</v>
      </c>
      <c r="B305" t="s">
        <v>234</v>
      </c>
      <c r="C305" t="s">
        <v>79</v>
      </c>
      <c r="D305" t="s">
        <v>33</v>
      </c>
      <c r="E305" t="s">
        <v>21</v>
      </c>
      <c r="F305" t="s">
        <v>84</v>
      </c>
      <c r="G305" t="s">
        <v>85</v>
      </c>
      <c r="H305" t="s">
        <v>163</v>
      </c>
      <c r="I305" s="5">
        <v>0.3</v>
      </c>
      <c r="J305">
        <f t="shared" si="12"/>
        <v>105</v>
      </c>
      <c r="K305">
        <v>0</v>
      </c>
      <c r="L305">
        <f t="shared" si="13"/>
        <v>105</v>
      </c>
      <c r="M305" s="4">
        <f t="shared" si="14"/>
        <v>0.3</v>
      </c>
      <c r="N305">
        <v>350</v>
      </c>
      <c r="O305">
        <v>350</v>
      </c>
      <c r="P305" t="s">
        <v>25</v>
      </c>
      <c r="Q305" t="s">
        <v>26</v>
      </c>
      <c r="R305" t="str">
        <f>IF(COUNTIF(Sheet2!B:B, A305) &gt; 0, "Yes", "No")</f>
        <v>Yes</v>
      </c>
    </row>
    <row r="306" spans="1:18" x14ac:dyDescent="0.25">
      <c r="A306" s="3">
        <v>45086</v>
      </c>
      <c r="B306" t="s">
        <v>234</v>
      </c>
      <c r="C306" t="s">
        <v>79</v>
      </c>
      <c r="D306" t="s">
        <v>20</v>
      </c>
      <c r="E306" t="s">
        <v>21</v>
      </c>
      <c r="F306" t="s">
        <v>37</v>
      </c>
      <c r="G306" t="s">
        <v>59</v>
      </c>
      <c r="H306" t="s">
        <v>60</v>
      </c>
      <c r="I306" s="5">
        <v>2.5000000000000001E-2</v>
      </c>
      <c r="J306">
        <f t="shared" si="12"/>
        <v>17.5</v>
      </c>
      <c r="K306">
        <v>5</v>
      </c>
      <c r="L306">
        <f t="shared" si="13"/>
        <v>12.5</v>
      </c>
      <c r="M306" s="4">
        <f t="shared" si="14"/>
        <v>1.7857142857142856E-2</v>
      </c>
      <c r="N306">
        <v>700</v>
      </c>
      <c r="O306">
        <v>700</v>
      </c>
      <c r="P306" t="s">
        <v>25</v>
      </c>
      <c r="Q306" t="s">
        <v>26</v>
      </c>
      <c r="R306" t="str">
        <f>IF(COUNTIF(Sheet2!B:B, A306) &gt; 0, "Yes", "No")</f>
        <v>Yes</v>
      </c>
    </row>
    <row r="307" spans="1:18" x14ac:dyDescent="0.25">
      <c r="A307" s="3">
        <v>45086</v>
      </c>
      <c r="B307" t="s">
        <v>234</v>
      </c>
      <c r="C307" t="s">
        <v>79</v>
      </c>
      <c r="D307" t="s">
        <v>20</v>
      </c>
      <c r="E307" t="s">
        <v>21</v>
      </c>
      <c r="F307" t="s">
        <v>40</v>
      </c>
      <c r="G307" t="s">
        <v>61</v>
      </c>
      <c r="H307" t="s">
        <v>62</v>
      </c>
      <c r="I307" s="5">
        <v>0.04</v>
      </c>
      <c r="J307">
        <f t="shared" si="12"/>
        <v>28</v>
      </c>
      <c r="K307">
        <v>5</v>
      </c>
      <c r="L307">
        <f t="shared" si="13"/>
        <v>23</v>
      </c>
      <c r="M307" s="4">
        <f t="shared" si="14"/>
        <v>3.2857142857142856E-2</v>
      </c>
      <c r="N307">
        <v>700</v>
      </c>
      <c r="O307">
        <v>700</v>
      </c>
      <c r="P307" t="s">
        <v>25</v>
      </c>
      <c r="Q307" t="s">
        <v>26</v>
      </c>
      <c r="R307" t="str">
        <f>IF(COUNTIF(Sheet2!B:B, A307) &gt; 0, "Yes", "No")</f>
        <v>Yes</v>
      </c>
    </row>
    <row r="308" spans="1:18" x14ac:dyDescent="0.25">
      <c r="A308" s="3">
        <v>45086</v>
      </c>
      <c r="B308" t="s">
        <v>234</v>
      </c>
      <c r="C308" t="s">
        <v>79</v>
      </c>
      <c r="D308" t="s">
        <v>20</v>
      </c>
      <c r="E308" t="s">
        <v>21</v>
      </c>
      <c r="F308" t="s">
        <v>43</v>
      </c>
      <c r="G308" t="s">
        <v>90</v>
      </c>
      <c r="H308" t="s">
        <v>255</v>
      </c>
      <c r="I308" s="5">
        <v>7.0000000000000007E-2</v>
      </c>
      <c r="J308">
        <f t="shared" si="12"/>
        <v>49.000000000000007</v>
      </c>
      <c r="K308">
        <v>8</v>
      </c>
      <c r="L308">
        <f t="shared" si="13"/>
        <v>41.000000000000007</v>
      </c>
      <c r="M308" s="4">
        <f t="shared" si="14"/>
        <v>5.857142857142858E-2</v>
      </c>
      <c r="N308">
        <v>700</v>
      </c>
      <c r="O308">
        <v>700</v>
      </c>
      <c r="P308" t="s">
        <v>25</v>
      </c>
      <c r="Q308" t="s">
        <v>26</v>
      </c>
      <c r="R308" t="str">
        <f>IF(COUNTIF(Sheet2!B:B, A308) &gt; 0, "Yes", "No")</f>
        <v>Yes</v>
      </c>
    </row>
    <row r="309" spans="1:18" x14ac:dyDescent="0.25">
      <c r="A309" s="3">
        <v>45086</v>
      </c>
      <c r="B309" t="s">
        <v>234</v>
      </c>
      <c r="C309" t="s">
        <v>79</v>
      </c>
      <c r="D309" t="s">
        <v>20</v>
      </c>
      <c r="E309" t="s">
        <v>21</v>
      </c>
      <c r="F309" t="s">
        <v>46</v>
      </c>
      <c r="G309" t="s">
        <v>256</v>
      </c>
      <c r="H309" t="s">
        <v>257</v>
      </c>
      <c r="I309" s="5">
        <v>0.06</v>
      </c>
      <c r="J309">
        <f t="shared" si="12"/>
        <v>42</v>
      </c>
      <c r="K309">
        <v>0</v>
      </c>
      <c r="L309">
        <f t="shared" si="13"/>
        <v>42</v>
      </c>
      <c r="M309" s="4">
        <f t="shared" si="14"/>
        <v>0.06</v>
      </c>
      <c r="N309">
        <v>700</v>
      </c>
      <c r="O309">
        <v>700</v>
      </c>
      <c r="P309" t="s">
        <v>25</v>
      </c>
      <c r="Q309" t="s">
        <v>26</v>
      </c>
      <c r="R309" t="str">
        <f>IF(COUNTIF(Sheet2!B:B, A309) &gt; 0, "Yes", "No")</f>
        <v>Yes</v>
      </c>
    </row>
    <row r="310" spans="1:18" x14ac:dyDescent="0.25">
      <c r="A310" s="3">
        <v>45086</v>
      </c>
      <c r="B310" t="s">
        <v>234</v>
      </c>
      <c r="C310" t="s">
        <v>79</v>
      </c>
      <c r="D310" t="s">
        <v>20</v>
      </c>
      <c r="E310" t="s">
        <v>21</v>
      </c>
      <c r="F310" t="s">
        <v>49</v>
      </c>
      <c r="G310" t="s">
        <v>50</v>
      </c>
      <c r="H310" t="s">
        <v>49</v>
      </c>
      <c r="I310" s="5">
        <v>0.04</v>
      </c>
      <c r="J310">
        <f t="shared" si="12"/>
        <v>28</v>
      </c>
      <c r="K310">
        <v>0</v>
      </c>
      <c r="L310">
        <f t="shared" si="13"/>
        <v>28</v>
      </c>
      <c r="M310" s="4">
        <f t="shared" si="14"/>
        <v>0.04</v>
      </c>
      <c r="N310">
        <v>700</v>
      </c>
      <c r="O310">
        <v>700</v>
      </c>
      <c r="P310" t="s">
        <v>25</v>
      </c>
      <c r="Q310" t="s">
        <v>26</v>
      </c>
      <c r="R310" t="str">
        <f>IF(COUNTIF(Sheet2!B:B, A310) &gt; 0, "Yes", "No")</f>
        <v>Yes</v>
      </c>
    </row>
    <row r="311" spans="1:18" x14ac:dyDescent="0.25">
      <c r="A311" s="3">
        <v>45089</v>
      </c>
      <c r="B311" t="s">
        <v>234</v>
      </c>
      <c r="C311" t="s">
        <v>19</v>
      </c>
      <c r="D311" t="s">
        <v>20</v>
      </c>
      <c r="E311" t="s">
        <v>21</v>
      </c>
      <c r="F311" t="s">
        <v>22</v>
      </c>
      <c r="G311" t="s">
        <v>94</v>
      </c>
      <c r="H311" t="s">
        <v>199</v>
      </c>
      <c r="I311">
        <v>8.5000000000000006E-2</v>
      </c>
      <c r="J311">
        <f t="shared" si="12"/>
        <v>59.500000000000007</v>
      </c>
      <c r="K311">
        <v>6</v>
      </c>
      <c r="L311">
        <f t="shared" si="13"/>
        <v>53.500000000000007</v>
      </c>
      <c r="M311" s="4">
        <f t="shared" si="14"/>
        <v>7.6428571428571443E-2</v>
      </c>
      <c r="N311">
        <v>700</v>
      </c>
      <c r="O311">
        <v>700</v>
      </c>
      <c r="P311" t="s">
        <v>25</v>
      </c>
      <c r="Q311" t="s">
        <v>26</v>
      </c>
      <c r="R311" t="str">
        <f>IF(COUNTIF(Sheet2!B:B, A311) &gt; 0, "Yes", "No")</f>
        <v>No</v>
      </c>
    </row>
    <row r="312" spans="1:18" x14ac:dyDescent="0.25">
      <c r="A312" s="3">
        <v>45089</v>
      </c>
      <c r="B312" t="s">
        <v>234</v>
      </c>
      <c r="C312" t="s">
        <v>19</v>
      </c>
      <c r="D312" t="s">
        <v>20</v>
      </c>
      <c r="E312" t="s">
        <v>21</v>
      </c>
      <c r="F312" t="s">
        <v>27</v>
      </c>
      <c r="G312" t="s">
        <v>28</v>
      </c>
      <c r="H312" t="s">
        <v>156</v>
      </c>
      <c r="I312">
        <v>0.11</v>
      </c>
      <c r="J312">
        <f t="shared" si="12"/>
        <v>77</v>
      </c>
      <c r="K312">
        <v>0</v>
      </c>
      <c r="L312">
        <f t="shared" si="13"/>
        <v>77</v>
      </c>
      <c r="M312" s="4">
        <f t="shared" si="14"/>
        <v>0.11</v>
      </c>
      <c r="N312">
        <v>700</v>
      </c>
      <c r="O312">
        <v>700</v>
      </c>
      <c r="P312" t="s">
        <v>25</v>
      </c>
      <c r="Q312" t="s">
        <v>26</v>
      </c>
      <c r="R312" t="str">
        <f>IF(COUNTIF(Sheet2!B:B, A312) &gt; 0, "Yes", "No")</f>
        <v>No</v>
      </c>
    </row>
    <row r="313" spans="1:18" x14ac:dyDescent="0.25">
      <c r="A313" s="3">
        <v>45089</v>
      </c>
      <c r="B313" t="s">
        <v>234</v>
      </c>
      <c r="C313" t="s">
        <v>19</v>
      </c>
      <c r="D313" t="s">
        <v>20</v>
      </c>
      <c r="E313" t="s">
        <v>21</v>
      </c>
      <c r="F313" t="s">
        <v>30</v>
      </c>
      <c r="G313" t="s">
        <v>55</v>
      </c>
      <c r="H313" t="s">
        <v>183</v>
      </c>
      <c r="I313">
        <v>0.09</v>
      </c>
      <c r="J313">
        <f t="shared" si="12"/>
        <v>63</v>
      </c>
      <c r="K313">
        <v>0</v>
      </c>
      <c r="L313">
        <f t="shared" si="13"/>
        <v>63</v>
      </c>
      <c r="M313" s="4">
        <f t="shared" si="14"/>
        <v>0.09</v>
      </c>
      <c r="N313">
        <v>700</v>
      </c>
      <c r="O313">
        <v>700</v>
      </c>
      <c r="P313" t="s">
        <v>25</v>
      </c>
      <c r="Q313" t="s">
        <v>26</v>
      </c>
      <c r="R313" t="str">
        <f>IF(COUNTIF(Sheet2!B:B, A313) &gt; 0, "Yes", "No")</f>
        <v>No</v>
      </c>
    </row>
    <row r="314" spans="1:18" x14ac:dyDescent="0.25">
      <c r="A314" s="3">
        <v>45089</v>
      </c>
      <c r="B314" t="s">
        <v>234</v>
      </c>
      <c r="C314" t="s">
        <v>19</v>
      </c>
      <c r="D314" t="s">
        <v>33</v>
      </c>
      <c r="E314" t="s">
        <v>21</v>
      </c>
      <c r="F314" t="s">
        <v>34</v>
      </c>
      <c r="G314" t="s">
        <v>35</v>
      </c>
      <c r="H314" t="s">
        <v>258</v>
      </c>
      <c r="I314">
        <v>0.15</v>
      </c>
      <c r="J314">
        <f t="shared" si="12"/>
        <v>52.5</v>
      </c>
      <c r="K314">
        <v>0</v>
      </c>
      <c r="L314">
        <f t="shared" si="13"/>
        <v>52.5</v>
      </c>
      <c r="M314" s="4">
        <f t="shared" si="14"/>
        <v>0.15</v>
      </c>
      <c r="N314">
        <v>350</v>
      </c>
      <c r="O314">
        <v>350</v>
      </c>
      <c r="P314" t="s">
        <v>25</v>
      </c>
      <c r="Q314" t="s">
        <v>26</v>
      </c>
      <c r="R314" t="str">
        <f>IF(COUNTIF(Sheet2!B:B, A314) &gt; 0, "Yes", "No")</f>
        <v>No</v>
      </c>
    </row>
    <row r="315" spans="1:18" x14ac:dyDescent="0.25">
      <c r="A315" s="3">
        <v>45089</v>
      </c>
      <c r="B315" t="s">
        <v>234</v>
      </c>
      <c r="C315" t="s">
        <v>19</v>
      </c>
      <c r="D315" t="s">
        <v>20</v>
      </c>
      <c r="E315" t="s">
        <v>21</v>
      </c>
      <c r="F315" t="s">
        <v>37</v>
      </c>
      <c r="G315" t="s">
        <v>117</v>
      </c>
      <c r="H315" t="s">
        <v>118</v>
      </c>
      <c r="I315">
        <v>0.03</v>
      </c>
      <c r="J315">
        <f t="shared" si="12"/>
        <v>21</v>
      </c>
      <c r="K315">
        <v>2</v>
      </c>
      <c r="L315">
        <f t="shared" si="13"/>
        <v>19</v>
      </c>
      <c r="M315" s="4">
        <f t="shared" si="14"/>
        <v>2.7142857142857142E-2</v>
      </c>
      <c r="N315">
        <v>700</v>
      </c>
      <c r="O315">
        <v>700</v>
      </c>
      <c r="P315" t="s">
        <v>25</v>
      </c>
      <c r="Q315" t="s">
        <v>26</v>
      </c>
      <c r="R315" t="str">
        <f>IF(COUNTIF(Sheet2!B:B, A315) &gt; 0, "Yes", "No")</f>
        <v>No</v>
      </c>
    </row>
    <row r="316" spans="1:18" x14ac:dyDescent="0.25">
      <c r="A316" s="3">
        <v>45089</v>
      </c>
      <c r="B316" t="s">
        <v>234</v>
      </c>
      <c r="C316" t="s">
        <v>19</v>
      </c>
      <c r="D316" t="s">
        <v>20</v>
      </c>
      <c r="E316" t="s">
        <v>21</v>
      </c>
      <c r="F316" t="s">
        <v>40</v>
      </c>
      <c r="G316" t="s">
        <v>61</v>
      </c>
      <c r="H316" t="s">
        <v>62</v>
      </c>
      <c r="I316">
        <v>4.4999999999999998E-2</v>
      </c>
      <c r="J316">
        <f t="shared" si="12"/>
        <v>31.5</v>
      </c>
      <c r="K316">
        <v>2</v>
      </c>
      <c r="L316">
        <f t="shared" si="13"/>
        <v>29.5</v>
      </c>
      <c r="M316" s="4">
        <f t="shared" si="14"/>
        <v>4.2142857142857142E-2</v>
      </c>
      <c r="N316">
        <v>700</v>
      </c>
      <c r="O316">
        <v>700</v>
      </c>
      <c r="P316" t="s">
        <v>25</v>
      </c>
      <c r="Q316" t="s">
        <v>26</v>
      </c>
      <c r="R316" t="str">
        <f>IF(COUNTIF(Sheet2!B:B, A316) &gt; 0, "Yes", "No")</f>
        <v>No</v>
      </c>
    </row>
    <row r="317" spans="1:18" x14ac:dyDescent="0.25">
      <c r="A317" s="3">
        <v>45089</v>
      </c>
      <c r="B317" t="s">
        <v>234</v>
      </c>
      <c r="C317" t="s">
        <v>19</v>
      </c>
      <c r="D317" t="s">
        <v>20</v>
      </c>
      <c r="E317" t="s">
        <v>21</v>
      </c>
      <c r="F317" t="s">
        <v>43</v>
      </c>
      <c r="G317" t="s">
        <v>159</v>
      </c>
      <c r="H317" t="s">
        <v>160</v>
      </c>
      <c r="I317">
        <v>0.11</v>
      </c>
      <c r="J317">
        <f t="shared" si="12"/>
        <v>77</v>
      </c>
      <c r="K317">
        <v>0</v>
      </c>
      <c r="L317">
        <f t="shared" si="13"/>
        <v>77</v>
      </c>
      <c r="M317" s="4">
        <f t="shared" si="14"/>
        <v>0.11</v>
      </c>
      <c r="N317">
        <v>700</v>
      </c>
      <c r="O317">
        <v>700</v>
      </c>
      <c r="P317" t="s">
        <v>25</v>
      </c>
      <c r="Q317" t="s">
        <v>26</v>
      </c>
      <c r="R317" t="str">
        <f>IF(COUNTIF(Sheet2!B:B, A317) &gt; 0, "Yes", "No")</f>
        <v>No</v>
      </c>
    </row>
    <row r="318" spans="1:18" x14ac:dyDescent="0.25">
      <c r="A318" s="3">
        <v>45089</v>
      </c>
      <c r="B318" t="s">
        <v>234</v>
      </c>
      <c r="C318" t="s">
        <v>19</v>
      </c>
      <c r="D318" t="s">
        <v>20</v>
      </c>
      <c r="E318" t="s">
        <v>21</v>
      </c>
      <c r="F318" t="s">
        <v>46</v>
      </c>
      <c r="G318" t="s">
        <v>92</v>
      </c>
      <c r="H318" t="s">
        <v>259</v>
      </c>
      <c r="I318">
        <v>8.5000000000000006E-2</v>
      </c>
      <c r="J318">
        <f t="shared" si="12"/>
        <v>59.500000000000007</v>
      </c>
      <c r="K318">
        <v>0</v>
      </c>
      <c r="L318">
        <f t="shared" si="13"/>
        <v>59.500000000000007</v>
      </c>
      <c r="M318" s="4">
        <f t="shared" si="14"/>
        <v>8.5000000000000006E-2</v>
      </c>
      <c r="N318">
        <v>700</v>
      </c>
      <c r="O318">
        <v>700</v>
      </c>
      <c r="P318" t="s">
        <v>25</v>
      </c>
      <c r="Q318" t="s">
        <v>26</v>
      </c>
      <c r="R318" t="str">
        <f>IF(COUNTIF(Sheet2!B:B, A318) &gt; 0, "Yes", "No")</f>
        <v>No</v>
      </c>
    </row>
    <row r="319" spans="1:18" x14ac:dyDescent="0.25">
      <c r="A319" s="3">
        <v>45090</v>
      </c>
      <c r="B319" t="s">
        <v>234</v>
      </c>
      <c r="C319" t="s">
        <v>105</v>
      </c>
      <c r="D319" t="s">
        <v>20</v>
      </c>
      <c r="E319" t="s">
        <v>67</v>
      </c>
      <c r="F319" t="s">
        <v>22</v>
      </c>
      <c r="G319" t="s">
        <v>122</v>
      </c>
      <c r="H319" t="s">
        <v>260</v>
      </c>
      <c r="I319">
        <v>8.5000000000000006E-2</v>
      </c>
      <c r="J319">
        <f t="shared" si="12"/>
        <v>59.500000000000007</v>
      </c>
      <c r="K319">
        <v>0</v>
      </c>
      <c r="L319">
        <f t="shared" si="13"/>
        <v>59.500000000000007</v>
      </c>
      <c r="M319" s="4">
        <f t="shared" si="14"/>
        <v>8.5000000000000006E-2</v>
      </c>
      <c r="N319">
        <v>700</v>
      </c>
      <c r="O319">
        <v>700</v>
      </c>
      <c r="P319" t="s">
        <v>25</v>
      </c>
      <c r="Q319" t="s">
        <v>26</v>
      </c>
      <c r="R319" t="str">
        <f>IF(COUNTIF(Sheet2!B:B, A319) &gt; 0, "Yes", "No")</f>
        <v>No</v>
      </c>
    </row>
    <row r="320" spans="1:18" x14ac:dyDescent="0.25">
      <c r="A320" s="3">
        <v>45090</v>
      </c>
      <c r="B320" t="s">
        <v>234</v>
      </c>
      <c r="C320" t="s">
        <v>105</v>
      </c>
      <c r="D320" t="s">
        <v>20</v>
      </c>
      <c r="E320" t="s">
        <v>67</v>
      </c>
      <c r="F320" t="s">
        <v>27</v>
      </c>
      <c r="G320" t="s">
        <v>28</v>
      </c>
      <c r="H320" t="s">
        <v>210</v>
      </c>
      <c r="I320">
        <v>0.11</v>
      </c>
      <c r="J320">
        <f t="shared" si="12"/>
        <v>77</v>
      </c>
      <c r="K320">
        <v>0</v>
      </c>
      <c r="L320">
        <f t="shared" si="13"/>
        <v>77</v>
      </c>
      <c r="M320" s="4">
        <f t="shared" si="14"/>
        <v>0.11</v>
      </c>
      <c r="N320">
        <v>700</v>
      </c>
      <c r="O320">
        <v>700</v>
      </c>
      <c r="P320" t="s">
        <v>25</v>
      </c>
      <c r="Q320" t="s">
        <v>26</v>
      </c>
      <c r="R320" t="str">
        <f>IF(COUNTIF(Sheet2!B:B, A320) &gt; 0, "Yes", "No")</f>
        <v>No</v>
      </c>
    </row>
    <row r="321" spans="1:18" x14ac:dyDescent="0.25">
      <c r="A321" s="3">
        <v>45090</v>
      </c>
      <c r="B321" t="s">
        <v>234</v>
      </c>
      <c r="C321" t="s">
        <v>105</v>
      </c>
      <c r="D321" t="s">
        <v>20</v>
      </c>
      <c r="E321" t="s">
        <v>67</v>
      </c>
      <c r="F321" t="s">
        <v>30</v>
      </c>
      <c r="G321" t="s">
        <v>55</v>
      </c>
      <c r="H321" t="s">
        <v>125</v>
      </c>
      <c r="I321">
        <v>0.09</v>
      </c>
      <c r="J321">
        <f t="shared" si="12"/>
        <v>63</v>
      </c>
      <c r="K321">
        <v>0</v>
      </c>
      <c r="L321">
        <f t="shared" si="13"/>
        <v>63</v>
      </c>
      <c r="M321" s="4">
        <f t="shared" si="14"/>
        <v>0.09</v>
      </c>
      <c r="N321">
        <v>700</v>
      </c>
      <c r="O321">
        <v>700</v>
      </c>
      <c r="P321" t="s">
        <v>25</v>
      </c>
      <c r="Q321" t="s">
        <v>26</v>
      </c>
      <c r="R321" t="str">
        <f>IF(COUNTIF(Sheet2!B:B, A321) &gt; 0, "Yes", "No")</f>
        <v>No</v>
      </c>
    </row>
    <row r="322" spans="1:18" x14ac:dyDescent="0.25">
      <c r="A322" s="3">
        <v>45090</v>
      </c>
      <c r="B322" t="s">
        <v>234</v>
      </c>
      <c r="C322" t="s">
        <v>105</v>
      </c>
      <c r="D322" t="s">
        <v>20</v>
      </c>
      <c r="E322" t="s">
        <v>67</v>
      </c>
      <c r="F322" t="s">
        <v>37</v>
      </c>
      <c r="G322" t="s">
        <v>38</v>
      </c>
      <c r="H322" t="s">
        <v>39</v>
      </c>
      <c r="I322">
        <v>3.5000000000000003E-2</v>
      </c>
      <c r="J322">
        <f t="shared" si="12"/>
        <v>24.500000000000004</v>
      </c>
      <c r="K322">
        <v>0</v>
      </c>
      <c r="L322">
        <f t="shared" si="13"/>
        <v>24.500000000000004</v>
      </c>
      <c r="M322" s="4">
        <f t="shared" si="14"/>
        <v>3.5000000000000003E-2</v>
      </c>
      <c r="N322">
        <v>700</v>
      </c>
      <c r="O322">
        <v>700</v>
      </c>
      <c r="P322" t="s">
        <v>25</v>
      </c>
      <c r="Q322" t="s">
        <v>26</v>
      </c>
      <c r="R322" t="str">
        <f>IF(COUNTIF(Sheet2!B:B, A322) &gt; 0, "Yes", "No")</f>
        <v>No</v>
      </c>
    </row>
    <row r="323" spans="1:18" x14ac:dyDescent="0.25">
      <c r="A323" s="3">
        <v>45090</v>
      </c>
      <c r="B323" t="s">
        <v>234</v>
      </c>
      <c r="C323" t="s">
        <v>105</v>
      </c>
      <c r="D323" t="s">
        <v>20</v>
      </c>
      <c r="E323" t="s">
        <v>67</v>
      </c>
      <c r="F323" t="s">
        <v>40</v>
      </c>
      <c r="G323" t="s">
        <v>73</v>
      </c>
      <c r="H323" t="s">
        <v>74</v>
      </c>
      <c r="I323">
        <v>0.05</v>
      </c>
      <c r="J323">
        <f t="shared" ref="J323:J386" si="15">I323*O323</f>
        <v>35</v>
      </c>
      <c r="K323">
        <v>2</v>
      </c>
      <c r="L323">
        <f t="shared" ref="L323:L386" si="16">J323-K323</f>
        <v>33</v>
      </c>
      <c r="M323" s="4">
        <f t="shared" ref="M323:M386" si="17">((I323*O323)-K323)/N323</f>
        <v>4.7142857142857146E-2</v>
      </c>
      <c r="N323">
        <v>700</v>
      </c>
      <c r="O323">
        <v>700</v>
      </c>
      <c r="P323" t="s">
        <v>25</v>
      </c>
      <c r="Q323" t="s">
        <v>26</v>
      </c>
      <c r="R323" t="str">
        <f>IF(COUNTIF(Sheet2!B:B, A323) &gt; 0, "Yes", "No")</f>
        <v>No</v>
      </c>
    </row>
    <row r="324" spans="1:18" x14ac:dyDescent="0.25">
      <c r="A324" s="3">
        <v>45090</v>
      </c>
      <c r="B324" t="s">
        <v>234</v>
      </c>
      <c r="C324" t="s">
        <v>105</v>
      </c>
      <c r="D324" t="s">
        <v>20</v>
      </c>
      <c r="E324" t="s">
        <v>67</v>
      </c>
      <c r="F324" t="s">
        <v>43</v>
      </c>
      <c r="G324" t="s">
        <v>215</v>
      </c>
      <c r="H324" t="s">
        <v>261</v>
      </c>
      <c r="I324">
        <v>0.11</v>
      </c>
      <c r="J324">
        <f t="shared" si="15"/>
        <v>77</v>
      </c>
      <c r="K324">
        <v>4</v>
      </c>
      <c r="L324">
        <f t="shared" si="16"/>
        <v>73</v>
      </c>
      <c r="M324" s="4">
        <f t="shared" si="17"/>
        <v>0.10428571428571429</v>
      </c>
      <c r="N324">
        <v>700</v>
      </c>
      <c r="O324">
        <v>700</v>
      </c>
      <c r="P324" t="s">
        <v>25</v>
      </c>
      <c r="Q324" t="s">
        <v>26</v>
      </c>
      <c r="R324" t="str">
        <f>IF(COUNTIF(Sheet2!B:B, A324) &gt; 0, "Yes", "No")</f>
        <v>No</v>
      </c>
    </row>
    <row r="325" spans="1:18" x14ac:dyDescent="0.25">
      <c r="A325" s="3">
        <v>45090</v>
      </c>
      <c r="B325" t="s">
        <v>234</v>
      </c>
      <c r="C325" t="s">
        <v>105</v>
      </c>
      <c r="D325" t="s">
        <v>20</v>
      </c>
      <c r="E325" t="s">
        <v>67</v>
      </c>
      <c r="F325" t="s">
        <v>46</v>
      </c>
      <c r="G325" t="s">
        <v>47</v>
      </c>
      <c r="H325" t="s">
        <v>65</v>
      </c>
      <c r="I325">
        <v>8.5000000000000006E-2</v>
      </c>
      <c r="J325">
        <f t="shared" si="15"/>
        <v>59.500000000000007</v>
      </c>
      <c r="K325">
        <v>2</v>
      </c>
      <c r="L325">
        <f t="shared" si="16"/>
        <v>57.500000000000007</v>
      </c>
      <c r="M325" s="4">
        <f t="shared" si="17"/>
        <v>8.2142857142857156E-2</v>
      </c>
      <c r="N325">
        <v>700</v>
      </c>
      <c r="O325">
        <v>700</v>
      </c>
      <c r="P325" t="s">
        <v>25</v>
      </c>
      <c r="Q325" t="s">
        <v>26</v>
      </c>
      <c r="R325" t="str">
        <f>IF(COUNTIF(Sheet2!B:B, A325) &gt; 0, "Yes", "No")</f>
        <v>No</v>
      </c>
    </row>
    <row r="326" spans="1:18" x14ac:dyDescent="0.25">
      <c r="A326" s="3">
        <v>45090</v>
      </c>
      <c r="B326" t="s">
        <v>234</v>
      </c>
      <c r="C326" t="s">
        <v>19</v>
      </c>
      <c r="D326" t="s">
        <v>20</v>
      </c>
      <c r="E326" t="s">
        <v>21</v>
      </c>
      <c r="F326" t="s">
        <v>49</v>
      </c>
      <c r="G326" t="s">
        <v>50</v>
      </c>
      <c r="H326" t="s">
        <v>49</v>
      </c>
      <c r="I326">
        <v>0.09</v>
      </c>
      <c r="J326">
        <f t="shared" si="15"/>
        <v>63</v>
      </c>
      <c r="K326">
        <v>0</v>
      </c>
      <c r="L326">
        <f t="shared" si="16"/>
        <v>63</v>
      </c>
      <c r="M326" s="4">
        <f t="shared" si="17"/>
        <v>0.09</v>
      </c>
      <c r="N326">
        <v>700</v>
      </c>
      <c r="O326">
        <v>700</v>
      </c>
      <c r="P326" t="s">
        <v>25</v>
      </c>
      <c r="Q326" t="s">
        <v>26</v>
      </c>
      <c r="R326" t="str">
        <f>IF(COUNTIF(Sheet2!B:B, A326) &gt; 0, "Yes", "No")</f>
        <v>No</v>
      </c>
    </row>
    <row r="327" spans="1:18" x14ac:dyDescent="0.25">
      <c r="A327" s="3">
        <v>45090</v>
      </c>
      <c r="B327" t="s">
        <v>234</v>
      </c>
      <c r="C327" t="s">
        <v>105</v>
      </c>
      <c r="D327" t="s">
        <v>20</v>
      </c>
      <c r="E327" t="s">
        <v>67</v>
      </c>
      <c r="F327" t="s">
        <v>49</v>
      </c>
      <c r="G327" t="s">
        <v>50</v>
      </c>
      <c r="H327" t="s">
        <v>49</v>
      </c>
      <c r="I327">
        <v>0.09</v>
      </c>
      <c r="J327">
        <f t="shared" si="15"/>
        <v>63</v>
      </c>
      <c r="K327">
        <v>0</v>
      </c>
      <c r="L327">
        <f t="shared" si="16"/>
        <v>63</v>
      </c>
      <c r="M327" s="4">
        <f t="shared" si="17"/>
        <v>0.09</v>
      </c>
      <c r="N327">
        <v>700</v>
      </c>
      <c r="O327">
        <v>700</v>
      </c>
      <c r="P327" t="s">
        <v>25</v>
      </c>
      <c r="Q327" t="s">
        <v>26</v>
      </c>
      <c r="R327" t="str">
        <f>IF(COUNTIF(Sheet2!B:B, A327) &gt; 0, "Yes", "No")</f>
        <v>No</v>
      </c>
    </row>
    <row r="328" spans="1:18" x14ac:dyDescent="0.25">
      <c r="A328" s="3">
        <v>45091</v>
      </c>
      <c r="B328" t="s">
        <v>234</v>
      </c>
      <c r="C328" t="s">
        <v>51</v>
      </c>
      <c r="D328" t="s">
        <v>20</v>
      </c>
      <c r="E328" t="s">
        <v>21</v>
      </c>
      <c r="F328" t="s">
        <v>22</v>
      </c>
      <c r="G328" t="s">
        <v>23</v>
      </c>
      <c r="H328" t="s">
        <v>80</v>
      </c>
      <c r="I328">
        <v>8.5000000000000006E-2</v>
      </c>
      <c r="J328">
        <f t="shared" si="15"/>
        <v>68</v>
      </c>
      <c r="K328">
        <v>8</v>
      </c>
      <c r="L328">
        <f t="shared" si="16"/>
        <v>60</v>
      </c>
      <c r="M328" s="4">
        <f t="shared" si="17"/>
        <v>7.4999999999999997E-2</v>
      </c>
      <c r="N328">
        <v>800</v>
      </c>
      <c r="O328">
        <v>800</v>
      </c>
      <c r="P328" t="s">
        <v>25</v>
      </c>
      <c r="Q328" t="s">
        <v>26</v>
      </c>
      <c r="R328" t="str">
        <f>IF(COUNTIF(Sheet2!B:B, A328) &gt; 0, "Yes", "No")</f>
        <v>No</v>
      </c>
    </row>
    <row r="329" spans="1:18" x14ac:dyDescent="0.25">
      <c r="A329" s="3">
        <v>45091</v>
      </c>
      <c r="B329" t="s">
        <v>234</v>
      </c>
      <c r="C329" t="s">
        <v>51</v>
      </c>
      <c r="D329" t="s">
        <v>20</v>
      </c>
      <c r="E329" t="s">
        <v>21</v>
      </c>
      <c r="F329" t="s">
        <v>27</v>
      </c>
      <c r="G329" t="s">
        <v>115</v>
      </c>
      <c r="H329" t="s">
        <v>115</v>
      </c>
      <c r="I329">
        <v>0.11</v>
      </c>
      <c r="J329">
        <f t="shared" si="15"/>
        <v>88</v>
      </c>
      <c r="K329">
        <v>0</v>
      </c>
      <c r="L329">
        <f t="shared" si="16"/>
        <v>88</v>
      </c>
      <c r="M329" s="4">
        <f t="shared" si="17"/>
        <v>0.11</v>
      </c>
      <c r="N329">
        <v>800</v>
      </c>
      <c r="O329">
        <v>800</v>
      </c>
      <c r="P329" t="s">
        <v>25</v>
      </c>
      <c r="Q329" t="s">
        <v>26</v>
      </c>
      <c r="R329" t="str">
        <f>IF(COUNTIF(Sheet2!B:B, A329) &gt; 0, "Yes", "No")</f>
        <v>No</v>
      </c>
    </row>
    <row r="330" spans="1:18" x14ac:dyDescent="0.25">
      <c r="A330" s="3">
        <v>45091</v>
      </c>
      <c r="B330" t="s">
        <v>234</v>
      </c>
      <c r="C330" t="s">
        <v>51</v>
      </c>
      <c r="D330" t="s">
        <v>20</v>
      </c>
      <c r="E330" t="s">
        <v>21</v>
      </c>
      <c r="F330" t="s">
        <v>30</v>
      </c>
      <c r="G330" t="s">
        <v>31</v>
      </c>
      <c r="H330" t="s">
        <v>31</v>
      </c>
      <c r="I330">
        <v>0.09</v>
      </c>
      <c r="J330">
        <f t="shared" si="15"/>
        <v>72</v>
      </c>
      <c r="K330">
        <v>0</v>
      </c>
      <c r="L330">
        <f t="shared" si="16"/>
        <v>72</v>
      </c>
      <c r="M330" s="4">
        <f t="shared" si="17"/>
        <v>0.09</v>
      </c>
      <c r="N330">
        <v>800</v>
      </c>
      <c r="O330">
        <v>800</v>
      </c>
      <c r="P330" t="s">
        <v>25</v>
      </c>
      <c r="Q330" t="s">
        <v>26</v>
      </c>
      <c r="R330" t="str">
        <f>IF(COUNTIF(Sheet2!B:B, A330) &gt; 0, "Yes", "No")</f>
        <v>No</v>
      </c>
    </row>
    <row r="331" spans="1:18" x14ac:dyDescent="0.25">
      <c r="A331" s="3">
        <v>45091</v>
      </c>
      <c r="B331" t="s">
        <v>234</v>
      </c>
      <c r="C331" t="s">
        <v>51</v>
      </c>
      <c r="D331" t="s">
        <v>33</v>
      </c>
      <c r="E331" t="s">
        <v>21</v>
      </c>
      <c r="F331" t="s">
        <v>34</v>
      </c>
      <c r="G331" t="s">
        <v>57</v>
      </c>
      <c r="H331" t="s">
        <v>192</v>
      </c>
      <c r="I331">
        <v>0.15</v>
      </c>
      <c r="J331">
        <f t="shared" si="15"/>
        <v>60</v>
      </c>
      <c r="K331">
        <v>0</v>
      </c>
      <c r="L331">
        <f t="shared" si="16"/>
        <v>60</v>
      </c>
      <c r="M331" s="4">
        <f t="shared" si="17"/>
        <v>0.15</v>
      </c>
      <c r="N331">
        <v>400</v>
      </c>
      <c r="O331">
        <v>400</v>
      </c>
      <c r="P331" t="s">
        <v>25</v>
      </c>
      <c r="Q331" t="s">
        <v>26</v>
      </c>
      <c r="R331" t="str">
        <f>IF(COUNTIF(Sheet2!B:B, A331) &gt; 0, "Yes", "No")</f>
        <v>No</v>
      </c>
    </row>
    <row r="332" spans="1:18" x14ac:dyDescent="0.25">
      <c r="A332" s="3">
        <v>45091</v>
      </c>
      <c r="B332" t="s">
        <v>234</v>
      </c>
      <c r="C332" t="s">
        <v>51</v>
      </c>
      <c r="D332" t="s">
        <v>20</v>
      </c>
      <c r="E332" t="s">
        <v>21</v>
      </c>
      <c r="F332" t="s">
        <v>37</v>
      </c>
      <c r="G332" t="s">
        <v>262</v>
      </c>
      <c r="H332" t="s">
        <v>263</v>
      </c>
      <c r="I332">
        <v>0.03</v>
      </c>
      <c r="J332">
        <f t="shared" si="15"/>
        <v>24</v>
      </c>
      <c r="K332">
        <v>2</v>
      </c>
      <c r="L332">
        <f t="shared" si="16"/>
        <v>22</v>
      </c>
      <c r="M332" s="4">
        <f t="shared" si="17"/>
        <v>2.75E-2</v>
      </c>
      <c r="N332">
        <v>800</v>
      </c>
      <c r="O332">
        <v>800</v>
      </c>
      <c r="P332" t="s">
        <v>25</v>
      </c>
      <c r="Q332" t="s">
        <v>26</v>
      </c>
      <c r="R332" t="str">
        <f>IF(COUNTIF(Sheet2!B:B, A332) &gt; 0, "Yes", "No")</f>
        <v>No</v>
      </c>
    </row>
    <row r="333" spans="1:18" x14ac:dyDescent="0.25">
      <c r="A333" s="3">
        <v>45091</v>
      </c>
      <c r="B333" t="s">
        <v>234</v>
      </c>
      <c r="C333" t="s">
        <v>51</v>
      </c>
      <c r="D333" t="s">
        <v>20</v>
      </c>
      <c r="E333" t="s">
        <v>21</v>
      </c>
      <c r="F333" t="s">
        <v>40</v>
      </c>
      <c r="G333" t="s">
        <v>157</v>
      </c>
      <c r="H333" t="s">
        <v>214</v>
      </c>
      <c r="I333">
        <v>4.4999999999999998E-2</v>
      </c>
      <c r="J333">
        <f t="shared" si="15"/>
        <v>36</v>
      </c>
      <c r="K333">
        <v>0</v>
      </c>
      <c r="L333">
        <f t="shared" si="16"/>
        <v>36</v>
      </c>
      <c r="M333" s="4">
        <f t="shared" si="17"/>
        <v>4.4999999999999998E-2</v>
      </c>
      <c r="N333">
        <v>800</v>
      </c>
      <c r="O333">
        <v>800</v>
      </c>
      <c r="P333" t="s">
        <v>25</v>
      </c>
      <c r="Q333" t="s">
        <v>26</v>
      </c>
      <c r="R333" t="str">
        <f>IF(COUNTIF(Sheet2!B:B, A333) &gt; 0, "Yes", "No")</f>
        <v>No</v>
      </c>
    </row>
    <row r="334" spans="1:18" x14ac:dyDescent="0.25">
      <c r="A334" s="3">
        <v>45091</v>
      </c>
      <c r="B334" t="s">
        <v>234</v>
      </c>
      <c r="C334" t="s">
        <v>51</v>
      </c>
      <c r="D334" t="s">
        <v>20</v>
      </c>
      <c r="E334" t="s">
        <v>21</v>
      </c>
      <c r="F334" t="s">
        <v>43</v>
      </c>
      <c r="G334" t="s">
        <v>44</v>
      </c>
      <c r="H334" t="s">
        <v>264</v>
      </c>
      <c r="I334">
        <v>0.11</v>
      </c>
      <c r="J334">
        <f t="shared" si="15"/>
        <v>88</v>
      </c>
      <c r="K334">
        <v>0</v>
      </c>
      <c r="L334">
        <f t="shared" si="16"/>
        <v>88</v>
      </c>
      <c r="M334" s="4">
        <f t="shared" si="17"/>
        <v>0.11</v>
      </c>
      <c r="N334">
        <v>800</v>
      </c>
      <c r="O334">
        <v>800</v>
      </c>
      <c r="P334" t="s">
        <v>25</v>
      </c>
      <c r="Q334" t="s">
        <v>26</v>
      </c>
      <c r="R334" t="str">
        <f>IF(COUNTIF(Sheet2!B:B, A334) &gt; 0, "Yes", "No")</f>
        <v>No</v>
      </c>
    </row>
    <row r="335" spans="1:18" x14ac:dyDescent="0.25">
      <c r="A335" s="3">
        <v>45091</v>
      </c>
      <c r="B335" t="s">
        <v>234</v>
      </c>
      <c r="C335" t="s">
        <v>51</v>
      </c>
      <c r="D335" t="s">
        <v>20</v>
      </c>
      <c r="E335" t="s">
        <v>21</v>
      </c>
      <c r="F335" t="s">
        <v>46</v>
      </c>
      <c r="G335" t="s">
        <v>130</v>
      </c>
      <c r="H335" t="s">
        <v>209</v>
      </c>
      <c r="I335">
        <v>0.09</v>
      </c>
      <c r="J335">
        <f t="shared" si="15"/>
        <v>72</v>
      </c>
      <c r="K335">
        <v>0</v>
      </c>
      <c r="L335">
        <f t="shared" si="16"/>
        <v>72</v>
      </c>
      <c r="M335" s="4">
        <f t="shared" si="17"/>
        <v>0.09</v>
      </c>
      <c r="N335">
        <v>800</v>
      </c>
      <c r="O335">
        <v>800</v>
      </c>
      <c r="P335" t="s">
        <v>25</v>
      </c>
      <c r="Q335" t="s">
        <v>26</v>
      </c>
      <c r="R335" t="str">
        <f>IF(COUNTIF(Sheet2!B:B, A335) &gt; 0, "Yes", "No")</f>
        <v>No</v>
      </c>
    </row>
    <row r="336" spans="1:18" x14ac:dyDescent="0.25">
      <c r="A336" s="3">
        <v>45091</v>
      </c>
      <c r="B336" t="s">
        <v>234</v>
      </c>
      <c r="C336" t="s">
        <v>51</v>
      </c>
      <c r="D336" t="s">
        <v>20</v>
      </c>
      <c r="E336" t="s">
        <v>21</v>
      </c>
      <c r="F336" t="s">
        <v>49</v>
      </c>
      <c r="G336" t="s">
        <v>50</v>
      </c>
      <c r="H336" t="s">
        <v>49</v>
      </c>
      <c r="I336">
        <v>0.09</v>
      </c>
      <c r="J336">
        <f t="shared" si="15"/>
        <v>72</v>
      </c>
      <c r="K336">
        <v>0</v>
      </c>
      <c r="L336">
        <f t="shared" si="16"/>
        <v>72</v>
      </c>
      <c r="M336" s="4">
        <f t="shared" si="17"/>
        <v>0.09</v>
      </c>
      <c r="N336">
        <v>800</v>
      </c>
      <c r="O336">
        <v>800</v>
      </c>
      <c r="P336" t="s">
        <v>25</v>
      </c>
      <c r="Q336" t="s">
        <v>26</v>
      </c>
      <c r="R336" t="str">
        <f>IF(COUNTIF(Sheet2!B:B, A336) &gt; 0, "Yes", "No")</f>
        <v>No</v>
      </c>
    </row>
    <row r="337" spans="1:18" x14ac:dyDescent="0.25">
      <c r="A337" s="3">
        <v>45092</v>
      </c>
      <c r="B337" t="s">
        <v>234</v>
      </c>
      <c r="C337" t="s">
        <v>66</v>
      </c>
      <c r="D337" t="s">
        <v>20</v>
      </c>
      <c r="E337" t="s">
        <v>67</v>
      </c>
      <c r="F337" t="s">
        <v>22</v>
      </c>
      <c r="G337" t="s">
        <v>122</v>
      </c>
      <c r="H337" t="s">
        <v>155</v>
      </c>
      <c r="I337">
        <v>8.5000000000000006E-2</v>
      </c>
      <c r="J337">
        <f t="shared" si="15"/>
        <v>63.750000000000007</v>
      </c>
      <c r="K337">
        <v>3</v>
      </c>
      <c r="L337">
        <f t="shared" si="16"/>
        <v>60.750000000000007</v>
      </c>
      <c r="M337" s="4">
        <f t="shared" si="17"/>
        <v>8.1000000000000003E-2</v>
      </c>
      <c r="N337">
        <v>750</v>
      </c>
      <c r="O337">
        <v>750</v>
      </c>
      <c r="P337" t="s">
        <v>25</v>
      </c>
      <c r="Q337" t="s">
        <v>26</v>
      </c>
      <c r="R337" t="str">
        <f>IF(COUNTIF(Sheet2!B:B, A337) &gt; 0, "Yes", "No")</f>
        <v>No</v>
      </c>
    </row>
    <row r="338" spans="1:18" x14ac:dyDescent="0.25">
      <c r="A338" s="3">
        <v>45092</v>
      </c>
      <c r="B338" t="s">
        <v>234</v>
      </c>
      <c r="C338" t="s">
        <v>66</v>
      </c>
      <c r="D338" t="s">
        <v>20</v>
      </c>
      <c r="E338" t="s">
        <v>67</v>
      </c>
      <c r="F338" t="s">
        <v>27</v>
      </c>
      <c r="G338" t="s">
        <v>81</v>
      </c>
      <c r="H338" t="s">
        <v>265</v>
      </c>
      <c r="I338">
        <v>0.1</v>
      </c>
      <c r="J338">
        <f t="shared" si="15"/>
        <v>75</v>
      </c>
      <c r="K338">
        <v>7</v>
      </c>
      <c r="L338">
        <f t="shared" si="16"/>
        <v>68</v>
      </c>
      <c r="M338" s="4">
        <f t="shared" si="17"/>
        <v>9.0666666666666673E-2</v>
      </c>
      <c r="N338">
        <v>750</v>
      </c>
      <c r="O338">
        <v>750</v>
      </c>
      <c r="P338" t="s">
        <v>25</v>
      </c>
      <c r="Q338" t="s">
        <v>26</v>
      </c>
      <c r="R338" t="str">
        <f>IF(COUNTIF(Sheet2!B:B, A338) &gt; 0, "Yes", "No")</f>
        <v>No</v>
      </c>
    </row>
    <row r="339" spans="1:18" x14ac:dyDescent="0.25">
      <c r="A339" s="3">
        <v>45092</v>
      </c>
      <c r="B339" t="s">
        <v>234</v>
      </c>
      <c r="C339" t="s">
        <v>66</v>
      </c>
      <c r="D339" t="s">
        <v>20</v>
      </c>
      <c r="E339" t="s">
        <v>67</v>
      </c>
      <c r="F339" t="s">
        <v>30</v>
      </c>
      <c r="G339" t="s">
        <v>31</v>
      </c>
      <c r="H339" t="s">
        <v>172</v>
      </c>
      <c r="I339">
        <v>0.09</v>
      </c>
      <c r="J339">
        <f t="shared" si="15"/>
        <v>67.5</v>
      </c>
      <c r="K339">
        <v>1</v>
      </c>
      <c r="L339">
        <f t="shared" si="16"/>
        <v>66.5</v>
      </c>
      <c r="M339" s="4">
        <f t="shared" si="17"/>
        <v>8.8666666666666671E-2</v>
      </c>
      <c r="N339">
        <v>750</v>
      </c>
      <c r="O339">
        <v>750</v>
      </c>
      <c r="P339" t="s">
        <v>25</v>
      </c>
      <c r="Q339" t="s">
        <v>26</v>
      </c>
      <c r="R339" t="str">
        <f>IF(COUNTIF(Sheet2!B:B, A339) &gt; 0, "Yes", "No")</f>
        <v>No</v>
      </c>
    </row>
    <row r="340" spans="1:18" x14ac:dyDescent="0.25">
      <c r="A340" s="3">
        <v>45092</v>
      </c>
      <c r="B340" t="s">
        <v>234</v>
      </c>
      <c r="C340" t="s">
        <v>66</v>
      </c>
      <c r="D340" t="s">
        <v>20</v>
      </c>
      <c r="E340" t="s">
        <v>67</v>
      </c>
      <c r="F340" t="s">
        <v>37</v>
      </c>
      <c r="G340" t="s">
        <v>108</v>
      </c>
      <c r="H340" t="s">
        <v>266</v>
      </c>
      <c r="I340">
        <v>3.5000000000000003E-2</v>
      </c>
      <c r="J340">
        <f t="shared" si="15"/>
        <v>26.250000000000004</v>
      </c>
      <c r="K340">
        <v>1</v>
      </c>
      <c r="L340">
        <f t="shared" si="16"/>
        <v>25.250000000000004</v>
      </c>
      <c r="M340" s="4">
        <f t="shared" si="17"/>
        <v>3.3666666666666671E-2</v>
      </c>
      <c r="N340">
        <v>750</v>
      </c>
      <c r="O340">
        <v>750</v>
      </c>
      <c r="P340" t="s">
        <v>25</v>
      </c>
      <c r="Q340" t="s">
        <v>26</v>
      </c>
      <c r="R340" t="str">
        <f>IF(COUNTIF(Sheet2!B:B, A340) &gt; 0, "Yes", "No")</f>
        <v>No</v>
      </c>
    </row>
    <row r="341" spans="1:18" x14ac:dyDescent="0.25">
      <c r="A341" s="3">
        <v>45092</v>
      </c>
      <c r="B341" t="s">
        <v>234</v>
      </c>
      <c r="C341" t="s">
        <v>66</v>
      </c>
      <c r="D341" t="s">
        <v>20</v>
      </c>
      <c r="E341" t="s">
        <v>67</v>
      </c>
      <c r="F341" t="s">
        <v>40</v>
      </c>
      <c r="G341" t="s">
        <v>127</v>
      </c>
      <c r="H341" t="s">
        <v>127</v>
      </c>
      <c r="I341">
        <v>0.05</v>
      </c>
      <c r="J341">
        <f t="shared" si="15"/>
        <v>37.5</v>
      </c>
      <c r="K341">
        <v>1</v>
      </c>
      <c r="L341">
        <f t="shared" si="16"/>
        <v>36.5</v>
      </c>
      <c r="M341" s="4">
        <f t="shared" si="17"/>
        <v>4.8666666666666664E-2</v>
      </c>
      <c r="N341">
        <v>750</v>
      </c>
      <c r="O341">
        <v>750</v>
      </c>
      <c r="P341" t="s">
        <v>25</v>
      </c>
      <c r="Q341" t="s">
        <v>26</v>
      </c>
      <c r="R341" t="str">
        <f>IF(COUNTIF(Sheet2!B:B, A341) &gt; 0, "Yes", "No")</f>
        <v>No</v>
      </c>
    </row>
    <row r="342" spans="1:18" x14ac:dyDescent="0.25">
      <c r="A342" s="3">
        <v>45092</v>
      </c>
      <c r="B342" t="s">
        <v>234</v>
      </c>
      <c r="C342" t="s">
        <v>66</v>
      </c>
      <c r="D342" t="s">
        <v>20</v>
      </c>
      <c r="E342" t="s">
        <v>67</v>
      </c>
      <c r="F342" t="s">
        <v>43</v>
      </c>
      <c r="G342" t="s">
        <v>111</v>
      </c>
      <c r="H342" t="s">
        <v>267</v>
      </c>
      <c r="I342">
        <v>0.11</v>
      </c>
      <c r="J342">
        <f t="shared" si="15"/>
        <v>82.5</v>
      </c>
      <c r="K342">
        <v>0</v>
      </c>
      <c r="L342">
        <f t="shared" si="16"/>
        <v>82.5</v>
      </c>
      <c r="M342" s="4">
        <f t="shared" si="17"/>
        <v>0.11</v>
      </c>
      <c r="N342">
        <v>750</v>
      </c>
      <c r="O342">
        <v>750</v>
      </c>
      <c r="P342" t="s">
        <v>25</v>
      </c>
      <c r="Q342" t="s">
        <v>26</v>
      </c>
      <c r="R342" t="str">
        <f>IF(COUNTIF(Sheet2!B:B, A342) &gt; 0, "Yes", "No")</f>
        <v>No</v>
      </c>
    </row>
    <row r="343" spans="1:18" x14ac:dyDescent="0.25">
      <c r="A343" s="3">
        <v>45092</v>
      </c>
      <c r="B343" t="s">
        <v>234</v>
      </c>
      <c r="C343" t="s">
        <v>66</v>
      </c>
      <c r="D343" t="s">
        <v>20</v>
      </c>
      <c r="E343" t="s">
        <v>67</v>
      </c>
      <c r="F343" t="s">
        <v>46</v>
      </c>
      <c r="G343" t="s">
        <v>47</v>
      </c>
      <c r="H343" t="s">
        <v>228</v>
      </c>
      <c r="I343">
        <v>8.5000000000000006E-2</v>
      </c>
      <c r="J343">
        <f t="shared" si="15"/>
        <v>63.750000000000007</v>
      </c>
      <c r="K343">
        <v>5</v>
      </c>
      <c r="L343">
        <f t="shared" si="16"/>
        <v>58.750000000000007</v>
      </c>
      <c r="M343" s="4">
        <f t="shared" si="17"/>
        <v>7.8333333333333338E-2</v>
      </c>
      <c r="N343">
        <v>750</v>
      </c>
      <c r="O343">
        <v>750</v>
      </c>
      <c r="P343" t="s">
        <v>25</v>
      </c>
      <c r="Q343" t="s">
        <v>26</v>
      </c>
      <c r="R343" t="str">
        <f>IF(COUNTIF(Sheet2!B:B, A343) &gt; 0, "Yes", "No")</f>
        <v>No</v>
      </c>
    </row>
    <row r="344" spans="1:18" x14ac:dyDescent="0.25">
      <c r="A344" s="3">
        <v>45092</v>
      </c>
      <c r="B344" t="s">
        <v>234</v>
      </c>
      <c r="C344" t="s">
        <v>66</v>
      </c>
      <c r="D344" t="s">
        <v>20</v>
      </c>
      <c r="E344" t="s">
        <v>67</v>
      </c>
      <c r="F344" t="s">
        <v>49</v>
      </c>
      <c r="G344" t="s">
        <v>50</v>
      </c>
      <c r="H344" t="s">
        <v>49</v>
      </c>
      <c r="I344">
        <v>0.09</v>
      </c>
      <c r="J344">
        <f t="shared" si="15"/>
        <v>67.5</v>
      </c>
      <c r="K344">
        <v>0</v>
      </c>
      <c r="L344">
        <f t="shared" si="16"/>
        <v>67.5</v>
      </c>
      <c r="M344" s="4">
        <f t="shared" si="17"/>
        <v>0.09</v>
      </c>
      <c r="N344">
        <v>750</v>
      </c>
      <c r="O344">
        <v>750</v>
      </c>
      <c r="P344" t="s">
        <v>25</v>
      </c>
      <c r="Q344" t="s">
        <v>26</v>
      </c>
      <c r="R344" t="str">
        <f>IF(COUNTIF(Sheet2!B:B, A344) &gt; 0, "Yes", "No")</f>
        <v>No</v>
      </c>
    </row>
    <row r="345" spans="1:18" x14ac:dyDescent="0.25">
      <c r="A345" s="3">
        <v>45093</v>
      </c>
      <c r="B345" t="s">
        <v>234</v>
      </c>
      <c r="C345" t="s">
        <v>79</v>
      </c>
      <c r="D345" t="s">
        <v>20</v>
      </c>
      <c r="E345" t="s">
        <v>21</v>
      </c>
      <c r="F345" t="s">
        <v>22</v>
      </c>
      <c r="G345" t="s">
        <v>94</v>
      </c>
      <c r="H345" t="s">
        <v>199</v>
      </c>
      <c r="I345" s="5">
        <v>0.06</v>
      </c>
      <c r="J345">
        <f t="shared" si="15"/>
        <v>42</v>
      </c>
      <c r="K345">
        <v>1</v>
      </c>
      <c r="L345">
        <f t="shared" si="16"/>
        <v>41</v>
      </c>
      <c r="M345" s="4">
        <f t="shared" si="17"/>
        <v>5.8571428571428573E-2</v>
      </c>
      <c r="N345">
        <v>700</v>
      </c>
      <c r="O345">
        <v>700</v>
      </c>
      <c r="P345" t="s">
        <v>25</v>
      </c>
      <c r="Q345" t="s">
        <v>26</v>
      </c>
      <c r="R345" t="str">
        <f>IF(COUNTIF(Sheet2!B:B, A345) &gt; 0, "Yes", "No")</f>
        <v>Yes</v>
      </c>
    </row>
    <row r="346" spans="1:18" x14ac:dyDescent="0.25">
      <c r="A346" s="3">
        <v>45093</v>
      </c>
      <c r="B346" t="s">
        <v>234</v>
      </c>
      <c r="C346" t="s">
        <v>79</v>
      </c>
      <c r="D346" t="s">
        <v>20</v>
      </c>
      <c r="E346" t="s">
        <v>21</v>
      </c>
      <c r="F346" t="s">
        <v>27</v>
      </c>
      <c r="G346" t="s">
        <v>144</v>
      </c>
      <c r="H346" t="s">
        <v>145</v>
      </c>
      <c r="I346" s="5">
        <v>0.1</v>
      </c>
      <c r="J346">
        <f t="shared" si="15"/>
        <v>70</v>
      </c>
      <c r="K346">
        <v>7</v>
      </c>
      <c r="L346">
        <f t="shared" si="16"/>
        <v>63</v>
      </c>
      <c r="M346" s="4">
        <f t="shared" si="17"/>
        <v>0.09</v>
      </c>
      <c r="N346">
        <v>700</v>
      </c>
      <c r="O346">
        <v>700</v>
      </c>
      <c r="P346" t="s">
        <v>25</v>
      </c>
      <c r="Q346" t="s">
        <v>26</v>
      </c>
      <c r="R346" t="str">
        <f>IF(COUNTIF(Sheet2!B:B, A346) &gt; 0, "Yes", "No")</f>
        <v>Yes</v>
      </c>
    </row>
    <row r="347" spans="1:18" x14ac:dyDescent="0.25">
      <c r="A347" s="3">
        <v>45093</v>
      </c>
      <c r="B347" t="s">
        <v>234</v>
      </c>
      <c r="C347" t="s">
        <v>79</v>
      </c>
      <c r="D347" t="s">
        <v>20</v>
      </c>
      <c r="E347" t="s">
        <v>21</v>
      </c>
      <c r="F347" t="s">
        <v>30</v>
      </c>
      <c r="G347" t="s">
        <v>31</v>
      </c>
      <c r="H347" t="s">
        <v>70</v>
      </c>
      <c r="I347" s="5">
        <v>0.06</v>
      </c>
      <c r="J347">
        <f t="shared" si="15"/>
        <v>42</v>
      </c>
      <c r="K347">
        <v>2</v>
      </c>
      <c r="L347">
        <f t="shared" si="16"/>
        <v>40</v>
      </c>
      <c r="M347" s="4">
        <f t="shared" si="17"/>
        <v>5.7142857142857141E-2</v>
      </c>
      <c r="N347">
        <v>700</v>
      </c>
      <c r="O347">
        <v>700</v>
      </c>
      <c r="P347" t="s">
        <v>25</v>
      </c>
      <c r="Q347" t="s">
        <v>26</v>
      </c>
      <c r="R347" t="str">
        <f>IF(COUNTIF(Sheet2!B:B, A347) &gt; 0, "Yes", "No")</f>
        <v>Yes</v>
      </c>
    </row>
    <row r="348" spans="1:18" x14ac:dyDescent="0.25">
      <c r="A348" s="3">
        <v>45093</v>
      </c>
      <c r="B348" t="s">
        <v>234</v>
      </c>
      <c r="C348" t="s">
        <v>79</v>
      </c>
      <c r="D348" t="s">
        <v>33</v>
      </c>
      <c r="E348" t="s">
        <v>21</v>
      </c>
      <c r="F348" t="s">
        <v>84</v>
      </c>
      <c r="G348" t="s">
        <v>177</v>
      </c>
      <c r="H348" t="s">
        <v>268</v>
      </c>
      <c r="I348" s="5">
        <v>0.3</v>
      </c>
      <c r="J348">
        <f t="shared" si="15"/>
        <v>105</v>
      </c>
      <c r="K348">
        <v>0</v>
      </c>
      <c r="L348">
        <f t="shared" si="16"/>
        <v>105</v>
      </c>
      <c r="M348" s="4">
        <f t="shared" si="17"/>
        <v>0.3</v>
      </c>
      <c r="N348">
        <v>350</v>
      </c>
      <c r="O348">
        <v>350</v>
      </c>
      <c r="P348" t="s">
        <v>25</v>
      </c>
      <c r="Q348" t="s">
        <v>26</v>
      </c>
      <c r="R348" t="str">
        <f>IF(COUNTIF(Sheet2!B:B, A348) &gt; 0, "Yes", "No")</f>
        <v>Yes</v>
      </c>
    </row>
    <row r="349" spans="1:18" x14ac:dyDescent="0.25">
      <c r="A349" s="3">
        <v>45093</v>
      </c>
      <c r="B349" t="s">
        <v>234</v>
      </c>
      <c r="C349" t="s">
        <v>79</v>
      </c>
      <c r="D349" t="s">
        <v>20</v>
      </c>
      <c r="E349" t="s">
        <v>21</v>
      </c>
      <c r="F349" t="s">
        <v>37</v>
      </c>
      <c r="G349" t="s">
        <v>108</v>
      </c>
      <c r="H349" t="s">
        <v>269</v>
      </c>
      <c r="I349" s="5">
        <v>2.5000000000000001E-2</v>
      </c>
      <c r="J349">
        <f t="shared" si="15"/>
        <v>17.5</v>
      </c>
      <c r="K349">
        <v>4</v>
      </c>
      <c r="L349">
        <f t="shared" si="16"/>
        <v>13.5</v>
      </c>
      <c r="M349" s="4">
        <f t="shared" si="17"/>
        <v>1.9285714285714285E-2</v>
      </c>
      <c r="N349">
        <v>700</v>
      </c>
      <c r="O349">
        <v>700</v>
      </c>
      <c r="P349" t="s">
        <v>25</v>
      </c>
      <c r="Q349" t="s">
        <v>26</v>
      </c>
      <c r="R349" t="str">
        <f>IF(COUNTIF(Sheet2!B:B, A349) &gt; 0, "Yes", "No")</f>
        <v>Yes</v>
      </c>
    </row>
    <row r="350" spans="1:18" x14ac:dyDescent="0.25">
      <c r="A350" s="3">
        <v>45093</v>
      </c>
      <c r="B350" t="s">
        <v>234</v>
      </c>
      <c r="C350" t="s">
        <v>79</v>
      </c>
      <c r="D350" t="s">
        <v>20</v>
      </c>
      <c r="E350" t="s">
        <v>21</v>
      </c>
      <c r="F350" t="s">
        <v>40</v>
      </c>
      <c r="G350" t="s">
        <v>61</v>
      </c>
      <c r="H350" t="s">
        <v>119</v>
      </c>
      <c r="I350" s="5">
        <v>0.04</v>
      </c>
      <c r="J350">
        <f t="shared" si="15"/>
        <v>28</v>
      </c>
      <c r="K350">
        <v>3</v>
      </c>
      <c r="L350">
        <f t="shared" si="16"/>
        <v>25</v>
      </c>
      <c r="M350" s="4">
        <f t="shared" si="17"/>
        <v>3.5714285714285712E-2</v>
      </c>
      <c r="N350">
        <v>700</v>
      </c>
      <c r="O350">
        <v>700</v>
      </c>
      <c r="P350" t="s">
        <v>25</v>
      </c>
      <c r="Q350" t="s">
        <v>26</v>
      </c>
      <c r="R350" t="str">
        <f>IF(COUNTIF(Sheet2!B:B, A350) &gt; 0, "Yes", "No")</f>
        <v>Yes</v>
      </c>
    </row>
    <row r="351" spans="1:18" x14ac:dyDescent="0.25">
      <c r="A351" s="3">
        <v>45093</v>
      </c>
      <c r="B351" t="s">
        <v>234</v>
      </c>
      <c r="C351" t="s">
        <v>79</v>
      </c>
      <c r="D351" t="s">
        <v>20</v>
      </c>
      <c r="E351" t="s">
        <v>21</v>
      </c>
      <c r="F351" t="s">
        <v>43</v>
      </c>
      <c r="G351" t="s">
        <v>128</v>
      </c>
      <c r="H351" t="s">
        <v>129</v>
      </c>
      <c r="I351" s="5">
        <v>7.4999999999999997E-2</v>
      </c>
      <c r="J351">
        <f t="shared" si="15"/>
        <v>52.5</v>
      </c>
      <c r="K351">
        <v>0</v>
      </c>
      <c r="L351">
        <f t="shared" si="16"/>
        <v>52.5</v>
      </c>
      <c r="M351" s="4">
        <f t="shared" si="17"/>
        <v>7.4999999999999997E-2</v>
      </c>
      <c r="N351">
        <v>700</v>
      </c>
      <c r="O351">
        <v>700</v>
      </c>
      <c r="P351" t="s">
        <v>25</v>
      </c>
      <c r="Q351" t="s">
        <v>26</v>
      </c>
      <c r="R351" t="str">
        <f>IF(COUNTIF(Sheet2!B:B, A351) &gt; 0, "Yes", "No")</f>
        <v>Yes</v>
      </c>
    </row>
    <row r="352" spans="1:18" x14ac:dyDescent="0.25">
      <c r="A352" s="3">
        <v>45093</v>
      </c>
      <c r="B352" t="s">
        <v>234</v>
      </c>
      <c r="C352" t="s">
        <v>79</v>
      </c>
      <c r="D352" t="s">
        <v>20</v>
      </c>
      <c r="E352" t="s">
        <v>21</v>
      </c>
      <c r="F352" t="s">
        <v>46</v>
      </c>
      <c r="G352" t="s">
        <v>92</v>
      </c>
      <c r="H352" t="s">
        <v>186</v>
      </c>
      <c r="I352" s="5">
        <v>0.06</v>
      </c>
      <c r="J352">
        <f t="shared" si="15"/>
        <v>42</v>
      </c>
      <c r="K352">
        <v>2</v>
      </c>
      <c r="L352">
        <f t="shared" si="16"/>
        <v>40</v>
      </c>
      <c r="M352" s="4">
        <f t="shared" si="17"/>
        <v>5.7142857142857141E-2</v>
      </c>
      <c r="N352">
        <v>700</v>
      </c>
      <c r="O352">
        <v>700</v>
      </c>
      <c r="P352" t="s">
        <v>25</v>
      </c>
      <c r="Q352" t="s">
        <v>26</v>
      </c>
      <c r="R352" t="str">
        <f>IF(COUNTIF(Sheet2!B:B, A352) &gt; 0, "Yes", "No")</f>
        <v>Yes</v>
      </c>
    </row>
    <row r="353" spans="1:18" x14ac:dyDescent="0.25">
      <c r="A353" s="3">
        <v>45093</v>
      </c>
      <c r="B353" t="s">
        <v>234</v>
      </c>
      <c r="C353" t="s">
        <v>79</v>
      </c>
      <c r="D353" t="s">
        <v>20</v>
      </c>
      <c r="E353" t="s">
        <v>21</v>
      </c>
      <c r="F353" t="s">
        <v>49</v>
      </c>
      <c r="G353" t="s">
        <v>50</v>
      </c>
      <c r="H353" t="s">
        <v>49</v>
      </c>
      <c r="I353" s="5">
        <v>0.04</v>
      </c>
      <c r="J353">
        <f t="shared" si="15"/>
        <v>28</v>
      </c>
      <c r="K353">
        <v>0</v>
      </c>
      <c r="L353">
        <f t="shared" si="16"/>
        <v>28</v>
      </c>
      <c r="M353" s="4">
        <f t="shared" si="17"/>
        <v>0.04</v>
      </c>
      <c r="N353">
        <v>700</v>
      </c>
      <c r="O353">
        <v>700</v>
      </c>
      <c r="P353" t="s">
        <v>25</v>
      </c>
      <c r="Q353" t="s">
        <v>26</v>
      </c>
      <c r="R353" t="str">
        <f>IF(COUNTIF(Sheet2!B:B, A353) &gt; 0, "Yes", "No")</f>
        <v>Yes</v>
      </c>
    </row>
    <row r="354" spans="1:18" x14ac:dyDescent="0.25">
      <c r="A354" s="3">
        <v>45096</v>
      </c>
      <c r="B354" t="s">
        <v>234</v>
      </c>
      <c r="C354" t="s">
        <v>19</v>
      </c>
      <c r="D354" t="s">
        <v>20</v>
      </c>
      <c r="E354" t="s">
        <v>21</v>
      </c>
      <c r="F354" t="s">
        <v>22</v>
      </c>
      <c r="G354" t="s">
        <v>52</v>
      </c>
      <c r="H354" t="s">
        <v>53</v>
      </c>
      <c r="I354">
        <v>8.5000000000000006E-2</v>
      </c>
      <c r="J354">
        <f t="shared" si="15"/>
        <v>59.500000000000007</v>
      </c>
      <c r="K354">
        <v>3</v>
      </c>
      <c r="L354">
        <f t="shared" si="16"/>
        <v>56.500000000000007</v>
      </c>
      <c r="M354" s="4">
        <f t="shared" si="17"/>
        <v>8.0714285714285725E-2</v>
      </c>
      <c r="N354">
        <v>700</v>
      </c>
      <c r="O354">
        <v>700</v>
      </c>
      <c r="P354" t="s">
        <v>25</v>
      </c>
      <c r="Q354" t="s">
        <v>26</v>
      </c>
      <c r="R354" t="str">
        <f>IF(COUNTIF(Sheet2!B:B, A354) &gt; 0, "Yes", "No")</f>
        <v>No</v>
      </c>
    </row>
    <row r="355" spans="1:18" x14ac:dyDescent="0.25">
      <c r="A355" s="3">
        <v>45096</v>
      </c>
      <c r="B355" t="s">
        <v>234</v>
      </c>
      <c r="C355" t="s">
        <v>19</v>
      </c>
      <c r="D355" t="s">
        <v>20</v>
      </c>
      <c r="E355" t="s">
        <v>21</v>
      </c>
      <c r="F355" t="s">
        <v>27</v>
      </c>
      <c r="G355" t="s">
        <v>28</v>
      </c>
      <c r="H355" t="s">
        <v>54</v>
      </c>
      <c r="I355">
        <v>0.11</v>
      </c>
      <c r="J355">
        <f t="shared" si="15"/>
        <v>77</v>
      </c>
      <c r="K355">
        <v>5</v>
      </c>
      <c r="L355">
        <f t="shared" si="16"/>
        <v>72</v>
      </c>
      <c r="M355" s="4">
        <f t="shared" si="17"/>
        <v>0.10285714285714286</v>
      </c>
      <c r="N355">
        <v>700</v>
      </c>
      <c r="O355">
        <v>700</v>
      </c>
      <c r="P355" t="s">
        <v>25</v>
      </c>
      <c r="Q355" t="s">
        <v>26</v>
      </c>
      <c r="R355" t="str">
        <f>IF(COUNTIF(Sheet2!B:B, A355) &gt; 0, "Yes", "No")</f>
        <v>No</v>
      </c>
    </row>
    <row r="356" spans="1:18" x14ac:dyDescent="0.25">
      <c r="A356" s="3">
        <v>45096</v>
      </c>
      <c r="B356" t="s">
        <v>234</v>
      </c>
      <c r="C356" t="s">
        <v>19</v>
      </c>
      <c r="D356" t="s">
        <v>20</v>
      </c>
      <c r="E356" t="s">
        <v>21</v>
      </c>
      <c r="F356" t="s">
        <v>30</v>
      </c>
      <c r="G356" t="s">
        <v>55</v>
      </c>
      <c r="H356" t="s">
        <v>270</v>
      </c>
      <c r="I356">
        <v>0.09</v>
      </c>
      <c r="J356">
        <f t="shared" si="15"/>
        <v>63</v>
      </c>
      <c r="K356">
        <v>0</v>
      </c>
      <c r="L356">
        <f t="shared" si="16"/>
        <v>63</v>
      </c>
      <c r="M356" s="4">
        <f t="shared" si="17"/>
        <v>0.09</v>
      </c>
      <c r="N356">
        <v>700</v>
      </c>
      <c r="O356">
        <v>700</v>
      </c>
      <c r="P356" t="s">
        <v>25</v>
      </c>
      <c r="Q356" t="s">
        <v>26</v>
      </c>
      <c r="R356" t="str">
        <f>IF(COUNTIF(Sheet2!B:B, A356) &gt; 0, "Yes", "No")</f>
        <v>No</v>
      </c>
    </row>
    <row r="357" spans="1:18" x14ac:dyDescent="0.25">
      <c r="A357" s="3">
        <v>45096</v>
      </c>
      <c r="B357" t="s">
        <v>234</v>
      </c>
      <c r="C357" t="s">
        <v>19</v>
      </c>
      <c r="D357" t="s">
        <v>33</v>
      </c>
      <c r="E357" t="s">
        <v>21</v>
      </c>
      <c r="F357" t="s">
        <v>34</v>
      </c>
      <c r="G357" t="s">
        <v>57</v>
      </c>
      <c r="H357" t="s">
        <v>271</v>
      </c>
      <c r="I357">
        <v>0.15</v>
      </c>
      <c r="J357">
        <f t="shared" si="15"/>
        <v>52.5</v>
      </c>
      <c r="K357">
        <v>0</v>
      </c>
      <c r="L357">
        <f t="shared" si="16"/>
        <v>52.5</v>
      </c>
      <c r="M357" s="4">
        <f t="shared" si="17"/>
        <v>0.15</v>
      </c>
      <c r="N357">
        <v>350</v>
      </c>
      <c r="O357">
        <v>350</v>
      </c>
      <c r="P357" t="s">
        <v>25</v>
      </c>
      <c r="Q357" t="s">
        <v>26</v>
      </c>
      <c r="R357" t="str">
        <f>IF(COUNTIF(Sheet2!B:B, A357) &gt; 0, "Yes", "No")</f>
        <v>No</v>
      </c>
    </row>
    <row r="358" spans="1:18" x14ac:dyDescent="0.25">
      <c r="A358" s="3">
        <v>45096</v>
      </c>
      <c r="B358" t="s">
        <v>234</v>
      </c>
      <c r="C358" t="s">
        <v>19</v>
      </c>
      <c r="D358" t="s">
        <v>20</v>
      </c>
      <c r="E358" t="s">
        <v>21</v>
      </c>
      <c r="F358" t="s">
        <v>37</v>
      </c>
      <c r="G358" t="s">
        <v>59</v>
      </c>
      <c r="H358" t="s">
        <v>60</v>
      </c>
      <c r="I358">
        <v>0.03</v>
      </c>
      <c r="J358">
        <f t="shared" si="15"/>
        <v>21</v>
      </c>
      <c r="K358">
        <v>2</v>
      </c>
      <c r="L358">
        <f t="shared" si="16"/>
        <v>19</v>
      </c>
      <c r="M358" s="4">
        <f t="shared" si="17"/>
        <v>2.7142857142857142E-2</v>
      </c>
      <c r="N358">
        <v>700</v>
      </c>
      <c r="O358">
        <v>700</v>
      </c>
      <c r="P358" t="s">
        <v>25</v>
      </c>
      <c r="Q358" t="s">
        <v>26</v>
      </c>
      <c r="R358" t="str">
        <f>IF(COUNTIF(Sheet2!B:B, A358) &gt; 0, "Yes", "No")</f>
        <v>No</v>
      </c>
    </row>
    <row r="359" spans="1:18" x14ac:dyDescent="0.25">
      <c r="A359" s="3">
        <v>45096</v>
      </c>
      <c r="B359" t="s">
        <v>234</v>
      </c>
      <c r="C359" t="s">
        <v>19</v>
      </c>
      <c r="D359" t="s">
        <v>20</v>
      </c>
      <c r="E359" t="s">
        <v>21</v>
      </c>
      <c r="F359" t="s">
        <v>40</v>
      </c>
      <c r="G359" t="s">
        <v>164</v>
      </c>
      <c r="H359" t="s">
        <v>202</v>
      </c>
      <c r="I359">
        <v>4.4999999999999998E-2</v>
      </c>
      <c r="J359">
        <f t="shared" si="15"/>
        <v>31.5</v>
      </c>
      <c r="K359">
        <v>3</v>
      </c>
      <c r="L359">
        <f t="shared" si="16"/>
        <v>28.5</v>
      </c>
      <c r="M359" s="4">
        <f t="shared" si="17"/>
        <v>4.0714285714285717E-2</v>
      </c>
      <c r="N359">
        <v>700</v>
      </c>
      <c r="O359">
        <v>700</v>
      </c>
      <c r="P359" t="s">
        <v>25</v>
      </c>
      <c r="Q359" t="s">
        <v>26</v>
      </c>
      <c r="R359" t="str">
        <f>IF(COUNTIF(Sheet2!B:B, A359) &gt; 0, "Yes", "No")</f>
        <v>No</v>
      </c>
    </row>
    <row r="360" spans="1:18" x14ac:dyDescent="0.25">
      <c r="A360" s="3">
        <v>45096</v>
      </c>
      <c r="B360" t="s">
        <v>234</v>
      </c>
      <c r="C360" t="s">
        <v>19</v>
      </c>
      <c r="D360" t="s">
        <v>20</v>
      </c>
      <c r="E360" t="s">
        <v>21</v>
      </c>
      <c r="F360" t="s">
        <v>43</v>
      </c>
      <c r="G360" t="s">
        <v>90</v>
      </c>
      <c r="H360" t="s">
        <v>272</v>
      </c>
      <c r="I360">
        <v>0.11</v>
      </c>
      <c r="J360">
        <f t="shared" si="15"/>
        <v>77</v>
      </c>
      <c r="K360">
        <v>4</v>
      </c>
      <c r="L360">
        <f t="shared" si="16"/>
        <v>73</v>
      </c>
      <c r="M360" s="4">
        <f t="shared" si="17"/>
        <v>0.10428571428571429</v>
      </c>
      <c r="N360">
        <v>700</v>
      </c>
      <c r="O360">
        <v>700</v>
      </c>
      <c r="P360" t="s">
        <v>25</v>
      </c>
      <c r="Q360" t="s">
        <v>26</v>
      </c>
      <c r="R360" t="str">
        <f>IF(COUNTIF(Sheet2!B:B, A360) &gt; 0, "Yes", "No")</f>
        <v>No</v>
      </c>
    </row>
    <row r="361" spans="1:18" x14ac:dyDescent="0.25">
      <c r="A361" s="3">
        <v>45096</v>
      </c>
      <c r="B361" t="s">
        <v>234</v>
      </c>
      <c r="C361" t="s">
        <v>19</v>
      </c>
      <c r="D361" t="s">
        <v>20</v>
      </c>
      <c r="E361" t="s">
        <v>21</v>
      </c>
      <c r="F361" t="s">
        <v>46</v>
      </c>
      <c r="G361" t="s">
        <v>111</v>
      </c>
      <c r="H361" t="s">
        <v>173</v>
      </c>
      <c r="I361">
        <v>8.5000000000000006E-2</v>
      </c>
      <c r="J361">
        <f t="shared" si="15"/>
        <v>59.500000000000007</v>
      </c>
      <c r="K361">
        <v>0</v>
      </c>
      <c r="L361">
        <f t="shared" si="16"/>
        <v>59.500000000000007</v>
      </c>
      <c r="M361" s="4">
        <f t="shared" si="17"/>
        <v>8.5000000000000006E-2</v>
      </c>
      <c r="N361">
        <v>700</v>
      </c>
      <c r="O361">
        <v>700</v>
      </c>
      <c r="P361" t="s">
        <v>25</v>
      </c>
      <c r="Q361" t="s">
        <v>26</v>
      </c>
      <c r="R361" t="str">
        <f>IF(COUNTIF(Sheet2!B:B, A361) &gt; 0, "Yes", "No")</f>
        <v>No</v>
      </c>
    </row>
    <row r="362" spans="1:18" x14ac:dyDescent="0.25">
      <c r="A362" s="3">
        <v>45096</v>
      </c>
      <c r="B362" t="s">
        <v>234</v>
      </c>
      <c r="C362" t="s">
        <v>19</v>
      </c>
      <c r="D362" t="s">
        <v>20</v>
      </c>
      <c r="E362" t="s">
        <v>21</v>
      </c>
      <c r="F362" t="s">
        <v>49</v>
      </c>
      <c r="G362" t="s">
        <v>50</v>
      </c>
      <c r="H362" t="s">
        <v>49</v>
      </c>
      <c r="I362">
        <v>0.09</v>
      </c>
      <c r="J362">
        <f t="shared" si="15"/>
        <v>63</v>
      </c>
      <c r="K362">
        <v>0</v>
      </c>
      <c r="L362">
        <f t="shared" si="16"/>
        <v>63</v>
      </c>
      <c r="M362" s="4">
        <f t="shared" si="17"/>
        <v>0.09</v>
      </c>
      <c r="N362">
        <v>700</v>
      </c>
      <c r="O362">
        <v>700</v>
      </c>
      <c r="P362" t="s">
        <v>25</v>
      </c>
      <c r="Q362" t="s">
        <v>26</v>
      </c>
      <c r="R362" t="str">
        <f>IF(COUNTIF(Sheet2!B:B, A362) &gt; 0, "Yes", "No")</f>
        <v>No</v>
      </c>
    </row>
    <row r="363" spans="1:18" x14ac:dyDescent="0.25">
      <c r="A363" s="3">
        <v>45097</v>
      </c>
      <c r="B363" t="s">
        <v>234</v>
      </c>
      <c r="C363" t="s">
        <v>105</v>
      </c>
      <c r="D363" t="s">
        <v>20</v>
      </c>
      <c r="E363" t="s">
        <v>67</v>
      </c>
      <c r="F363" t="s">
        <v>22</v>
      </c>
      <c r="G363" t="s">
        <v>23</v>
      </c>
      <c r="H363" t="s">
        <v>24</v>
      </c>
      <c r="I363">
        <v>8.5000000000000006E-2</v>
      </c>
      <c r="J363">
        <f t="shared" si="15"/>
        <v>59.500000000000007</v>
      </c>
      <c r="K363">
        <v>3</v>
      </c>
      <c r="L363">
        <f t="shared" si="16"/>
        <v>56.500000000000007</v>
      </c>
      <c r="M363" s="4">
        <f t="shared" si="17"/>
        <v>8.0714285714285725E-2</v>
      </c>
      <c r="N363">
        <v>700</v>
      </c>
      <c r="O363">
        <v>700</v>
      </c>
      <c r="P363" t="s">
        <v>25</v>
      </c>
      <c r="Q363" t="s">
        <v>26</v>
      </c>
      <c r="R363" t="str">
        <f>IF(COUNTIF(Sheet2!B:B, A363) &gt; 0, "Yes", "No")</f>
        <v>No</v>
      </c>
    </row>
    <row r="364" spans="1:18" x14ac:dyDescent="0.25">
      <c r="A364" s="3">
        <v>45097</v>
      </c>
      <c r="B364" t="s">
        <v>234</v>
      </c>
      <c r="C364" t="s">
        <v>105</v>
      </c>
      <c r="D364" t="s">
        <v>20</v>
      </c>
      <c r="E364" t="s">
        <v>67</v>
      </c>
      <c r="F364" t="s">
        <v>27</v>
      </c>
      <c r="G364" t="s">
        <v>28</v>
      </c>
      <c r="H364" t="s">
        <v>273</v>
      </c>
      <c r="I364">
        <v>0.11</v>
      </c>
      <c r="J364">
        <f t="shared" si="15"/>
        <v>77</v>
      </c>
      <c r="K364">
        <v>5</v>
      </c>
      <c r="L364">
        <f t="shared" si="16"/>
        <v>72</v>
      </c>
      <c r="M364" s="4">
        <f t="shared" si="17"/>
        <v>0.10285714285714286</v>
      </c>
      <c r="N364">
        <v>700</v>
      </c>
      <c r="O364">
        <v>700</v>
      </c>
      <c r="P364" t="s">
        <v>25</v>
      </c>
      <c r="Q364" t="s">
        <v>26</v>
      </c>
      <c r="R364" t="str">
        <f>IF(COUNTIF(Sheet2!B:B, A364) &gt; 0, "Yes", "No")</f>
        <v>No</v>
      </c>
    </row>
    <row r="365" spans="1:18" x14ac:dyDescent="0.25">
      <c r="A365" s="3">
        <v>45097</v>
      </c>
      <c r="B365" t="s">
        <v>234</v>
      </c>
      <c r="C365" t="s">
        <v>105</v>
      </c>
      <c r="D365" t="s">
        <v>20</v>
      </c>
      <c r="E365" t="s">
        <v>67</v>
      </c>
      <c r="F365" t="s">
        <v>30</v>
      </c>
      <c r="G365" t="s">
        <v>55</v>
      </c>
      <c r="H365" t="s">
        <v>125</v>
      </c>
      <c r="I365">
        <v>0.09</v>
      </c>
      <c r="J365">
        <f t="shared" si="15"/>
        <v>63</v>
      </c>
      <c r="K365">
        <v>0</v>
      </c>
      <c r="L365">
        <f t="shared" si="16"/>
        <v>63</v>
      </c>
      <c r="M365" s="4">
        <f t="shared" si="17"/>
        <v>0.09</v>
      </c>
      <c r="N365">
        <v>700</v>
      </c>
      <c r="O365">
        <v>700</v>
      </c>
      <c r="P365" t="s">
        <v>25</v>
      </c>
      <c r="Q365" t="s">
        <v>26</v>
      </c>
      <c r="R365" t="str">
        <f>IF(COUNTIF(Sheet2!B:B, A365) &gt; 0, "Yes", "No")</f>
        <v>No</v>
      </c>
    </row>
    <row r="366" spans="1:18" x14ac:dyDescent="0.25">
      <c r="A366" s="3">
        <v>45097</v>
      </c>
      <c r="B366" t="s">
        <v>234</v>
      </c>
      <c r="C366" t="s">
        <v>105</v>
      </c>
      <c r="D366" t="s">
        <v>20</v>
      </c>
      <c r="E366" t="s">
        <v>67</v>
      </c>
      <c r="F366" t="s">
        <v>37</v>
      </c>
      <c r="G366" t="s">
        <v>117</v>
      </c>
      <c r="H366" t="s">
        <v>118</v>
      </c>
      <c r="I366">
        <v>3.5000000000000003E-2</v>
      </c>
      <c r="J366">
        <f t="shared" si="15"/>
        <v>24.500000000000004</v>
      </c>
      <c r="K366">
        <v>2</v>
      </c>
      <c r="L366">
        <f t="shared" si="16"/>
        <v>22.500000000000004</v>
      </c>
      <c r="M366" s="4">
        <f t="shared" si="17"/>
        <v>3.2142857142857147E-2</v>
      </c>
      <c r="N366">
        <v>700</v>
      </c>
      <c r="O366">
        <v>700</v>
      </c>
      <c r="P366" t="s">
        <v>25</v>
      </c>
      <c r="Q366" t="s">
        <v>26</v>
      </c>
      <c r="R366" t="str">
        <f>IF(COUNTIF(Sheet2!B:B, A366) &gt; 0, "Yes", "No")</f>
        <v>No</v>
      </c>
    </row>
    <row r="367" spans="1:18" x14ac:dyDescent="0.25">
      <c r="A367" s="3">
        <v>45097</v>
      </c>
      <c r="B367" t="s">
        <v>234</v>
      </c>
      <c r="C367" t="s">
        <v>105</v>
      </c>
      <c r="D367" t="s">
        <v>20</v>
      </c>
      <c r="E367" t="s">
        <v>67</v>
      </c>
      <c r="F367" t="s">
        <v>40</v>
      </c>
      <c r="G367" t="s">
        <v>73</v>
      </c>
      <c r="H367" t="s">
        <v>74</v>
      </c>
      <c r="I367">
        <v>0.05</v>
      </c>
      <c r="J367">
        <f t="shared" si="15"/>
        <v>35</v>
      </c>
      <c r="K367">
        <v>3</v>
      </c>
      <c r="L367">
        <f t="shared" si="16"/>
        <v>32</v>
      </c>
      <c r="M367" s="4">
        <f t="shared" si="17"/>
        <v>4.5714285714285714E-2</v>
      </c>
      <c r="N367">
        <v>700</v>
      </c>
      <c r="O367">
        <v>700</v>
      </c>
      <c r="P367" t="s">
        <v>25</v>
      </c>
      <c r="Q367" t="s">
        <v>26</v>
      </c>
      <c r="R367" t="str">
        <f>IF(COUNTIF(Sheet2!B:B, A367) &gt; 0, "Yes", "No")</f>
        <v>No</v>
      </c>
    </row>
    <row r="368" spans="1:18" x14ac:dyDescent="0.25">
      <c r="A368" s="3">
        <v>45097</v>
      </c>
      <c r="B368" t="s">
        <v>234</v>
      </c>
      <c r="C368" t="s">
        <v>105</v>
      </c>
      <c r="D368" t="s">
        <v>20</v>
      </c>
      <c r="E368" t="s">
        <v>67</v>
      </c>
      <c r="F368" t="s">
        <v>43</v>
      </c>
      <c r="G368" t="s">
        <v>44</v>
      </c>
      <c r="H368" t="s">
        <v>274</v>
      </c>
      <c r="I368">
        <v>0.11</v>
      </c>
      <c r="J368">
        <f t="shared" si="15"/>
        <v>77</v>
      </c>
      <c r="K368">
        <v>0</v>
      </c>
      <c r="L368">
        <f t="shared" si="16"/>
        <v>77</v>
      </c>
      <c r="M368" s="4">
        <f t="shared" si="17"/>
        <v>0.11</v>
      </c>
      <c r="N368">
        <v>700</v>
      </c>
      <c r="O368">
        <v>700</v>
      </c>
      <c r="P368" t="s">
        <v>25</v>
      </c>
      <c r="Q368" t="s">
        <v>26</v>
      </c>
      <c r="R368" t="str">
        <f>IF(COUNTIF(Sheet2!B:B, A368) &gt; 0, "Yes", "No")</f>
        <v>No</v>
      </c>
    </row>
    <row r="369" spans="1:18" x14ac:dyDescent="0.25">
      <c r="A369" s="3">
        <v>45097</v>
      </c>
      <c r="B369" t="s">
        <v>234</v>
      </c>
      <c r="C369" t="s">
        <v>105</v>
      </c>
      <c r="D369" t="s">
        <v>20</v>
      </c>
      <c r="E369" t="s">
        <v>67</v>
      </c>
      <c r="F369" t="s">
        <v>46</v>
      </c>
      <c r="G369" t="s">
        <v>92</v>
      </c>
      <c r="H369" t="s">
        <v>275</v>
      </c>
      <c r="I369">
        <v>8.5000000000000006E-2</v>
      </c>
      <c r="J369">
        <f t="shared" si="15"/>
        <v>59.500000000000007</v>
      </c>
      <c r="K369">
        <v>4</v>
      </c>
      <c r="L369">
        <f t="shared" si="16"/>
        <v>55.500000000000007</v>
      </c>
      <c r="M369" s="4">
        <f t="shared" si="17"/>
        <v>7.9285714285714293E-2</v>
      </c>
      <c r="N369">
        <v>700</v>
      </c>
      <c r="O369">
        <v>700</v>
      </c>
      <c r="P369" t="s">
        <v>25</v>
      </c>
      <c r="Q369" t="s">
        <v>26</v>
      </c>
      <c r="R369" t="str">
        <f>IF(COUNTIF(Sheet2!B:B, A369) &gt; 0, "Yes", "No")</f>
        <v>No</v>
      </c>
    </row>
    <row r="370" spans="1:18" x14ac:dyDescent="0.25">
      <c r="A370" s="3">
        <v>45097</v>
      </c>
      <c r="B370" t="s">
        <v>234</v>
      </c>
      <c r="C370" t="s">
        <v>105</v>
      </c>
      <c r="D370" t="s">
        <v>20</v>
      </c>
      <c r="E370" t="s">
        <v>67</v>
      </c>
      <c r="F370" t="s">
        <v>49</v>
      </c>
      <c r="G370" t="s">
        <v>50</v>
      </c>
      <c r="H370" t="s">
        <v>49</v>
      </c>
      <c r="I370">
        <v>0.09</v>
      </c>
      <c r="J370">
        <f t="shared" si="15"/>
        <v>63</v>
      </c>
      <c r="K370">
        <v>0</v>
      </c>
      <c r="L370">
        <f t="shared" si="16"/>
        <v>63</v>
      </c>
      <c r="M370" s="4">
        <f t="shared" si="17"/>
        <v>0.09</v>
      </c>
      <c r="N370">
        <v>700</v>
      </c>
      <c r="O370">
        <v>700</v>
      </c>
      <c r="P370" t="s">
        <v>25</v>
      </c>
      <c r="Q370" t="s">
        <v>26</v>
      </c>
      <c r="R370" t="str">
        <f>IF(COUNTIF(Sheet2!B:B, A370) &gt; 0, "Yes", "No")</f>
        <v>No</v>
      </c>
    </row>
    <row r="371" spans="1:18" x14ac:dyDescent="0.25">
      <c r="A371" s="3">
        <v>45098</v>
      </c>
      <c r="B371" t="s">
        <v>234</v>
      </c>
      <c r="C371" t="s">
        <v>51</v>
      </c>
      <c r="D371" t="s">
        <v>20</v>
      </c>
      <c r="E371" t="s">
        <v>21</v>
      </c>
      <c r="F371" t="s">
        <v>22</v>
      </c>
      <c r="G371" t="s">
        <v>23</v>
      </c>
      <c r="H371" t="s">
        <v>24</v>
      </c>
      <c r="I371">
        <v>8.5000000000000006E-2</v>
      </c>
      <c r="J371">
        <f t="shared" si="15"/>
        <v>68</v>
      </c>
      <c r="K371">
        <v>3</v>
      </c>
      <c r="L371">
        <f t="shared" si="16"/>
        <v>65</v>
      </c>
      <c r="M371" s="4">
        <f t="shared" si="17"/>
        <v>8.1250000000000003E-2</v>
      </c>
      <c r="N371">
        <v>800</v>
      </c>
      <c r="O371">
        <v>800</v>
      </c>
      <c r="P371" t="s">
        <v>25</v>
      </c>
      <c r="Q371" t="s">
        <v>26</v>
      </c>
      <c r="R371" t="str">
        <f>IF(COUNTIF(Sheet2!B:B, A371) &gt; 0, "Yes", "No")</f>
        <v>No</v>
      </c>
    </row>
    <row r="372" spans="1:18" x14ac:dyDescent="0.25">
      <c r="A372" s="3">
        <v>45098</v>
      </c>
      <c r="B372" t="s">
        <v>234</v>
      </c>
      <c r="C372" t="s">
        <v>51</v>
      </c>
      <c r="D372" t="s">
        <v>20</v>
      </c>
      <c r="E372" t="s">
        <v>21</v>
      </c>
      <c r="F372" t="s">
        <v>27</v>
      </c>
      <c r="G372" t="s">
        <v>28</v>
      </c>
      <c r="H372" t="s">
        <v>276</v>
      </c>
      <c r="I372">
        <v>0.11</v>
      </c>
      <c r="J372">
        <f t="shared" si="15"/>
        <v>88</v>
      </c>
      <c r="K372">
        <v>0</v>
      </c>
      <c r="L372">
        <f t="shared" si="16"/>
        <v>88</v>
      </c>
      <c r="M372" s="4">
        <f t="shared" si="17"/>
        <v>0.11</v>
      </c>
      <c r="N372">
        <v>800</v>
      </c>
      <c r="O372">
        <v>800</v>
      </c>
      <c r="P372" t="s">
        <v>25</v>
      </c>
      <c r="Q372" t="s">
        <v>26</v>
      </c>
      <c r="R372" t="str">
        <f>IF(COUNTIF(Sheet2!B:B, A372) &gt; 0, "Yes", "No")</f>
        <v>No</v>
      </c>
    </row>
    <row r="373" spans="1:18" x14ac:dyDescent="0.25">
      <c r="A373" s="3">
        <v>45098</v>
      </c>
      <c r="B373" t="s">
        <v>234</v>
      </c>
      <c r="C373" t="s">
        <v>51</v>
      </c>
      <c r="D373" t="s">
        <v>20</v>
      </c>
      <c r="E373" t="s">
        <v>21</v>
      </c>
      <c r="F373" t="s">
        <v>30</v>
      </c>
      <c r="G373" t="s">
        <v>31</v>
      </c>
      <c r="H373" t="s">
        <v>31</v>
      </c>
      <c r="I373">
        <v>0.09</v>
      </c>
      <c r="J373">
        <f t="shared" si="15"/>
        <v>72</v>
      </c>
      <c r="K373">
        <v>0</v>
      </c>
      <c r="L373">
        <f t="shared" si="16"/>
        <v>72</v>
      </c>
      <c r="M373" s="4">
        <f t="shared" si="17"/>
        <v>0.09</v>
      </c>
      <c r="N373">
        <v>800</v>
      </c>
      <c r="O373">
        <v>800</v>
      </c>
      <c r="P373" t="s">
        <v>25</v>
      </c>
      <c r="Q373" t="s">
        <v>26</v>
      </c>
      <c r="R373" t="str">
        <f>IF(COUNTIF(Sheet2!B:B, A373) &gt; 0, "Yes", "No")</f>
        <v>No</v>
      </c>
    </row>
    <row r="374" spans="1:18" x14ac:dyDescent="0.25">
      <c r="A374" s="3">
        <v>45098</v>
      </c>
      <c r="B374" t="s">
        <v>234</v>
      </c>
      <c r="C374" t="s">
        <v>51</v>
      </c>
      <c r="D374" t="s">
        <v>33</v>
      </c>
      <c r="E374" t="s">
        <v>21</v>
      </c>
      <c r="F374" t="s">
        <v>34</v>
      </c>
      <c r="G374" t="s">
        <v>57</v>
      </c>
      <c r="H374" t="s">
        <v>277</v>
      </c>
      <c r="I374">
        <v>0.15</v>
      </c>
      <c r="J374">
        <f t="shared" si="15"/>
        <v>60</v>
      </c>
      <c r="K374">
        <v>0</v>
      </c>
      <c r="L374">
        <f t="shared" si="16"/>
        <v>60</v>
      </c>
      <c r="M374" s="4">
        <f t="shared" si="17"/>
        <v>0.15</v>
      </c>
      <c r="N374">
        <v>400</v>
      </c>
      <c r="O374">
        <v>400</v>
      </c>
      <c r="P374" t="s">
        <v>25</v>
      </c>
      <c r="Q374" t="s">
        <v>26</v>
      </c>
      <c r="R374" t="str">
        <f>IF(COUNTIF(Sheet2!B:B, A374) &gt; 0, "Yes", "No")</f>
        <v>No</v>
      </c>
    </row>
    <row r="375" spans="1:18" x14ac:dyDescent="0.25">
      <c r="A375" s="3">
        <v>45098</v>
      </c>
      <c r="B375" t="s">
        <v>234</v>
      </c>
      <c r="C375" t="s">
        <v>51</v>
      </c>
      <c r="D375" t="s">
        <v>20</v>
      </c>
      <c r="E375" t="s">
        <v>21</v>
      </c>
      <c r="F375" t="s">
        <v>37</v>
      </c>
      <c r="G375" t="s">
        <v>71</v>
      </c>
      <c r="H375" t="s">
        <v>151</v>
      </c>
      <c r="I375">
        <v>0.03</v>
      </c>
      <c r="J375">
        <f t="shared" si="15"/>
        <v>24</v>
      </c>
      <c r="K375">
        <v>3</v>
      </c>
      <c r="L375">
        <f t="shared" si="16"/>
        <v>21</v>
      </c>
      <c r="M375" s="4">
        <f t="shared" si="17"/>
        <v>2.6249999999999999E-2</v>
      </c>
      <c r="N375">
        <v>800</v>
      </c>
      <c r="O375">
        <v>800</v>
      </c>
      <c r="P375" t="s">
        <v>25</v>
      </c>
      <c r="Q375" t="s">
        <v>26</v>
      </c>
      <c r="R375" t="str">
        <f>IF(COUNTIF(Sheet2!B:B, A375) &gt; 0, "Yes", "No")</f>
        <v>No</v>
      </c>
    </row>
    <row r="376" spans="1:18" x14ac:dyDescent="0.25">
      <c r="A376" s="3">
        <v>45098</v>
      </c>
      <c r="B376" t="s">
        <v>234</v>
      </c>
      <c r="C376" t="s">
        <v>51</v>
      </c>
      <c r="D376" t="s">
        <v>20</v>
      </c>
      <c r="E376" t="s">
        <v>21</v>
      </c>
      <c r="F376" t="s">
        <v>40</v>
      </c>
      <c r="G376" t="s">
        <v>137</v>
      </c>
      <c r="H376" t="s">
        <v>138</v>
      </c>
      <c r="I376">
        <v>4.4999999999999998E-2</v>
      </c>
      <c r="J376">
        <f t="shared" si="15"/>
        <v>36</v>
      </c>
      <c r="K376">
        <v>3</v>
      </c>
      <c r="L376">
        <f t="shared" si="16"/>
        <v>33</v>
      </c>
      <c r="M376" s="4">
        <f t="shared" si="17"/>
        <v>4.1250000000000002E-2</v>
      </c>
      <c r="N376">
        <v>800</v>
      </c>
      <c r="O376">
        <v>800</v>
      </c>
      <c r="P376" t="s">
        <v>25</v>
      </c>
      <c r="Q376" t="s">
        <v>26</v>
      </c>
      <c r="R376" t="str">
        <f>IF(COUNTIF(Sheet2!B:B, A376) &gt; 0, "Yes", "No")</f>
        <v>No</v>
      </c>
    </row>
    <row r="377" spans="1:18" x14ac:dyDescent="0.25">
      <c r="A377" s="3">
        <v>45098</v>
      </c>
      <c r="B377" t="s">
        <v>234</v>
      </c>
      <c r="C377" t="s">
        <v>51</v>
      </c>
      <c r="D377" t="s">
        <v>20</v>
      </c>
      <c r="E377" t="s">
        <v>21</v>
      </c>
      <c r="F377" t="s">
        <v>43</v>
      </c>
      <c r="G377" t="s">
        <v>75</v>
      </c>
      <c r="H377" t="s">
        <v>120</v>
      </c>
      <c r="I377">
        <v>0.11</v>
      </c>
      <c r="J377">
        <f t="shared" si="15"/>
        <v>88</v>
      </c>
      <c r="K377">
        <v>2</v>
      </c>
      <c r="L377">
        <f t="shared" si="16"/>
        <v>86</v>
      </c>
      <c r="M377" s="4">
        <f t="shared" si="17"/>
        <v>0.1075</v>
      </c>
      <c r="N377">
        <v>800</v>
      </c>
      <c r="O377">
        <v>800</v>
      </c>
      <c r="P377" t="s">
        <v>25</v>
      </c>
      <c r="Q377" t="s">
        <v>26</v>
      </c>
      <c r="R377" t="str">
        <f>IF(COUNTIF(Sheet2!B:B, A377) &gt; 0, "Yes", "No")</f>
        <v>No</v>
      </c>
    </row>
    <row r="378" spans="1:18" x14ac:dyDescent="0.25">
      <c r="A378" s="3">
        <v>45098</v>
      </c>
      <c r="B378" t="s">
        <v>234</v>
      </c>
      <c r="C378" t="s">
        <v>51</v>
      </c>
      <c r="D378" t="s">
        <v>20</v>
      </c>
      <c r="E378" t="s">
        <v>21</v>
      </c>
      <c r="F378" t="s">
        <v>46</v>
      </c>
      <c r="G378" t="s">
        <v>47</v>
      </c>
      <c r="H378" t="s">
        <v>278</v>
      </c>
      <c r="I378">
        <v>8.5000000000000006E-2</v>
      </c>
      <c r="J378">
        <f t="shared" si="15"/>
        <v>68</v>
      </c>
      <c r="K378">
        <v>8</v>
      </c>
      <c r="L378">
        <f t="shared" si="16"/>
        <v>60</v>
      </c>
      <c r="M378" s="4">
        <f t="shared" si="17"/>
        <v>7.4999999999999997E-2</v>
      </c>
      <c r="N378">
        <v>800</v>
      </c>
      <c r="O378">
        <v>800</v>
      </c>
      <c r="P378" t="s">
        <v>25</v>
      </c>
      <c r="Q378" t="s">
        <v>26</v>
      </c>
      <c r="R378" t="str">
        <f>IF(COUNTIF(Sheet2!B:B, A378) &gt; 0, "Yes", "No")</f>
        <v>No</v>
      </c>
    </row>
    <row r="379" spans="1:18" x14ac:dyDescent="0.25">
      <c r="A379" s="3">
        <v>45098</v>
      </c>
      <c r="B379" t="s">
        <v>234</v>
      </c>
      <c r="C379" t="s">
        <v>51</v>
      </c>
      <c r="D379" t="s">
        <v>20</v>
      </c>
      <c r="E379" t="s">
        <v>21</v>
      </c>
      <c r="F379" t="s">
        <v>49</v>
      </c>
      <c r="G379" t="s">
        <v>50</v>
      </c>
      <c r="H379" t="s">
        <v>49</v>
      </c>
      <c r="I379">
        <v>0.09</v>
      </c>
      <c r="J379">
        <f t="shared" si="15"/>
        <v>72</v>
      </c>
      <c r="K379">
        <v>0</v>
      </c>
      <c r="L379">
        <f t="shared" si="16"/>
        <v>72</v>
      </c>
      <c r="M379" s="4">
        <f t="shared" si="17"/>
        <v>0.09</v>
      </c>
      <c r="N379">
        <v>800</v>
      </c>
      <c r="O379">
        <v>800</v>
      </c>
      <c r="P379" t="s">
        <v>25</v>
      </c>
      <c r="Q379" t="s">
        <v>26</v>
      </c>
      <c r="R379" t="str">
        <f>IF(COUNTIF(Sheet2!B:B, A379) &gt; 0, "Yes", "No")</f>
        <v>No</v>
      </c>
    </row>
    <row r="380" spans="1:18" x14ac:dyDescent="0.25">
      <c r="A380" s="3">
        <v>45099</v>
      </c>
      <c r="B380" t="s">
        <v>234</v>
      </c>
      <c r="C380" t="s">
        <v>66</v>
      </c>
      <c r="D380" t="s">
        <v>20</v>
      </c>
      <c r="E380" t="s">
        <v>67</v>
      </c>
      <c r="F380" t="s">
        <v>22</v>
      </c>
      <c r="G380" t="s">
        <v>94</v>
      </c>
      <c r="H380" t="s">
        <v>168</v>
      </c>
      <c r="I380">
        <v>8.5000000000000006E-2</v>
      </c>
      <c r="J380">
        <f t="shared" si="15"/>
        <v>59.500000000000007</v>
      </c>
      <c r="K380">
        <v>4</v>
      </c>
      <c r="L380">
        <f t="shared" si="16"/>
        <v>55.500000000000007</v>
      </c>
      <c r="M380" s="4">
        <f t="shared" si="17"/>
        <v>7.9285714285714293E-2</v>
      </c>
      <c r="N380">
        <v>700</v>
      </c>
      <c r="O380">
        <v>700</v>
      </c>
      <c r="P380" t="s">
        <v>25</v>
      </c>
      <c r="Q380" t="s">
        <v>26</v>
      </c>
      <c r="R380" t="str">
        <f>IF(COUNTIF(Sheet2!B:B, A380) &gt; 0, "Yes", "No")</f>
        <v>No</v>
      </c>
    </row>
    <row r="381" spans="1:18" x14ac:dyDescent="0.25">
      <c r="A381" s="3">
        <v>45099</v>
      </c>
      <c r="B381" t="s">
        <v>234</v>
      </c>
      <c r="C381" t="s">
        <v>66</v>
      </c>
      <c r="D381" t="s">
        <v>20</v>
      </c>
      <c r="E381" t="s">
        <v>67</v>
      </c>
      <c r="F381" t="s">
        <v>27</v>
      </c>
      <c r="G381" t="s">
        <v>28</v>
      </c>
      <c r="H381" t="s">
        <v>279</v>
      </c>
      <c r="I381">
        <v>0.11</v>
      </c>
      <c r="J381">
        <f t="shared" si="15"/>
        <v>77</v>
      </c>
      <c r="K381">
        <v>7</v>
      </c>
      <c r="L381">
        <f t="shared" si="16"/>
        <v>70</v>
      </c>
      <c r="M381" s="4">
        <f t="shared" si="17"/>
        <v>0.1</v>
      </c>
      <c r="N381">
        <v>700</v>
      </c>
      <c r="O381">
        <v>700</v>
      </c>
      <c r="P381" t="s">
        <v>25</v>
      </c>
      <c r="Q381" t="s">
        <v>26</v>
      </c>
      <c r="R381" t="str">
        <f>IF(COUNTIF(Sheet2!B:B, A381) &gt; 0, "Yes", "No")</f>
        <v>No</v>
      </c>
    </row>
    <row r="382" spans="1:18" x14ac:dyDescent="0.25">
      <c r="A382" s="3">
        <v>45099</v>
      </c>
      <c r="B382" t="s">
        <v>234</v>
      </c>
      <c r="C382" t="s">
        <v>66</v>
      </c>
      <c r="D382" t="s">
        <v>20</v>
      </c>
      <c r="E382" t="s">
        <v>67</v>
      </c>
      <c r="F382" t="s">
        <v>30</v>
      </c>
      <c r="G382" t="s">
        <v>55</v>
      </c>
      <c r="H382" t="s">
        <v>134</v>
      </c>
      <c r="I382">
        <v>0.09</v>
      </c>
      <c r="J382">
        <f t="shared" si="15"/>
        <v>63</v>
      </c>
      <c r="K382">
        <v>1</v>
      </c>
      <c r="L382">
        <f t="shared" si="16"/>
        <v>62</v>
      </c>
      <c r="M382" s="4">
        <f t="shared" si="17"/>
        <v>8.8571428571428565E-2</v>
      </c>
      <c r="N382">
        <v>700</v>
      </c>
      <c r="O382">
        <v>700</v>
      </c>
      <c r="P382" t="s">
        <v>25</v>
      </c>
      <c r="Q382" t="s">
        <v>26</v>
      </c>
      <c r="R382" t="str">
        <f>IF(COUNTIF(Sheet2!B:B, A382) &gt; 0, "Yes", "No")</f>
        <v>No</v>
      </c>
    </row>
    <row r="383" spans="1:18" x14ac:dyDescent="0.25">
      <c r="A383" s="3">
        <v>45099</v>
      </c>
      <c r="B383" t="s">
        <v>234</v>
      </c>
      <c r="C383" t="s">
        <v>66</v>
      </c>
      <c r="D383" t="s">
        <v>20</v>
      </c>
      <c r="E383" t="s">
        <v>67</v>
      </c>
      <c r="F383" t="s">
        <v>37</v>
      </c>
      <c r="G383" t="s">
        <v>108</v>
      </c>
      <c r="H383" t="s">
        <v>126</v>
      </c>
      <c r="I383">
        <v>3.5000000000000003E-2</v>
      </c>
      <c r="J383">
        <f t="shared" si="15"/>
        <v>24.500000000000004</v>
      </c>
      <c r="K383">
        <v>0</v>
      </c>
      <c r="L383">
        <f t="shared" si="16"/>
        <v>24.500000000000004</v>
      </c>
      <c r="M383" s="4">
        <f t="shared" si="17"/>
        <v>3.5000000000000003E-2</v>
      </c>
      <c r="N383">
        <v>700</v>
      </c>
      <c r="O383">
        <v>700</v>
      </c>
      <c r="P383" t="s">
        <v>25</v>
      </c>
      <c r="Q383" t="s">
        <v>26</v>
      </c>
      <c r="R383" t="str">
        <f>IF(COUNTIF(Sheet2!B:B, A383) &gt; 0, "Yes", "No")</f>
        <v>No</v>
      </c>
    </row>
    <row r="384" spans="1:18" x14ac:dyDescent="0.25">
      <c r="A384" s="3">
        <v>45099</v>
      </c>
      <c r="B384" t="s">
        <v>234</v>
      </c>
      <c r="C384" t="s">
        <v>66</v>
      </c>
      <c r="D384" t="s">
        <v>20</v>
      </c>
      <c r="E384" t="s">
        <v>67</v>
      </c>
      <c r="F384" t="s">
        <v>40</v>
      </c>
      <c r="G384" t="s">
        <v>61</v>
      </c>
      <c r="H384" t="s">
        <v>62</v>
      </c>
      <c r="I384">
        <v>0.05</v>
      </c>
      <c r="J384">
        <f t="shared" si="15"/>
        <v>35</v>
      </c>
      <c r="K384">
        <v>0</v>
      </c>
      <c r="L384">
        <f t="shared" si="16"/>
        <v>35</v>
      </c>
      <c r="M384" s="4">
        <f t="shared" si="17"/>
        <v>0.05</v>
      </c>
      <c r="N384">
        <v>700</v>
      </c>
      <c r="O384">
        <v>700</v>
      </c>
      <c r="P384" t="s">
        <v>25</v>
      </c>
      <c r="Q384" t="s">
        <v>26</v>
      </c>
      <c r="R384" t="str">
        <f>IF(COUNTIF(Sheet2!B:B, A384) &gt; 0, "Yes", "No")</f>
        <v>No</v>
      </c>
    </row>
    <row r="385" spans="1:18" x14ac:dyDescent="0.25">
      <c r="A385" s="3">
        <v>45099</v>
      </c>
      <c r="B385" t="s">
        <v>234</v>
      </c>
      <c r="C385" t="s">
        <v>66</v>
      </c>
      <c r="D385" t="s">
        <v>20</v>
      </c>
      <c r="E385" t="s">
        <v>67</v>
      </c>
      <c r="F385" t="s">
        <v>43</v>
      </c>
      <c r="G385" t="s">
        <v>111</v>
      </c>
      <c r="H385" t="s">
        <v>112</v>
      </c>
      <c r="I385">
        <v>0.11</v>
      </c>
      <c r="J385">
        <f t="shared" si="15"/>
        <v>77</v>
      </c>
      <c r="K385">
        <v>0</v>
      </c>
      <c r="L385">
        <f t="shared" si="16"/>
        <v>77</v>
      </c>
      <c r="M385" s="4">
        <f t="shared" si="17"/>
        <v>0.11</v>
      </c>
      <c r="N385">
        <v>700</v>
      </c>
      <c r="O385">
        <v>700</v>
      </c>
      <c r="P385" t="s">
        <v>25</v>
      </c>
      <c r="Q385" t="s">
        <v>26</v>
      </c>
      <c r="R385" t="str">
        <f>IF(COUNTIF(Sheet2!B:B, A385) &gt; 0, "Yes", "No")</f>
        <v>No</v>
      </c>
    </row>
    <row r="386" spans="1:18" x14ac:dyDescent="0.25">
      <c r="A386" s="3">
        <v>45099</v>
      </c>
      <c r="B386" t="s">
        <v>234</v>
      </c>
      <c r="C386" t="s">
        <v>66</v>
      </c>
      <c r="D386" t="s">
        <v>20</v>
      </c>
      <c r="E386" t="s">
        <v>67</v>
      </c>
      <c r="F386" t="s">
        <v>46</v>
      </c>
      <c r="G386" t="s">
        <v>130</v>
      </c>
      <c r="H386" t="s">
        <v>131</v>
      </c>
      <c r="I386">
        <v>8.5000000000000006E-2</v>
      </c>
      <c r="J386">
        <f t="shared" si="15"/>
        <v>59.500000000000007</v>
      </c>
      <c r="K386">
        <v>0</v>
      </c>
      <c r="L386">
        <f t="shared" si="16"/>
        <v>59.500000000000007</v>
      </c>
      <c r="M386" s="4">
        <f t="shared" si="17"/>
        <v>8.5000000000000006E-2</v>
      </c>
      <c r="N386">
        <v>700</v>
      </c>
      <c r="O386">
        <v>700</v>
      </c>
      <c r="P386" t="s">
        <v>25</v>
      </c>
      <c r="Q386" t="s">
        <v>26</v>
      </c>
      <c r="R386" t="str">
        <f>IF(COUNTIF(Sheet2!B:B, A386) &gt; 0, "Yes", "No")</f>
        <v>No</v>
      </c>
    </row>
    <row r="387" spans="1:18" x14ac:dyDescent="0.25">
      <c r="A387" s="3">
        <v>45099</v>
      </c>
      <c r="B387" t="s">
        <v>234</v>
      </c>
      <c r="C387" t="s">
        <v>66</v>
      </c>
      <c r="D387" t="s">
        <v>20</v>
      </c>
      <c r="E387" t="s">
        <v>67</v>
      </c>
      <c r="F387" t="s">
        <v>49</v>
      </c>
      <c r="G387" t="s">
        <v>50</v>
      </c>
      <c r="H387" t="s">
        <v>49</v>
      </c>
      <c r="I387">
        <v>0.09</v>
      </c>
      <c r="J387">
        <f t="shared" ref="J387:J450" si="18">I387*O387</f>
        <v>63</v>
      </c>
      <c r="K387">
        <v>0</v>
      </c>
      <c r="L387">
        <f t="shared" ref="L387:L450" si="19">J387-K387</f>
        <v>63</v>
      </c>
      <c r="M387" s="4">
        <f t="shared" ref="M387:M450" si="20">((I387*O387)-K387)/N387</f>
        <v>0.09</v>
      </c>
      <c r="N387">
        <v>700</v>
      </c>
      <c r="O387">
        <v>700</v>
      </c>
      <c r="P387" t="s">
        <v>25</v>
      </c>
      <c r="Q387" t="s">
        <v>26</v>
      </c>
      <c r="R387" t="str">
        <f>IF(COUNTIF(Sheet2!B:B, A387) &gt; 0, "Yes", "No")</f>
        <v>No</v>
      </c>
    </row>
    <row r="388" spans="1:18" x14ac:dyDescent="0.25">
      <c r="A388" s="3">
        <v>45100</v>
      </c>
      <c r="B388" t="s">
        <v>234</v>
      </c>
      <c r="C388" t="s">
        <v>79</v>
      </c>
      <c r="D388" t="s">
        <v>20</v>
      </c>
      <c r="E388" t="s">
        <v>21</v>
      </c>
      <c r="F388" t="s">
        <v>22</v>
      </c>
      <c r="G388" t="s">
        <v>23</v>
      </c>
      <c r="H388" t="s">
        <v>196</v>
      </c>
      <c r="I388" s="5">
        <v>0.06</v>
      </c>
      <c r="J388">
        <f t="shared" si="18"/>
        <v>42</v>
      </c>
      <c r="K388">
        <v>0.5</v>
      </c>
      <c r="L388">
        <f t="shared" si="19"/>
        <v>41.5</v>
      </c>
      <c r="M388" s="4">
        <f t="shared" si="20"/>
        <v>5.9285714285714289E-2</v>
      </c>
      <c r="N388">
        <v>700</v>
      </c>
      <c r="O388">
        <v>700</v>
      </c>
      <c r="P388" t="s">
        <v>25</v>
      </c>
      <c r="Q388" t="s">
        <v>26</v>
      </c>
      <c r="R388" t="str">
        <f>IF(COUNTIF(Sheet2!B:B, A388) &gt; 0, "Yes", "No")</f>
        <v>Yes</v>
      </c>
    </row>
    <row r="389" spans="1:18" x14ac:dyDescent="0.25">
      <c r="A389" s="3">
        <v>45100</v>
      </c>
      <c r="B389" t="s">
        <v>234</v>
      </c>
      <c r="C389" t="s">
        <v>79</v>
      </c>
      <c r="D389" t="s">
        <v>20</v>
      </c>
      <c r="E389" t="s">
        <v>21</v>
      </c>
      <c r="F389" t="s">
        <v>27</v>
      </c>
      <c r="G389" t="s">
        <v>81</v>
      </c>
      <c r="H389" t="s">
        <v>219</v>
      </c>
      <c r="I389" s="5">
        <v>0.1</v>
      </c>
      <c r="J389">
        <f t="shared" si="18"/>
        <v>70</v>
      </c>
      <c r="K389">
        <v>3</v>
      </c>
      <c r="L389">
        <f t="shared" si="19"/>
        <v>67</v>
      </c>
      <c r="M389" s="4">
        <f t="shared" si="20"/>
        <v>9.571428571428571E-2</v>
      </c>
      <c r="N389">
        <v>700</v>
      </c>
      <c r="O389">
        <v>700</v>
      </c>
      <c r="P389" t="s">
        <v>25</v>
      </c>
      <c r="Q389" t="s">
        <v>26</v>
      </c>
      <c r="R389" t="str">
        <f>IF(COUNTIF(Sheet2!B:B, A389) &gt; 0, "Yes", "No")</f>
        <v>Yes</v>
      </c>
    </row>
    <row r="390" spans="1:18" x14ac:dyDescent="0.25">
      <c r="A390" s="3">
        <v>45100</v>
      </c>
      <c r="B390" t="s">
        <v>234</v>
      </c>
      <c r="C390" t="s">
        <v>79</v>
      </c>
      <c r="D390" t="s">
        <v>20</v>
      </c>
      <c r="E390" t="s">
        <v>21</v>
      </c>
      <c r="F390" t="s">
        <v>30</v>
      </c>
      <c r="G390" t="s">
        <v>31</v>
      </c>
      <c r="H390" t="s">
        <v>172</v>
      </c>
      <c r="I390" s="5">
        <v>0.06</v>
      </c>
      <c r="J390">
        <f t="shared" si="18"/>
        <v>42</v>
      </c>
      <c r="K390">
        <v>2.5</v>
      </c>
      <c r="L390">
        <f t="shared" si="19"/>
        <v>39.5</v>
      </c>
      <c r="M390" s="4">
        <f t="shared" si="20"/>
        <v>5.6428571428571425E-2</v>
      </c>
      <c r="N390">
        <v>700</v>
      </c>
      <c r="O390">
        <v>700</v>
      </c>
      <c r="P390" t="s">
        <v>25</v>
      </c>
      <c r="Q390" t="s">
        <v>26</v>
      </c>
      <c r="R390" t="str">
        <f>IF(COUNTIF(Sheet2!B:B, A390) &gt; 0, "Yes", "No")</f>
        <v>Yes</v>
      </c>
    </row>
    <row r="391" spans="1:18" x14ac:dyDescent="0.25">
      <c r="A391" s="3">
        <v>45100</v>
      </c>
      <c r="B391" t="s">
        <v>234</v>
      </c>
      <c r="C391" t="s">
        <v>79</v>
      </c>
      <c r="D391" t="s">
        <v>33</v>
      </c>
      <c r="E391" t="s">
        <v>21</v>
      </c>
      <c r="F391" t="s">
        <v>84</v>
      </c>
      <c r="G391" t="s">
        <v>177</v>
      </c>
      <c r="H391" t="s">
        <v>280</v>
      </c>
      <c r="I391" s="5">
        <v>0.3</v>
      </c>
      <c r="J391">
        <f t="shared" si="18"/>
        <v>105</v>
      </c>
      <c r="K391">
        <v>0</v>
      </c>
      <c r="L391">
        <f t="shared" si="19"/>
        <v>105</v>
      </c>
      <c r="M391" s="4">
        <f t="shared" si="20"/>
        <v>0.3</v>
      </c>
      <c r="N391">
        <v>350</v>
      </c>
      <c r="O391">
        <v>350</v>
      </c>
      <c r="P391" t="s">
        <v>25</v>
      </c>
      <c r="Q391" t="s">
        <v>26</v>
      </c>
      <c r="R391" t="str">
        <f>IF(COUNTIF(Sheet2!B:B, A391) &gt; 0, "Yes", "No")</f>
        <v>Yes</v>
      </c>
    </row>
    <row r="392" spans="1:18" x14ac:dyDescent="0.25">
      <c r="A392" s="3">
        <v>45100</v>
      </c>
      <c r="B392" t="s">
        <v>234</v>
      </c>
      <c r="C392" t="s">
        <v>79</v>
      </c>
      <c r="D392" t="s">
        <v>20</v>
      </c>
      <c r="E392" t="s">
        <v>21</v>
      </c>
      <c r="F392" t="s">
        <v>37</v>
      </c>
      <c r="G392" t="s">
        <v>87</v>
      </c>
      <c r="H392" t="s">
        <v>88</v>
      </c>
      <c r="I392" s="5">
        <v>2.5000000000000001E-2</v>
      </c>
      <c r="J392">
        <f t="shared" si="18"/>
        <v>17.5</v>
      </c>
      <c r="K392">
        <v>1</v>
      </c>
      <c r="L392">
        <f t="shared" si="19"/>
        <v>16.5</v>
      </c>
      <c r="M392" s="4">
        <f t="shared" si="20"/>
        <v>2.3571428571428573E-2</v>
      </c>
      <c r="N392">
        <v>700</v>
      </c>
      <c r="O392">
        <v>700</v>
      </c>
      <c r="P392" t="s">
        <v>25</v>
      </c>
      <c r="Q392" t="s">
        <v>26</v>
      </c>
      <c r="R392" t="str">
        <f>IF(COUNTIF(Sheet2!B:B, A392) &gt; 0, "Yes", "No")</f>
        <v>Yes</v>
      </c>
    </row>
    <row r="393" spans="1:18" x14ac:dyDescent="0.25">
      <c r="A393" s="3">
        <v>45100</v>
      </c>
      <c r="B393" t="s">
        <v>234</v>
      </c>
      <c r="C393" t="s">
        <v>79</v>
      </c>
      <c r="D393" t="s">
        <v>20</v>
      </c>
      <c r="E393" t="s">
        <v>21</v>
      </c>
      <c r="F393" t="s">
        <v>40</v>
      </c>
      <c r="G393" t="s">
        <v>41</v>
      </c>
      <c r="H393" t="s">
        <v>42</v>
      </c>
      <c r="I393" s="5">
        <v>0.04</v>
      </c>
      <c r="J393">
        <f t="shared" si="18"/>
        <v>28</v>
      </c>
      <c r="K393">
        <v>1</v>
      </c>
      <c r="L393">
        <f t="shared" si="19"/>
        <v>27</v>
      </c>
      <c r="M393" s="4">
        <f t="shared" si="20"/>
        <v>3.8571428571428569E-2</v>
      </c>
      <c r="N393">
        <v>700</v>
      </c>
      <c r="O393">
        <v>700</v>
      </c>
      <c r="P393" t="s">
        <v>25</v>
      </c>
      <c r="Q393" t="s">
        <v>26</v>
      </c>
      <c r="R393" t="str">
        <f>IF(COUNTIF(Sheet2!B:B, A393) &gt; 0, "Yes", "No")</f>
        <v>Yes</v>
      </c>
    </row>
    <row r="394" spans="1:18" x14ac:dyDescent="0.25">
      <c r="A394" s="3">
        <v>45100</v>
      </c>
      <c r="B394" t="s">
        <v>234</v>
      </c>
      <c r="C394" t="s">
        <v>79</v>
      </c>
      <c r="D394" t="s">
        <v>20</v>
      </c>
      <c r="E394" t="s">
        <v>21</v>
      </c>
      <c r="F394" t="s">
        <v>43</v>
      </c>
      <c r="G394" t="s">
        <v>90</v>
      </c>
      <c r="H394" t="s">
        <v>281</v>
      </c>
      <c r="I394" s="5">
        <v>7.4999999999999997E-2</v>
      </c>
      <c r="J394">
        <f t="shared" si="18"/>
        <v>52.5</v>
      </c>
      <c r="K394">
        <v>4</v>
      </c>
      <c r="L394">
        <f t="shared" si="19"/>
        <v>48.5</v>
      </c>
      <c r="M394" s="4">
        <f t="shared" si="20"/>
        <v>6.9285714285714284E-2</v>
      </c>
      <c r="N394">
        <v>700</v>
      </c>
      <c r="O394">
        <v>700</v>
      </c>
      <c r="P394" t="s">
        <v>25</v>
      </c>
      <c r="Q394" t="s">
        <v>26</v>
      </c>
      <c r="R394" t="str">
        <f>IF(COUNTIF(Sheet2!B:B, A394) &gt; 0, "Yes", "No")</f>
        <v>Yes</v>
      </c>
    </row>
    <row r="395" spans="1:18" x14ac:dyDescent="0.25">
      <c r="A395" s="3">
        <v>45100</v>
      </c>
      <c r="B395" t="s">
        <v>234</v>
      </c>
      <c r="C395" t="s">
        <v>79</v>
      </c>
      <c r="D395" t="s">
        <v>20</v>
      </c>
      <c r="E395" t="s">
        <v>21</v>
      </c>
      <c r="F395" t="s">
        <v>46</v>
      </c>
      <c r="G395" t="s">
        <v>169</v>
      </c>
      <c r="H395" t="s">
        <v>282</v>
      </c>
      <c r="I395" s="5">
        <v>0.06</v>
      </c>
      <c r="J395">
        <f t="shared" si="18"/>
        <v>42</v>
      </c>
      <c r="K395">
        <v>6</v>
      </c>
      <c r="L395">
        <f t="shared" si="19"/>
        <v>36</v>
      </c>
      <c r="M395" s="4">
        <f t="shared" si="20"/>
        <v>5.1428571428571428E-2</v>
      </c>
      <c r="N395">
        <v>700</v>
      </c>
      <c r="O395">
        <v>700</v>
      </c>
      <c r="P395" t="s">
        <v>25</v>
      </c>
      <c r="Q395" t="s">
        <v>26</v>
      </c>
      <c r="R395" t="str">
        <f>IF(COUNTIF(Sheet2!B:B, A395) &gt; 0, "Yes", "No")</f>
        <v>Yes</v>
      </c>
    </row>
    <row r="396" spans="1:18" x14ac:dyDescent="0.25">
      <c r="A396" s="3">
        <v>45100</v>
      </c>
      <c r="B396" t="s">
        <v>234</v>
      </c>
      <c r="C396" t="s">
        <v>79</v>
      </c>
      <c r="D396" t="s">
        <v>20</v>
      </c>
      <c r="E396" t="s">
        <v>21</v>
      </c>
      <c r="F396" t="s">
        <v>49</v>
      </c>
      <c r="G396" t="s">
        <v>50</v>
      </c>
      <c r="H396" t="s">
        <v>49</v>
      </c>
      <c r="I396" s="5">
        <v>0.04</v>
      </c>
      <c r="J396">
        <f t="shared" si="18"/>
        <v>28</v>
      </c>
      <c r="K396">
        <v>1</v>
      </c>
      <c r="L396">
        <f t="shared" si="19"/>
        <v>27</v>
      </c>
      <c r="M396" s="4">
        <f t="shared" si="20"/>
        <v>3.8571428571428569E-2</v>
      </c>
      <c r="N396">
        <v>700</v>
      </c>
      <c r="O396">
        <v>700</v>
      </c>
      <c r="P396" t="s">
        <v>25</v>
      </c>
      <c r="Q396" t="s">
        <v>26</v>
      </c>
      <c r="R396" t="str">
        <f>IF(COUNTIF(Sheet2!B:B, A396) &gt; 0, "Yes", "No")</f>
        <v>Yes</v>
      </c>
    </row>
    <row r="397" spans="1:18" x14ac:dyDescent="0.25">
      <c r="A397" s="3">
        <v>45103</v>
      </c>
      <c r="B397" t="s">
        <v>234</v>
      </c>
      <c r="C397" t="s">
        <v>19</v>
      </c>
      <c r="D397" t="s">
        <v>20</v>
      </c>
      <c r="E397" t="s">
        <v>21</v>
      </c>
      <c r="F397" t="s">
        <v>22</v>
      </c>
      <c r="G397" t="s">
        <v>94</v>
      </c>
      <c r="H397" t="s">
        <v>95</v>
      </c>
      <c r="I397">
        <v>0.04</v>
      </c>
      <c r="J397">
        <f t="shared" si="18"/>
        <v>28</v>
      </c>
      <c r="K397">
        <v>4</v>
      </c>
      <c r="L397">
        <f t="shared" si="19"/>
        <v>24</v>
      </c>
      <c r="M397" s="4">
        <f t="shared" si="20"/>
        <v>3.4285714285714287E-2</v>
      </c>
      <c r="N397">
        <v>700</v>
      </c>
      <c r="O397">
        <v>700</v>
      </c>
      <c r="P397" t="s">
        <v>25</v>
      </c>
      <c r="Q397" t="s">
        <v>26</v>
      </c>
      <c r="R397" t="str">
        <f>IF(COUNTIF(Sheet2!B:B, A397) &gt; 0, "Yes", "No")</f>
        <v>No</v>
      </c>
    </row>
    <row r="398" spans="1:18" x14ac:dyDescent="0.25">
      <c r="A398" s="3">
        <v>45103</v>
      </c>
      <c r="B398" t="s">
        <v>234</v>
      </c>
      <c r="C398" t="s">
        <v>19</v>
      </c>
      <c r="D398" t="s">
        <v>20</v>
      </c>
      <c r="E398" t="s">
        <v>21</v>
      </c>
      <c r="F398" t="s">
        <v>27</v>
      </c>
      <c r="G398" t="s">
        <v>28</v>
      </c>
      <c r="H398" t="s">
        <v>96</v>
      </c>
      <c r="I398">
        <v>0.1</v>
      </c>
      <c r="J398">
        <f t="shared" si="18"/>
        <v>70</v>
      </c>
      <c r="K398">
        <v>7</v>
      </c>
      <c r="L398">
        <f t="shared" si="19"/>
        <v>63</v>
      </c>
      <c r="M398" s="4">
        <f t="shared" si="20"/>
        <v>0.09</v>
      </c>
      <c r="N398">
        <v>700</v>
      </c>
      <c r="O398">
        <v>700</v>
      </c>
      <c r="P398" t="s">
        <v>25</v>
      </c>
      <c r="Q398" t="s">
        <v>26</v>
      </c>
      <c r="R398" t="str">
        <f>IF(COUNTIF(Sheet2!B:B, A398) &gt; 0, "Yes", "No")</f>
        <v>No</v>
      </c>
    </row>
    <row r="399" spans="1:18" x14ac:dyDescent="0.25">
      <c r="A399" s="3">
        <v>45103</v>
      </c>
      <c r="B399" t="s">
        <v>234</v>
      </c>
      <c r="C399" t="s">
        <v>19</v>
      </c>
      <c r="D399" t="s">
        <v>20</v>
      </c>
      <c r="E399" t="s">
        <v>21</v>
      </c>
      <c r="F399" t="s">
        <v>30</v>
      </c>
      <c r="G399" t="s">
        <v>55</v>
      </c>
      <c r="H399" t="s">
        <v>97</v>
      </c>
      <c r="I399">
        <v>0.09</v>
      </c>
      <c r="J399">
        <f t="shared" si="18"/>
        <v>63</v>
      </c>
      <c r="K399">
        <v>0</v>
      </c>
      <c r="L399">
        <f t="shared" si="19"/>
        <v>63</v>
      </c>
      <c r="M399" s="4">
        <f t="shared" si="20"/>
        <v>0.09</v>
      </c>
      <c r="N399">
        <v>700</v>
      </c>
      <c r="O399">
        <v>700</v>
      </c>
      <c r="P399" t="s">
        <v>25</v>
      </c>
      <c r="Q399" t="s">
        <v>26</v>
      </c>
      <c r="R399" t="str">
        <f>IF(COUNTIF(Sheet2!B:B, A399) &gt; 0, "Yes", "No")</f>
        <v>No</v>
      </c>
    </row>
    <row r="400" spans="1:18" x14ac:dyDescent="0.25">
      <c r="A400" s="3">
        <v>45103</v>
      </c>
      <c r="B400" t="s">
        <v>234</v>
      </c>
      <c r="C400" t="s">
        <v>19</v>
      </c>
      <c r="D400" t="s">
        <v>33</v>
      </c>
      <c r="E400" t="s">
        <v>21</v>
      </c>
      <c r="F400" t="s">
        <v>34</v>
      </c>
      <c r="G400" t="s">
        <v>57</v>
      </c>
      <c r="H400" t="s">
        <v>98</v>
      </c>
      <c r="I400">
        <v>0.15</v>
      </c>
      <c r="J400">
        <f t="shared" si="18"/>
        <v>52.5</v>
      </c>
      <c r="K400">
        <v>0</v>
      </c>
      <c r="L400">
        <f t="shared" si="19"/>
        <v>52.5</v>
      </c>
      <c r="M400" s="4">
        <f t="shared" si="20"/>
        <v>0.15</v>
      </c>
      <c r="N400">
        <v>350</v>
      </c>
      <c r="O400">
        <v>350</v>
      </c>
      <c r="P400" t="s">
        <v>25</v>
      </c>
      <c r="Q400" t="s">
        <v>26</v>
      </c>
      <c r="R400" t="str">
        <f>IF(COUNTIF(Sheet2!B:B, A400) &gt; 0, "Yes", "No")</f>
        <v>No</v>
      </c>
    </row>
    <row r="401" spans="1:18" x14ac:dyDescent="0.25">
      <c r="A401" s="3">
        <v>45103</v>
      </c>
      <c r="B401" t="s">
        <v>234</v>
      </c>
      <c r="C401" t="s">
        <v>19</v>
      </c>
      <c r="D401" t="s">
        <v>20</v>
      </c>
      <c r="E401" t="s">
        <v>21</v>
      </c>
      <c r="F401" t="s">
        <v>37</v>
      </c>
      <c r="G401" t="s">
        <v>87</v>
      </c>
      <c r="H401" t="s">
        <v>99</v>
      </c>
      <c r="I401">
        <v>0.03</v>
      </c>
      <c r="J401">
        <f t="shared" si="18"/>
        <v>21</v>
      </c>
      <c r="K401">
        <v>5</v>
      </c>
      <c r="L401">
        <f t="shared" si="19"/>
        <v>16</v>
      </c>
      <c r="M401" s="4">
        <f t="shared" si="20"/>
        <v>2.2857142857142857E-2</v>
      </c>
      <c r="N401">
        <v>700</v>
      </c>
      <c r="O401">
        <v>700</v>
      </c>
      <c r="P401" t="s">
        <v>25</v>
      </c>
      <c r="Q401" t="s">
        <v>26</v>
      </c>
      <c r="R401" t="str">
        <f>IF(COUNTIF(Sheet2!B:B, A401) &gt; 0, "Yes", "No")</f>
        <v>No</v>
      </c>
    </row>
    <row r="402" spans="1:18" x14ac:dyDescent="0.25">
      <c r="A402" s="3">
        <v>45103</v>
      </c>
      <c r="B402" t="s">
        <v>234</v>
      </c>
      <c r="C402" t="s">
        <v>19</v>
      </c>
      <c r="D402" t="s">
        <v>20</v>
      </c>
      <c r="E402" t="s">
        <v>21</v>
      </c>
      <c r="F402" t="s">
        <v>40</v>
      </c>
      <c r="G402" t="s">
        <v>100</v>
      </c>
      <c r="H402" t="s">
        <v>101</v>
      </c>
      <c r="I402">
        <v>4.4999999999999998E-2</v>
      </c>
      <c r="J402">
        <f t="shared" si="18"/>
        <v>31.5</v>
      </c>
      <c r="K402">
        <v>4</v>
      </c>
      <c r="L402">
        <f t="shared" si="19"/>
        <v>27.5</v>
      </c>
      <c r="M402" s="4">
        <f t="shared" si="20"/>
        <v>3.9285714285714285E-2</v>
      </c>
      <c r="N402">
        <v>700</v>
      </c>
      <c r="O402">
        <v>700</v>
      </c>
      <c r="P402" t="s">
        <v>25</v>
      </c>
      <c r="Q402" t="s">
        <v>26</v>
      </c>
      <c r="R402" t="str">
        <f>IF(COUNTIF(Sheet2!B:B, A402) &gt; 0, "Yes", "No")</f>
        <v>No</v>
      </c>
    </row>
    <row r="403" spans="1:18" x14ac:dyDescent="0.25">
      <c r="A403" s="3">
        <v>45103</v>
      </c>
      <c r="B403" t="s">
        <v>234</v>
      </c>
      <c r="C403" t="s">
        <v>19</v>
      </c>
      <c r="D403" t="s">
        <v>20</v>
      </c>
      <c r="E403" t="s">
        <v>21</v>
      </c>
      <c r="F403" t="s">
        <v>43</v>
      </c>
      <c r="G403" t="s">
        <v>44</v>
      </c>
      <c r="H403" t="s">
        <v>102</v>
      </c>
      <c r="I403">
        <v>0.11</v>
      </c>
      <c r="J403">
        <f t="shared" si="18"/>
        <v>77</v>
      </c>
      <c r="K403">
        <v>3</v>
      </c>
      <c r="L403">
        <f t="shared" si="19"/>
        <v>74</v>
      </c>
      <c r="M403" s="4">
        <f t="shared" si="20"/>
        <v>0.10571428571428572</v>
      </c>
      <c r="N403">
        <v>700</v>
      </c>
      <c r="O403">
        <v>700</v>
      </c>
      <c r="P403" t="s">
        <v>25</v>
      </c>
      <c r="Q403" t="s">
        <v>26</v>
      </c>
      <c r="R403" t="str">
        <f>IF(COUNTIF(Sheet2!B:B, A403) &gt; 0, "Yes", "No")</f>
        <v>No</v>
      </c>
    </row>
    <row r="404" spans="1:18" x14ac:dyDescent="0.25">
      <c r="A404" s="3">
        <v>45103</v>
      </c>
      <c r="B404" t="s">
        <v>234</v>
      </c>
      <c r="C404" t="s">
        <v>19</v>
      </c>
      <c r="D404" t="s">
        <v>20</v>
      </c>
      <c r="E404" t="s">
        <v>21</v>
      </c>
      <c r="F404" t="s">
        <v>46</v>
      </c>
      <c r="G404" t="s">
        <v>167</v>
      </c>
      <c r="H404" t="s">
        <v>167</v>
      </c>
      <c r="I404">
        <v>8.5000000000000006E-2</v>
      </c>
      <c r="J404">
        <f t="shared" si="18"/>
        <v>59.500000000000007</v>
      </c>
      <c r="K404">
        <v>7</v>
      </c>
      <c r="L404">
        <f t="shared" si="19"/>
        <v>52.500000000000007</v>
      </c>
      <c r="M404" s="4">
        <f t="shared" si="20"/>
        <v>7.5000000000000011E-2</v>
      </c>
      <c r="N404">
        <v>700</v>
      </c>
      <c r="O404">
        <v>700</v>
      </c>
      <c r="P404" t="s">
        <v>25</v>
      </c>
      <c r="Q404" t="s">
        <v>26</v>
      </c>
      <c r="R404" t="str">
        <f>IF(COUNTIF(Sheet2!B:B, A404) &gt; 0, "Yes", "No")</f>
        <v>No</v>
      </c>
    </row>
    <row r="405" spans="1:18" x14ac:dyDescent="0.25">
      <c r="A405" s="3">
        <v>45103</v>
      </c>
      <c r="B405" t="s">
        <v>234</v>
      </c>
      <c r="C405" t="s">
        <v>19</v>
      </c>
      <c r="D405" t="s">
        <v>20</v>
      </c>
      <c r="E405" t="s">
        <v>21</v>
      </c>
      <c r="F405" t="s">
        <v>49</v>
      </c>
      <c r="G405" t="s">
        <v>50</v>
      </c>
      <c r="H405" t="s">
        <v>49</v>
      </c>
      <c r="I405">
        <v>0.09</v>
      </c>
      <c r="J405">
        <f t="shared" si="18"/>
        <v>63</v>
      </c>
      <c r="K405">
        <v>2</v>
      </c>
      <c r="L405">
        <f t="shared" si="19"/>
        <v>61</v>
      </c>
      <c r="M405" s="4">
        <f t="shared" si="20"/>
        <v>8.7142857142857147E-2</v>
      </c>
      <c r="N405">
        <v>700</v>
      </c>
      <c r="O405">
        <v>700</v>
      </c>
      <c r="P405" t="s">
        <v>25</v>
      </c>
      <c r="Q405" t="s">
        <v>26</v>
      </c>
      <c r="R405" t="str">
        <f>IF(COUNTIF(Sheet2!B:B, A405) &gt; 0, "Yes", "No")</f>
        <v>No</v>
      </c>
    </row>
    <row r="406" spans="1:18" x14ac:dyDescent="0.25">
      <c r="A406" s="3">
        <v>45104</v>
      </c>
      <c r="B406" t="s">
        <v>234</v>
      </c>
      <c r="C406" t="s">
        <v>105</v>
      </c>
      <c r="D406" t="s">
        <v>20</v>
      </c>
      <c r="E406" t="s">
        <v>67</v>
      </c>
      <c r="F406" t="s">
        <v>22</v>
      </c>
      <c r="G406" t="s">
        <v>23</v>
      </c>
      <c r="H406" t="s">
        <v>106</v>
      </c>
      <c r="I406">
        <v>8.5000000000000006E-2</v>
      </c>
      <c r="J406">
        <f t="shared" si="18"/>
        <v>59.500000000000007</v>
      </c>
      <c r="K406">
        <v>1.5</v>
      </c>
      <c r="L406">
        <f t="shared" si="19"/>
        <v>58.000000000000007</v>
      </c>
      <c r="M406" s="4">
        <f t="shared" si="20"/>
        <v>8.2857142857142865E-2</v>
      </c>
      <c r="N406">
        <v>700</v>
      </c>
      <c r="O406">
        <v>700</v>
      </c>
      <c r="P406" t="s">
        <v>25</v>
      </c>
      <c r="Q406" t="s">
        <v>26</v>
      </c>
      <c r="R406" t="str">
        <f>IF(COUNTIF(Sheet2!B:B, A406) &gt; 0, "Yes", "No")</f>
        <v>No</v>
      </c>
    </row>
    <row r="407" spans="1:18" x14ac:dyDescent="0.25">
      <c r="A407" s="3">
        <v>45104</v>
      </c>
      <c r="B407" t="s">
        <v>234</v>
      </c>
      <c r="C407" t="s">
        <v>105</v>
      </c>
      <c r="D407" t="s">
        <v>20</v>
      </c>
      <c r="E407" t="s">
        <v>67</v>
      </c>
      <c r="F407" t="s">
        <v>27</v>
      </c>
      <c r="G407" t="s">
        <v>28</v>
      </c>
      <c r="H407" t="s">
        <v>107</v>
      </c>
      <c r="I407">
        <v>0.11</v>
      </c>
      <c r="J407">
        <f t="shared" si="18"/>
        <v>77</v>
      </c>
      <c r="K407">
        <v>7</v>
      </c>
      <c r="L407">
        <f t="shared" si="19"/>
        <v>70</v>
      </c>
      <c r="M407" s="4">
        <f t="shared" si="20"/>
        <v>0.1</v>
      </c>
      <c r="N407">
        <v>700</v>
      </c>
      <c r="O407">
        <v>700</v>
      </c>
      <c r="P407" t="s">
        <v>25</v>
      </c>
      <c r="Q407" t="s">
        <v>26</v>
      </c>
      <c r="R407" t="str">
        <f>IF(COUNTIF(Sheet2!B:B, A407) &gt; 0, "Yes", "No")</f>
        <v>No</v>
      </c>
    </row>
    <row r="408" spans="1:18" x14ac:dyDescent="0.25">
      <c r="A408" s="3">
        <v>45104</v>
      </c>
      <c r="B408" t="s">
        <v>234</v>
      </c>
      <c r="C408" t="s">
        <v>105</v>
      </c>
      <c r="D408" t="s">
        <v>20</v>
      </c>
      <c r="E408" t="s">
        <v>67</v>
      </c>
      <c r="F408" t="s">
        <v>30</v>
      </c>
      <c r="G408" t="s">
        <v>31</v>
      </c>
      <c r="H408" t="s">
        <v>31</v>
      </c>
      <c r="I408">
        <v>0.09</v>
      </c>
      <c r="J408">
        <f t="shared" si="18"/>
        <v>63</v>
      </c>
      <c r="K408">
        <v>0.5</v>
      </c>
      <c r="L408">
        <f t="shared" si="19"/>
        <v>62.5</v>
      </c>
      <c r="M408" s="4">
        <f t="shared" si="20"/>
        <v>8.9285714285714288E-2</v>
      </c>
      <c r="N408">
        <v>700</v>
      </c>
      <c r="O408">
        <v>700</v>
      </c>
      <c r="P408" t="s">
        <v>25</v>
      </c>
      <c r="Q408" t="s">
        <v>26</v>
      </c>
      <c r="R408" t="str">
        <f>IF(COUNTIF(Sheet2!B:B, A408) &gt; 0, "Yes", "No")</f>
        <v>No</v>
      </c>
    </row>
    <row r="409" spans="1:18" x14ac:dyDescent="0.25">
      <c r="A409" s="3">
        <v>45104</v>
      </c>
      <c r="B409" t="s">
        <v>234</v>
      </c>
      <c r="C409" t="s">
        <v>105</v>
      </c>
      <c r="D409" t="s">
        <v>20</v>
      </c>
      <c r="E409" t="s">
        <v>67</v>
      </c>
      <c r="F409" t="s">
        <v>37</v>
      </c>
      <c r="G409" t="s">
        <v>108</v>
      </c>
      <c r="H409" t="s">
        <v>109</v>
      </c>
      <c r="I409">
        <v>3.5000000000000003E-2</v>
      </c>
      <c r="J409">
        <f t="shared" si="18"/>
        <v>24.500000000000004</v>
      </c>
      <c r="K409">
        <v>1.5</v>
      </c>
      <c r="L409">
        <f t="shared" si="19"/>
        <v>23.000000000000004</v>
      </c>
      <c r="M409" s="4">
        <f t="shared" si="20"/>
        <v>3.2857142857142863E-2</v>
      </c>
      <c r="N409">
        <v>700</v>
      </c>
      <c r="O409">
        <v>700</v>
      </c>
      <c r="P409" t="s">
        <v>25</v>
      </c>
      <c r="Q409" t="s">
        <v>26</v>
      </c>
      <c r="R409" t="str">
        <f>IF(COUNTIF(Sheet2!B:B, A409) &gt; 0, "Yes", "No")</f>
        <v>No</v>
      </c>
    </row>
    <row r="410" spans="1:18" x14ac:dyDescent="0.25">
      <c r="A410" s="3">
        <v>45104</v>
      </c>
      <c r="B410" t="s">
        <v>234</v>
      </c>
      <c r="C410" t="s">
        <v>105</v>
      </c>
      <c r="D410" t="s">
        <v>20</v>
      </c>
      <c r="E410" t="s">
        <v>67</v>
      </c>
      <c r="F410" t="s">
        <v>40</v>
      </c>
      <c r="G410" t="s">
        <v>73</v>
      </c>
      <c r="H410" t="s">
        <v>110</v>
      </c>
      <c r="I410">
        <v>0.05</v>
      </c>
      <c r="J410">
        <f t="shared" si="18"/>
        <v>35</v>
      </c>
      <c r="K410">
        <v>2</v>
      </c>
      <c r="L410">
        <f t="shared" si="19"/>
        <v>33</v>
      </c>
      <c r="M410" s="4">
        <f t="shared" si="20"/>
        <v>4.7142857142857146E-2</v>
      </c>
      <c r="N410">
        <v>700</v>
      </c>
      <c r="O410">
        <v>700</v>
      </c>
      <c r="P410" t="s">
        <v>25</v>
      </c>
      <c r="Q410" t="s">
        <v>26</v>
      </c>
      <c r="R410" t="str">
        <f>IF(COUNTIF(Sheet2!B:B, A410) &gt; 0, "Yes", "No")</f>
        <v>No</v>
      </c>
    </row>
    <row r="411" spans="1:18" x14ac:dyDescent="0.25">
      <c r="A411" s="3">
        <v>45104</v>
      </c>
      <c r="B411" t="s">
        <v>234</v>
      </c>
      <c r="C411" t="s">
        <v>105</v>
      </c>
      <c r="D411" t="s">
        <v>20</v>
      </c>
      <c r="E411" t="s">
        <v>67</v>
      </c>
      <c r="F411" t="s">
        <v>43</v>
      </c>
      <c r="G411" t="s">
        <v>139</v>
      </c>
      <c r="H411" t="s">
        <v>140</v>
      </c>
      <c r="I411">
        <v>0.11</v>
      </c>
      <c r="J411">
        <f t="shared" si="18"/>
        <v>77</v>
      </c>
      <c r="K411">
        <v>5</v>
      </c>
      <c r="L411">
        <f t="shared" si="19"/>
        <v>72</v>
      </c>
      <c r="M411" s="4">
        <f t="shared" si="20"/>
        <v>0.10285714285714286</v>
      </c>
      <c r="N411">
        <v>700</v>
      </c>
      <c r="O411">
        <v>700</v>
      </c>
      <c r="P411" t="s">
        <v>25</v>
      </c>
      <c r="Q411" t="s">
        <v>26</v>
      </c>
      <c r="R411" t="str">
        <f>IF(COUNTIF(Sheet2!B:B, A411) &gt; 0, "Yes", "No")</f>
        <v>No</v>
      </c>
    </row>
    <row r="412" spans="1:18" x14ac:dyDescent="0.25">
      <c r="A412" s="3">
        <v>45104</v>
      </c>
      <c r="B412" t="s">
        <v>234</v>
      </c>
      <c r="C412" t="s">
        <v>105</v>
      </c>
      <c r="D412" t="s">
        <v>20</v>
      </c>
      <c r="E412" t="s">
        <v>67</v>
      </c>
      <c r="F412" t="s">
        <v>46</v>
      </c>
      <c r="G412" t="s">
        <v>47</v>
      </c>
      <c r="H412" t="s">
        <v>113</v>
      </c>
      <c r="I412">
        <v>8.5000000000000006E-2</v>
      </c>
      <c r="J412">
        <f t="shared" si="18"/>
        <v>59.500000000000007</v>
      </c>
      <c r="K412">
        <v>1</v>
      </c>
      <c r="L412">
        <f t="shared" si="19"/>
        <v>58.500000000000007</v>
      </c>
      <c r="M412" s="4">
        <f t="shared" si="20"/>
        <v>8.3571428571428588E-2</v>
      </c>
      <c r="N412">
        <v>700</v>
      </c>
      <c r="O412">
        <v>700</v>
      </c>
      <c r="P412" t="s">
        <v>25</v>
      </c>
      <c r="Q412" t="s">
        <v>26</v>
      </c>
      <c r="R412" t="str">
        <f>IF(COUNTIF(Sheet2!B:B, A412) &gt; 0, "Yes", "No")</f>
        <v>No</v>
      </c>
    </row>
    <row r="413" spans="1:18" x14ac:dyDescent="0.25">
      <c r="A413" s="3">
        <v>45104</v>
      </c>
      <c r="B413" t="s">
        <v>234</v>
      </c>
      <c r="C413" t="s">
        <v>105</v>
      </c>
      <c r="D413" t="s">
        <v>20</v>
      </c>
      <c r="E413" t="s">
        <v>67</v>
      </c>
      <c r="F413" t="s">
        <v>49</v>
      </c>
      <c r="G413" t="s">
        <v>50</v>
      </c>
      <c r="H413" t="s">
        <v>49</v>
      </c>
      <c r="I413">
        <v>0.09</v>
      </c>
      <c r="J413">
        <f t="shared" si="18"/>
        <v>63</v>
      </c>
      <c r="K413">
        <v>0</v>
      </c>
      <c r="L413">
        <f t="shared" si="19"/>
        <v>63</v>
      </c>
      <c r="M413" s="4">
        <f t="shared" si="20"/>
        <v>0.09</v>
      </c>
      <c r="N413">
        <v>700</v>
      </c>
      <c r="O413">
        <v>700</v>
      </c>
      <c r="P413" t="s">
        <v>25</v>
      </c>
      <c r="Q413" t="s">
        <v>26</v>
      </c>
      <c r="R413" t="str">
        <f>IF(COUNTIF(Sheet2!B:B, A413) &gt; 0, "Yes", "No")</f>
        <v>No</v>
      </c>
    </row>
    <row r="414" spans="1:18" x14ac:dyDescent="0.25">
      <c r="A414" s="3">
        <v>45105</v>
      </c>
      <c r="B414" t="s">
        <v>234</v>
      </c>
      <c r="C414" t="s">
        <v>51</v>
      </c>
      <c r="D414" t="s">
        <v>20</v>
      </c>
      <c r="E414" t="s">
        <v>21</v>
      </c>
      <c r="F414" t="s">
        <v>22</v>
      </c>
      <c r="G414" t="s">
        <v>23</v>
      </c>
      <c r="H414" t="s">
        <v>114</v>
      </c>
      <c r="I414">
        <v>8.5000000000000006E-2</v>
      </c>
      <c r="J414">
        <f t="shared" si="18"/>
        <v>68</v>
      </c>
      <c r="K414">
        <v>5</v>
      </c>
      <c r="L414">
        <f t="shared" si="19"/>
        <v>63</v>
      </c>
      <c r="M414" s="4">
        <f t="shared" si="20"/>
        <v>7.8750000000000001E-2</v>
      </c>
      <c r="N414">
        <v>800</v>
      </c>
      <c r="O414">
        <v>800</v>
      </c>
      <c r="P414" t="s">
        <v>283</v>
      </c>
      <c r="Q414" t="s">
        <v>284</v>
      </c>
      <c r="R414" t="str">
        <f>IF(COUNTIF(Sheet2!B:B, A414) &gt; 0, "Yes", "No")</f>
        <v>No</v>
      </c>
    </row>
    <row r="415" spans="1:18" x14ac:dyDescent="0.25">
      <c r="A415" s="3">
        <v>45105</v>
      </c>
      <c r="B415" t="s">
        <v>234</v>
      </c>
      <c r="C415" t="s">
        <v>51</v>
      </c>
      <c r="D415" t="s">
        <v>20</v>
      </c>
      <c r="E415" t="s">
        <v>21</v>
      </c>
      <c r="F415" t="s">
        <v>27</v>
      </c>
      <c r="G415" t="s">
        <v>115</v>
      </c>
      <c r="H415" t="s">
        <v>115</v>
      </c>
      <c r="I415">
        <v>0.11</v>
      </c>
      <c r="J415">
        <f t="shared" si="18"/>
        <v>88</v>
      </c>
      <c r="K415">
        <v>6</v>
      </c>
      <c r="L415">
        <f t="shared" si="19"/>
        <v>82</v>
      </c>
      <c r="M415" s="4">
        <f t="shared" si="20"/>
        <v>0.10249999999999999</v>
      </c>
      <c r="N415">
        <v>800</v>
      </c>
      <c r="O415">
        <v>800</v>
      </c>
      <c r="P415" t="s">
        <v>283</v>
      </c>
      <c r="Q415" t="s">
        <v>284</v>
      </c>
      <c r="R415" t="str">
        <f>IF(COUNTIF(Sheet2!B:B, A415) &gt; 0, "Yes", "No")</f>
        <v>No</v>
      </c>
    </row>
    <row r="416" spans="1:18" x14ac:dyDescent="0.25">
      <c r="A416" s="3">
        <v>45105</v>
      </c>
      <c r="B416" t="s">
        <v>234</v>
      </c>
      <c r="C416" t="s">
        <v>51</v>
      </c>
      <c r="D416" t="s">
        <v>20</v>
      </c>
      <c r="E416" t="s">
        <v>21</v>
      </c>
      <c r="F416" t="s">
        <v>30</v>
      </c>
      <c r="G416" t="s">
        <v>55</v>
      </c>
      <c r="H416" t="s">
        <v>56</v>
      </c>
      <c r="I416">
        <v>0.09</v>
      </c>
      <c r="J416">
        <f t="shared" si="18"/>
        <v>72</v>
      </c>
      <c r="K416">
        <v>3</v>
      </c>
      <c r="L416">
        <f t="shared" si="19"/>
        <v>69</v>
      </c>
      <c r="M416" s="4">
        <f t="shared" si="20"/>
        <v>8.6249999999999993E-2</v>
      </c>
      <c r="N416">
        <v>800</v>
      </c>
      <c r="O416">
        <v>800</v>
      </c>
      <c r="P416" t="s">
        <v>283</v>
      </c>
      <c r="Q416" t="s">
        <v>284</v>
      </c>
      <c r="R416" t="str">
        <f>IF(COUNTIF(Sheet2!B:B, A416) &gt; 0, "Yes", "No")</f>
        <v>No</v>
      </c>
    </row>
    <row r="417" spans="1:18" x14ac:dyDescent="0.25">
      <c r="A417" s="3">
        <v>45105</v>
      </c>
      <c r="B417" t="s">
        <v>234</v>
      </c>
      <c r="C417" t="s">
        <v>51</v>
      </c>
      <c r="D417" t="s">
        <v>33</v>
      </c>
      <c r="E417" t="s">
        <v>21</v>
      </c>
      <c r="F417" t="s">
        <v>34</v>
      </c>
      <c r="G417" t="s">
        <v>57</v>
      </c>
      <c r="H417" t="s">
        <v>116</v>
      </c>
      <c r="I417">
        <v>0.15</v>
      </c>
      <c r="J417">
        <f t="shared" si="18"/>
        <v>60</v>
      </c>
      <c r="K417">
        <v>0</v>
      </c>
      <c r="L417">
        <f t="shared" si="19"/>
        <v>60</v>
      </c>
      <c r="M417" s="4">
        <f t="shared" si="20"/>
        <v>0.15</v>
      </c>
      <c r="N417">
        <v>400</v>
      </c>
      <c r="O417">
        <v>400</v>
      </c>
      <c r="P417" t="s">
        <v>283</v>
      </c>
      <c r="Q417" t="s">
        <v>284</v>
      </c>
      <c r="R417" t="str">
        <f>IF(COUNTIF(Sheet2!B:B, A417) &gt; 0, "Yes", "No")</f>
        <v>No</v>
      </c>
    </row>
    <row r="418" spans="1:18" x14ac:dyDescent="0.25">
      <c r="A418" s="3">
        <v>45105</v>
      </c>
      <c r="B418" t="s">
        <v>234</v>
      </c>
      <c r="C418" t="s">
        <v>51</v>
      </c>
      <c r="D418" t="s">
        <v>20</v>
      </c>
      <c r="E418" t="s">
        <v>21</v>
      </c>
      <c r="F418" t="s">
        <v>37</v>
      </c>
      <c r="G418" t="s">
        <v>38</v>
      </c>
      <c r="H418" t="s">
        <v>39</v>
      </c>
      <c r="I418">
        <v>0.03</v>
      </c>
      <c r="J418">
        <f t="shared" si="18"/>
        <v>24</v>
      </c>
      <c r="K418">
        <v>3</v>
      </c>
      <c r="L418">
        <f t="shared" si="19"/>
        <v>21</v>
      </c>
      <c r="M418" s="4">
        <f t="shared" si="20"/>
        <v>2.6249999999999999E-2</v>
      </c>
      <c r="N418">
        <v>800</v>
      </c>
      <c r="O418">
        <v>800</v>
      </c>
      <c r="P418" t="s">
        <v>283</v>
      </c>
      <c r="Q418" t="s">
        <v>284</v>
      </c>
      <c r="R418" t="str">
        <f>IF(COUNTIF(Sheet2!B:B, A418) &gt; 0, "Yes", "No")</f>
        <v>No</v>
      </c>
    </row>
    <row r="419" spans="1:18" x14ac:dyDescent="0.25">
      <c r="A419" s="3">
        <v>45105</v>
      </c>
      <c r="B419" t="s">
        <v>234</v>
      </c>
      <c r="C419" t="s">
        <v>51</v>
      </c>
      <c r="D419" t="s">
        <v>20</v>
      </c>
      <c r="E419" t="s">
        <v>21</v>
      </c>
      <c r="F419" t="s">
        <v>40</v>
      </c>
      <c r="G419" t="s">
        <v>61</v>
      </c>
      <c r="H419" t="s">
        <v>119</v>
      </c>
      <c r="I419">
        <v>4.4999999999999998E-2</v>
      </c>
      <c r="J419">
        <f t="shared" si="18"/>
        <v>36</v>
      </c>
      <c r="K419">
        <v>4</v>
      </c>
      <c r="L419">
        <f t="shared" si="19"/>
        <v>32</v>
      </c>
      <c r="M419" s="4">
        <f t="shared" si="20"/>
        <v>0.04</v>
      </c>
      <c r="N419">
        <v>800</v>
      </c>
      <c r="O419">
        <v>800</v>
      </c>
      <c r="P419" t="s">
        <v>283</v>
      </c>
      <c r="Q419" t="s">
        <v>284</v>
      </c>
      <c r="R419" t="str">
        <f>IF(COUNTIF(Sheet2!B:B, A419) &gt; 0, "Yes", "No")</f>
        <v>No</v>
      </c>
    </row>
    <row r="420" spans="1:18" x14ac:dyDescent="0.25">
      <c r="A420" s="3">
        <v>45105</v>
      </c>
      <c r="B420" t="s">
        <v>234</v>
      </c>
      <c r="C420" t="s">
        <v>51</v>
      </c>
      <c r="D420" t="s">
        <v>20</v>
      </c>
      <c r="E420" t="s">
        <v>21</v>
      </c>
      <c r="F420" t="s">
        <v>43</v>
      </c>
      <c r="G420" t="s">
        <v>75</v>
      </c>
      <c r="H420" t="s">
        <v>120</v>
      </c>
      <c r="I420">
        <v>0.11</v>
      </c>
      <c r="J420">
        <f t="shared" si="18"/>
        <v>88</v>
      </c>
      <c r="K420">
        <v>6</v>
      </c>
      <c r="L420">
        <f t="shared" si="19"/>
        <v>82</v>
      </c>
      <c r="M420" s="4">
        <f t="shared" si="20"/>
        <v>0.10249999999999999</v>
      </c>
      <c r="N420">
        <v>800</v>
      </c>
      <c r="O420">
        <v>800</v>
      </c>
      <c r="P420" t="s">
        <v>283</v>
      </c>
      <c r="Q420" t="s">
        <v>284</v>
      </c>
      <c r="R420" t="str">
        <f>IF(COUNTIF(Sheet2!B:B, A420) &gt; 0, "Yes", "No")</f>
        <v>No</v>
      </c>
    </row>
    <row r="421" spans="1:18" x14ac:dyDescent="0.25">
      <c r="A421" s="3">
        <v>45105</v>
      </c>
      <c r="B421" t="s">
        <v>234</v>
      </c>
      <c r="C421" t="s">
        <v>51</v>
      </c>
      <c r="D421" t="s">
        <v>20</v>
      </c>
      <c r="E421" t="s">
        <v>21</v>
      </c>
      <c r="F421" t="s">
        <v>46</v>
      </c>
      <c r="G421" t="s">
        <v>47</v>
      </c>
      <c r="H421" t="s">
        <v>141</v>
      </c>
      <c r="I421">
        <v>8.5000000000000006E-2</v>
      </c>
      <c r="J421">
        <f t="shared" si="18"/>
        <v>68</v>
      </c>
      <c r="K421">
        <v>6</v>
      </c>
      <c r="L421">
        <f t="shared" si="19"/>
        <v>62</v>
      </c>
      <c r="M421" s="4">
        <f t="shared" si="20"/>
        <v>7.7499999999999999E-2</v>
      </c>
      <c r="N421">
        <v>800</v>
      </c>
      <c r="O421">
        <v>800</v>
      </c>
      <c r="P421" t="s">
        <v>283</v>
      </c>
      <c r="Q421" t="s">
        <v>284</v>
      </c>
      <c r="R421" t="str">
        <f>IF(COUNTIF(Sheet2!B:B, A421) &gt; 0, "Yes", "No")</f>
        <v>No</v>
      </c>
    </row>
    <row r="422" spans="1:18" x14ac:dyDescent="0.25">
      <c r="A422" s="3">
        <v>45105</v>
      </c>
      <c r="B422" t="s">
        <v>234</v>
      </c>
      <c r="C422" t="s">
        <v>51</v>
      </c>
      <c r="D422" t="s">
        <v>20</v>
      </c>
      <c r="E422" t="s">
        <v>21</v>
      </c>
      <c r="F422" t="s">
        <v>49</v>
      </c>
      <c r="G422" t="s">
        <v>50</v>
      </c>
      <c r="H422" t="s">
        <v>49</v>
      </c>
      <c r="I422">
        <v>0.09</v>
      </c>
      <c r="J422">
        <f t="shared" si="18"/>
        <v>72</v>
      </c>
      <c r="K422">
        <v>4</v>
      </c>
      <c r="L422">
        <f t="shared" si="19"/>
        <v>68</v>
      </c>
      <c r="M422" s="4">
        <f t="shared" si="20"/>
        <v>8.5000000000000006E-2</v>
      </c>
      <c r="N422">
        <v>800</v>
      </c>
      <c r="O422">
        <v>800</v>
      </c>
      <c r="P422" t="s">
        <v>283</v>
      </c>
      <c r="Q422" t="s">
        <v>284</v>
      </c>
      <c r="R422" t="str">
        <f>IF(COUNTIF(Sheet2!B:B, A422) &gt; 0, "Yes", "No")</f>
        <v>No</v>
      </c>
    </row>
    <row r="423" spans="1:18" x14ac:dyDescent="0.25">
      <c r="A423" s="3">
        <v>45110</v>
      </c>
      <c r="B423" t="s">
        <v>285</v>
      </c>
      <c r="C423" t="s">
        <v>19</v>
      </c>
      <c r="D423" t="s">
        <v>20</v>
      </c>
      <c r="E423" t="s">
        <v>21</v>
      </c>
      <c r="F423" t="s">
        <v>22</v>
      </c>
      <c r="G423" t="s">
        <v>23</v>
      </c>
      <c r="H423" t="s">
        <v>24</v>
      </c>
      <c r="I423">
        <v>8.5000000000000006E-2</v>
      </c>
      <c r="J423">
        <f t="shared" si="18"/>
        <v>59.500000000000007</v>
      </c>
      <c r="K423">
        <v>3</v>
      </c>
      <c r="L423">
        <f t="shared" si="19"/>
        <v>56.500000000000007</v>
      </c>
      <c r="M423" s="4">
        <f t="shared" si="20"/>
        <v>8.0714285714285725E-2</v>
      </c>
      <c r="N423">
        <v>700</v>
      </c>
      <c r="O423">
        <v>700</v>
      </c>
      <c r="P423" t="s">
        <v>25</v>
      </c>
      <c r="Q423" t="s">
        <v>26</v>
      </c>
      <c r="R423" t="str">
        <f>IF(COUNTIF(Sheet2!B:B, A423) &gt; 0, "Yes", "No")</f>
        <v>No</v>
      </c>
    </row>
    <row r="424" spans="1:18" x14ac:dyDescent="0.25">
      <c r="A424" s="3">
        <v>45110</v>
      </c>
      <c r="B424" t="s">
        <v>285</v>
      </c>
      <c r="C424" t="s">
        <v>19</v>
      </c>
      <c r="D424" t="s">
        <v>20</v>
      </c>
      <c r="E424" t="s">
        <v>21</v>
      </c>
      <c r="F424" t="s">
        <v>27</v>
      </c>
      <c r="G424" t="s">
        <v>28</v>
      </c>
      <c r="H424" t="s">
        <v>286</v>
      </c>
      <c r="I424">
        <v>0.11</v>
      </c>
      <c r="J424">
        <f t="shared" si="18"/>
        <v>77</v>
      </c>
      <c r="K424">
        <v>7.5</v>
      </c>
      <c r="L424">
        <f t="shared" si="19"/>
        <v>69.5</v>
      </c>
      <c r="M424" s="4">
        <f t="shared" si="20"/>
        <v>9.9285714285714283E-2</v>
      </c>
      <c r="N424">
        <v>700</v>
      </c>
      <c r="O424">
        <v>700</v>
      </c>
      <c r="P424" t="s">
        <v>25</v>
      </c>
      <c r="Q424" t="s">
        <v>26</v>
      </c>
      <c r="R424" t="str">
        <f>IF(COUNTIF(Sheet2!B:B, A424) &gt; 0, "Yes", "No")</f>
        <v>No</v>
      </c>
    </row>
    <row r="425" spans="1:18" x14ac:dyDescent="0.25">
      <c r="A425" s="3">
        <v>45110</v>
      </c>
      <c r="B425" t="s">
        <v>285</v>
      </c>
      <c r="C425" t="s">
        <v>19</v>
      </c>
      <c r="D425" t="s">
        <v>20</v>
      </c>
      <c r="E425" t="s">
        <v>21</v>
      </c>
      <c r="F425" t="s">
        <v>30</v>
      </c>
      <c r="G425" t="s">
        <v>55</v>
      </c>
      <c r="H425" t="s">
        <v>97</v>
      </c>
      <c r="I425">
        <v>0.09</v>
      </c>
      <c r="J425">
        <f t="shared" si="18"/>
        <v>63</v>
      </c>
      <c r="K425">
        <v>2</v>
      </c>
      <c r="L425">
        <f t="shared" si="19"/>
        <v>61</v>
      </c>
      <c r="M425" s="4">
        <f t="shared" si="20"/>
        <v>8.7142857142857147E-2</v>
      </c>
      <c r="N425">
        <v>700</v>
      </c>
      <c r="O425">
        <v>700</v>
      </c>
      <c r="P425" t="s">
        <v>25</v>
      </c>
      <c r="Q425" t="s">
        <v>26</v>
      </c>
      <c r="R425" t="str">
        <f>IF(COUNTIF(Sheet2!B:B, A425) &gt; 0, "Yes", "No")</f>
        <v>No</v>
      </c>
    </row>
    <row r="426" spans="1:18" x14ac:dyDescent="0.25">
      <c r="A426" s="3">
        <v>45110</v>
      </c>
      <c r="B426" t="s">
        <v>285</v>
      </c>
      <c r="C426" t="s">
        <v>19</v>
      </c>
      <c r="D426" t="s">
        <v>33</v>
      </c>
      <c r="E426" t="s">
        <v>21</v>
      </c>
      <c r="F426" t="s">
        <v>34</v>
      </c>
      <c r="G426" t="s">
        <v>35</v>
      </c>
      <c r="H426" t="s">
        <v>287</v>
      </c>
      <c r="I426">
        <v>0.15</v>
      </c>
      <c r="J426">
        <f t="shared" si="18"/>
        <v>52.5</v>
      </c>
      <c r="K426">
        <v>1</v>
      </c>
      <c r="L426">
        <f t="shared" si="19"/>
        <v>51.5</v>
      </c>
      <c r="M426" s="4">
        <f t="shared" si="20"/>
        <v>0.14714285714285713</v>
      </c>
      <c r="N426">
        <v>350</v>
      </c>
      <c r="O426">
        <v>350</v>
      </c>
      <c r="P426" t="s">
        <v>25</v>
      </c>
      <c r="Q426" t="s">
        <v>26</v>
      </c>
      <c r="R426" t="str">
        <f>IF(COUNTIF(Sheet2!B:B, A426) &gt; 0, "Yes", "No")</f>
        <v>No</v>
      </c>
    </row>
    <row r="427" spans="1:18" x14ac:dyDescent="0.25">
      <c r="A427" s="3">
        <v>45110</v>
      </c>
      <c r="B427" t="s">
        <v>285</v>
      </c>
      <c r="C427" t="s">
        <v>19</v>
      </c>
      <c r="D427" t="s">
        <v>20</v>
      </c>
      <c r="E427" t="s">
        <v>21</v>
      </c>
      <c r="F427" t="s">
        <v>37</v>
      </c>
      <c r="G427" t="s">
        <v>87</v>
      </c>
      <c r="H427" t="s">
        <v>88</v>
      </c>
      <c r="I427">
        <v>0.03</v>
      </c>
      <c r="J427">
        <f t="shared" si="18"/>
        <v>21</v>
      </c>
      <c r="K427">
        <v>3</v>
      </c>
      <c r="L427">
        <f t="shared" si="19"/>
        <v>18</v>
      </c>
      <c r="M427" s="4">
        <f t="shared" si="20"/>
        <v>2.5714285714285714E-2</v>
      </c>
      <c r="N427">
        <v>700</v>
      </c>
      <c r="O427">
        <v>700</v>
      </c>
      <c r="P427" t="s">
        <v>25</v>
      </c>
      <c r="Q427" t="s">
        <v>26</v>
      </c>
      <c r="R427" t="str">
        <f>IF(COUNTIF(Sheet2!B:B, A427) &gt; 0, "Yes", "No")</f>
        <v>No</v>
      </c>
    </row>
    <row r="428" spans="1:18" x14ac:dyDescent="0.25">
      <c r="A428" s="3">
        <v>45110</v>
      </c>
      <c r="B428" t="s">
        <v>285</v>
      </c>
      <c r="C428" t="s">
        <v>19</v>
      </c>
      <c r="D428" t="s">
        <v>20</v>
      </c>
      <c r="E428" t="s">
        <v>21</v>
      </c>
      <c r="F428" t="s">
        <v>40</v>
      </c>
      <c r="G428" t="s">
        <v>41</v>
      </c>
      <c r="H428" t="s">
        <v>42</v>
      </c>
      <c r="I428">
        <v>4.4999999999999998E-2</v>
      </c>
      <c r="J428">
        <f t="shared" si="18"/>
        <v>31.5</v>
      </c>
      <c r="K428">
        <v>3</v>
      </c>
      <c r="L428">
        <f t="shared" si="19"/>
        <v>28.5</v>
      </c>
      <c r="M428" s="4">
        <f t="shared" si="20"/>
        <v>4.0714285714285717E-2</v>
      </c>
      <c r="N428">
        <v>700</v>
      </c>
      <c r="O428">
        <v>700</v>
      </c>
      <c r="P428" t="s">
        <v>25</v>
      </c>
      <c r="Q428" t="s">
        <v>26</v>
      </c>
      <c r="R428" t="str">
        <f>IF(COUNTIF(Sheet2!B:B, A428) &gt; 0, "Yes", "No")</f>
        <v>No</v>
      </c>
    </row>
    <row r="429" spans="1:18" x14ac:dyDescent="0.25">
      <c r="A429" s="3">
        <v>45110</v>
      </c>
      <c r="B429" t="s">
        <v>285</v>
      </c>
      <c r="C429" t="s">
        <v>19</v>
      </c>
      <c r="D429" t="s">
        <v>20</v>
      </c>
      <c r="E429" t="s">
        <v>21</v>
      </c>
      <c r="F429" t="s">
        <v>43</v>
      </c>
      <c r="G429" t="s">
        <v>288</v>
      </c>
      <c r="H429" t="s">
        <v>289</v>
      </c>
      <c r="I429">
        <v>0.11</v>
      </c>
      <c r="J429">
        <f t="shared" si="18"/>
        <v>77</v>
      </c>
      <c r="K429">
        <v>5</v>
      </c>
      <c r="L429">
        <f t="shared" si="19"/>
        <v>72</v>
      </c>
      <c r="M429" s="4">
        <f t="shared" si="20"/>
        <v>0.10285714285714286</v>
      </c>
      <c r="N429">
        <v>700</v>
      </c>
      <c r="O429">
        <v>700</v>
      </c>
      <c r="P429" t="s">
        <v>25</v>
      </c>
      <c r="Q429" t="s">
        <v>26</v>
      </c>
      <c r="R429" t="str">
        <f>IF(COUNTIF(Sheet2!B:B, A429) &gt; 0, "Yes", "No")</f>
        <v>No</v>
      </c>
    </row>
    <row r="430" spans="1:18" x14ac:dyDescent="0.25">
      <c r="A430" s="3">
        <v>45110</v>
      </c>
      <c r="B430" t="s">
        <v>285</v>
      </c>
      <c r="C430" t="s">
        <v>19</v>
      </c>
      <c r="D430" t="s">
        <v>20</v>
      </c>
      <c r="E430" t="s">
        <v>21</v>
      </c>
      <c r="F430" t="s">
        <v>46</v>
      </c>
      <c r="G430" t="s">
        <v>92</v>
      </c>
      <c r="H430" t="s">
        <v>290</v>
      </c>
      <c r="I430">
        <v>8.5000000000000006E-2</v>
      </c>
      <c r="J430">
        <f t="shared" si="18"/>
        <v>59.500000000000007</v>
      </c>
      <c r="K430">
        <v>2</v>
      </c>
      <c r="L430">
        <f t="shared" si="19"/>
        <v>57.500000000000007</v>
      </c>
      <c r="M430" s="4">
        <f t="shared" si="20"/>
        <v>8.2142857142857156E-2</v>
      </c>
      <c r="N430">
        <v>700</v>
      </c>
      <c r="O430">
        <v>700</v>
      </c>
      <c r="P430" t="s">
        <v>25</v>
      </c>
      <c r="Q430" t="s">
        <v>26</v>
      </c>
      <c r="R430" t="str">
        <f>IF(COUNTIF(Sheet2!B:B, A430) &gt; 0, "Yes", "No")</f>
        <v>No</v>
      </c>
    </row>
    <row r="431" spans="1:18" x14ac:dyDescent="0.25">
      <c r="A431" s="3">
        <v>45110</v>
      </c>
      <c r="B431" t="s">
        <v>285</v>
      </c>
      <c r="C431" t="s">
        <v>19</v>
      </c>
      <c r="D431" t="s">
        <v>20</v>
      </c>
      <c r="E431" t="s">
        <v>21</v>
      </c>
      <c r="F431" t="s">
        <v>49</v>
      </c>
      <c r="G431" t="s">
        <v>50</v>
      </c>
      <c r="H431" t="s">
        <v>49</v>
      </c>
      <c r="I431">
        <v>0.09</v>
      </c>
      <c r="J431">
        <f t="shared" si="18"/>
        <v>63</v>
      </c>
      <c r="K431">
        <v>0.5</v>
      </c>
      <c r="L431">
        <f t="shared" si="19"/>
        <v>62.5</v>
      </c>
      <c r="M431" s="4">
        <f t="shared" si="20"/>
        <v>8.9285714285714288E-2</v>
      </c>
      <c r="N431">
        <v>700</v>
      </c>
      <c r="O431">
        <v>700</v>
      </c>
      <c r="P431" t="s">
        <v>25</v>
      </c>
      <c r="Q431" t="s">
        <v>26</v>
      </c>
      <c r="R431" t="str">
        <f>IF(COUNTIF(Sheet2!B:B, A431) &gt; 0, "Yes", "No")</f>
        <v>No</v>
      </c>
    </row>
    <row r="432" spans="1:18" x14ac:dyDescent="0.25">
      <c r="A432" s="3">
        <v>45111</v>
      </c>
      <c r="B432" t="s">
        <v>285</v>
      </c>
      <c r="C432" t="s">
        <v>105</v>
      </c>
      <c r="D432" t="s">
        <v>20</v>
      </c>
      <c r="E432" t="s">
        <v>67</v>
      </c>
      <c r="F432" t="s">
        <v>22</v>
      </c>
      <c r="G432" t="s">
        <v>94</v>
      </c>
      <c r="H432" t="s">
        <v>143</v>
      </c>
      <c r="I432">
        <v>8.5000000000000006E-2</v>
      </c>
      <c r="J432">
        <f t="shared" si="18"/>
        <v>59.500000000000007</v>
      </c>
      <c r="K432">
        <v>0</v>
      </c>
      <c r="L432">
        <f t="shared" si="19"/>
        <v>59.500000000000007</v>
      </c>
      <c r="M432" s="4">
        <f t="shared" si="20"/>
        <v>8.5000000000000006E-2</v>
      </c>
      <c r="N432">
        <v>700</v>
      </c>
      <c r="O432">
        <v>700</v>
      </c>
      <c r="P432" t="s">
        <v>25</v>
      </c>
      <c r="Q432" t="s">
        <v>26</v>
      </c>
      <c r="R432" t="str">
        <f>IF(COUNTIF(Sheet2!B:B, A432) &gt; 0, "Yes", "No")</f>
        <v>No</v>
      </c>
    </row>
    <row r="433" spans="1:18" x14ac:dyDescent="0.25">
      <c r="A433" s="3">
        <v>45111</v>
      </c>
      <c r="B433" t="s">
        <v>285</v>
      </c>
      <c r="C433" t="s">
        <v>105</v>
      </c>
      <c r="D433" t="s">
        <v>20</v>
      </c>
      <c r="E433" t="s">
        <v>67</v>
      </c>
      <c r="F433" t="s">
        <v>27</v>
      </c>
      <c r="G433" t="s">
        <v>28</v>
      </c>
      <c r="H433" t="s">
        <v>291</v>
      </c>
      <c r="I433">
        <v>0.11</v>
      </c>
      <c r="J433">
        <f t="shared" si="18"/>
        <v>77</v>
      </c>
      <c r="K433">
        <v>1</v>
      </c>
      <c r="L433">
        <f t="shared" si="19"/>
        <v>76</v>
      </c>
      <c r="M433" s="4">
        <f t="shared" si="20"/>
        <v>0.10857142857142857</v>
      </c>
      <c r="N433">
        <v>700</v>
      </c>
      <c r="O433">
        <v>700</v>
      </c>
      <c r="P433" t="s">
        <v>25</v>
      </c>
      <c r="Q433" t="s">
        <v>26</v>
      </c>
      <c r="R433" t="str">
        <f>IF(COUNTIF(Sheet2!B:B, A433) &gt; 0, "Yes", "No")</f>
        <v>No</v>
      </c>
    </row>
    <row r="434" spans="1:18" x14ac:dyDescent="0.25">
      <c r="A434" s="3">
        <v>45111</v>
      </c>
      <c r="B434" t="s">
        <v>285</v>
      </c>
      <c r="C434" t="s">
        <v>105</v>
      </c>
      <c r="D434" t="s">
        <v>20</v>
      </c>
      <c r="E434" t="s">
        <v>67</v>
      </c>
      <c r="F434" t="s">
        <v>30</v>
      </c>
      <c r="G434" t="s">
        <v>55</v>
      </c>
      <c r="H434" t="s">
        <v>183</v>
      </c>
      <c r="I434">
        <v>0.09</v>
      </c>
      <c r="J434">
        <f t="shared" si="18"/>
        <v>63</v>
      </c>
      <c r="K434">
        <v>0</v>
      </c>
      <c r="L434">
        <f t="shared" si="19"/>
        <v>63</v>
      </c>
      <c r="M434" s="4">
        <f t="shared" si="20"/>
        <v>0.09</v>
      </c>
      <c r="N434">
        <v>700</v>
      </c>
      <c r="O434">
        <v>700</v>
      </c>
      <c r="P434" t="s">
        <v>25</v>
      </c>
      <c r="Q434" t="s">
        <v>26</v>
      </c>
      <c r="R434" t="str">
        <f>IF(COUNTIF(Sheet2!B:B, A434) &gt; 0, "Yes", "No")</f>
        <v>No</v>
      </c>
    </row>
    <row r="435" spans="1:18" x14ac:dyDescent="0.25">
      <c r="A435" s="3">
        <v>45111</v>
      </c>
      <c r="B435" t="s">
        <v>285</v>
      </c>
      <c r="C435" t="s">
        <v>105</v>
      </c>
      <c r="D435" t="s">
        <v>20</v>
      </c>
      <c r="E435" t="s">
        <v>67</v>
      </c>
      <c r="F435" t="s">
        <v>37</v>
      </c>
      <c r="G435" t="s">
        <v>108</v>
      </c>
      <c r="H435" t="s">
        <v>269</v>
      </c>
      <c r="I435">
        <v>3.5000000000000003E-2</v>
      </c>
      <c r="J435">
        <f t="shared" si="18"/>
        <v>24.500000000000004</v>
      </c>
      <c r="K435">
        <v>0</v>
      </c>
      <c r="L435">
        <f t="shared" si="19"/>
        <v>24.500000000000004</v>
      </c>
      <c r="M435" s="4">
        <f t="shared" si="20"/>
        <v>3.5000000000000003E-2</v>
      </c>
      <c r="N435">
        <v>700</v>
      </c>
      <c r="O435">
        <v>700</v>
      </c>
      <c r="P435" t="s">
        <v>25</v>
      </c>
      <c r="Q435" t="s">
        <v>26</v>
      </c>
      <c r="R435" t="str">
        <f>IF(COUNTIF(Sheet2!B:B, A435) &gt; 0, "Yes", "No")</f>
        <v>No</v>
      </c>
    </row>
    <row r="436" spans="1:18" x14ac:dyDescent="0.25">
      <c r="A436" s="3">
        <v>45111</v>
      </c>
      <c r="B436" t="s">
        <v>285</v>
      </c>
      <c r="C436" t="s">
        <v>105</v>
      </c>
      <c r="D436" t="s">
        <v>20</v>
      </c>
      <c r="E436" t="s">
        <v>67</v>
      </c>
      <c r="F436" t="s">
        <v>40</v>
      </c>
      <c r="G436" t="s">
        <v>164</v>
      </c>
      <c r="H436" t="s">
        <v>202</v>
      </c>
      <c r="I436">
        <v>0.05</v>
      </c>
      <c r="J436">
        <f t="shared" si="18"/>
        <v>35</v>
      </c>
      <c r="K436">
        <v>0</v>
      </c>
      <c r="L436">
        <f t="shared" si="19"/>
        <v>35</v>
      </c>
      <c r="M436" s="4">
        <f t="shared" si="20"/>
        <v>0.05</v>
      </c>
      <c r="N436">
        <v>700</v>
      </c>
      <c r="O436">
        <v>700</v>
      </c>
      <c r="P436" t="s">
        <v>25</v>
      </c>
      <c r="Q436" t="s">
        <v>26</v>
      </c>
      <c r="R436" t="str">
        <f>IF(COUNTIF(Sheet2!B:B, A436) &gt; 0, "Yes", "No")</f>
        <v>No</v>
      </c>
    </row>
    <row r="437" spans="1:18" x14ac:dyDescent="0.25">
      <c r="A437" s="3">
        <v>45111</v>
      </c>
      <c r="B437" t="s">
        <v>285</v>
      </c>
      <c r="C437" t="s">
        <v>105</v>
      </c>
      <c r="D437" t="s">
        <v>20</v>
      </c>
      <c r="E437" t="s">
        <v>67</v>
      </c>
      <c r="F437" t="s">
        <v>43</v>
      </c>
      <c r="G437" t="s">
        <v>90</v>
      </c>
      <c r="H437" t="s">
        <v>174</v>
      </c>
      <c r="I437">
        <v>0.11</v>
      </c>
      <c r="J437">
        <f t="shared" si="18"/>
        <v>77</v>
      </c>
      <c r="K437">
        <v>3</v>
      </c>
      <c r="L437">
        <f t="shared" si="19"/>
        <v>74</v>
      </c>
      <c r="M437" s="4">
        <f t="shared" si="20"/>
        <v>0.10571428571428572</v>
      </c>
      <c r="N437">
        <v>700</v>
      </c>
      <c r="O437">
        <v>700</v>
      </c>
      <c r="P437" t="s">
        <v>25</v>
      </c>
      <c r="Q437" t="s">
        <v>26</v>
      </c>
      <c r="R437" t="str">
        <f>IF(COUNTIF(Sheet2!B:B, A437) &gt; 0, "Yes", "No")</f>
        <v>No</v>
      </c>
    </row>
    <row r="438" spans="1:18" x14ac:dyDescent="0.25">
      <c r="A438" s="3">
        <v>45111</v>
      </c>
      <c r="B438" t="s">
        <v>285</v>
      </c>
      <c r="C438" t="s">
        <v>105</v>
      </c>
      <c r="D438" t="s">
        <v>20</v>
      </c>
      <c r="E438" t="s">
        <v>67</v>
      </c>
      <c r="F438" t="s">
        <v>46</v>
      </c>
      <c r="G438" t="s">
        <v>130</v>
      </c>
      <c r="H438" t="s">
        <v>242</v>
      </c>
      <c r="I438">
        <v>8.5000000000000006E-2</v>
      </c>
      <c r="J438">
        <f t="shared" si="18"/>
        <v>59.500000000000007</v>
      </c>
      <c r="K438">
        <v>0</v>
      </c>
      <c r="L438">
        <f t="shared" si="19"/>
        <v>59.500000000000007</v>
      </c>
      <c r="M438" s="4">
        <f t="shared" si="20"/>
        <v>8.5000000000000006E-2</v>
      </c>
      <c r="N438">
        <v>700</v>
      </c>
      <c r="O438">
        <v>700</v>
      </c>
      <c r="P438" t="s">
        <v>25</v>
      </c>
      <c r="Q438" t="s">
        <v>26</v>
      </c>
      <c r="R438" t="str">
        <f>IF(COUNTIF(Sheet2!B:B, A438) &gt; 0, "Yes", "No")</f>
        <v>No</v>
      </c>
    </row>
    <row r="439" spans="1:18" x14ac:dyDescent="0.25">
      <c r="A439" s="3">
        <v>45111</v>
      </c>
      <c r="B439" t="s">
        <v>285</v>
      </c>
      <c r="C439" t="s">
        <v>105</v>
      </c>
      <c r="D439" t="s">
        <v>20</v>
      </c>
      <c r="E439" t="s">
        <v>67</v>
      </c>
      <c r="F439" t="s">
        <v>49</v>
      </c>
      <c r="G439" t="s">
        <v>50</v>
      </c>
      <c r="H439" t="s">
        <v>49</v>
      </c>
      <c r="I439">
        <v>0.09</v>
      </c>
      <c r="J439">
        <f t="shared" si="18"/>
        <v>63</v>
      </c>
      <c r="K439">
        <v>0</v>
      </c>
      <c r="L439">
        <f t="shared" si="19"/>
        <v>63</v>
      </c>
      <c r="M439" s="4">
        <f t="shared" si="20"/>
        <v>0.09</v>
      </c>
      <c r="N439">
        <v>700</v>
      </c>
      <c r="O439">
        <v>700</v>
      </c>
      <c r="P439" t="s">
        <v>25</v>
      </c>
      <c r="Q439" t="s">
        <v>26</v>
      </c>
      <c r="R439" t="str">
        <f>IF(COUNTIF(Sheet2!B:B, A439) &gt; 0, "Yes", "No")</f>
        <v>No</v>
      </c>
    </row>
    <row r="440" spans="1:18" x14ac:dyDescent="0.25">
      <c r="A440" s="3">
        <v>45112</v>
      </c>
      <c r="B440" t="s">
        <v>285</v>
      </c>
      <c r="C440" t="s">
        <v>51</v>
      </c>
      <c r="D440" t="s">
        <v>20</v>
      </c>
      <c r="E440" t="s">
        <v>21</v>
      </c>
      <c r="F440" t="s">
        <v>22</v>
      </c>
      <c r="G440" t="s">
        <v>94</v>
      </c>
      <c r="H440" t="s">
        <v>199</v>
      </c>
      <c r="I440">
        <v>8.5000000000000006E-2</v>
      </c>
      <c r="J440">
        <f t="shared" si="18"/>
        <v>65.45</v>
      </c>
      <c r="K440">
        <v>0</v>
      </c>
      <c r="L440">
        <f t="shared" si="19"/>
        <v>65.45</v>
      </c>
      <c r="M440" s="4">
        <f t="shared" si="20"/>
        <v>8.5000000000000006E-2</v>
      </c>
      <c r="N440">
        <v>770</v>
      </c>
      <c r="O440">
        <v>770</v>
      </c>
      <c r="P440" t="s">
        <v>25</v>
      </c>
      <c r="Q440" t="s">
        <v>26</v>
      </c>
      <c r="R440" t="str">
        <f>IF(COUNTIF(Sheet2!B:B, A440) &gt; 0, "Yes", "No")</f>
        <v>No</v>
      </c>
    </row>
    <row r="441" spans="1:18" x14ac:dyDescent="0.25">
      <c r="A441" s="3">
        <v>45112</v>
      </c>
      <c r="B441" t="s">
        <v>285</v>
      </c>
      <c r="C441" t="s">
        <v>51</v>
      </c>
      <c r="D441" t="s">
        <v>20</v>
      </c>
      <c r="E441" t="s">
        <v>21</v>
      </c>
      <c r="F441" t="s">
        <v>27</v>
      </c>
      <c r="G441" t="s">
        <v>28</v>
      </c>
      <c r="H441" t="s">
        <v>156</v>
      </c>
      <c r="I441">
        <v>0.11</v>
      </c>
      <c r="J441">
        <f t="shared" si="18"/>
        <v>84.7</v>
      </c>
      <c r="K441">
        <v>8</v>
      </c>
      <c r="L441">
        <f t="shared" si="19"/>
        <v>76.7</v>
      </c>
      <c r="M441" s="4">
        <f t="shared" si="20"/>
        <v>9.9610389610389607E-2</v>
      </c>
      <c r="N441">
        <v>770</v>
      </c>
      <c r="O441">
        <v>770</v>
      </c>
      <c r="P441" t="s">
        <v>25</v>
      </c>
      <c r="Q441" t="s">
        <v>26</v>
      </c>
      <c r="R441" t="str">
        <f>IF(COUNTIF(Sheet2!B:B, A441) &gt; 0, "Yes", "No")</f>
        <v>No</v>
      </c>
    </row>
    <row r="442" spans="1:18" x14ac:dyDescent="0.25">
      <c r="A442" s="3">
        <v>45112</v>
      </c>
      <c r="B442" t="s">
        <v>285</v>
      </c>
      <c r="C442" t="s">
        <v>51</v>
      </c>
      <c r="D442" t="s">
        <v>20</v>
      </c>
      <c r="E442" t="s">
        <v>21</v>
      </c>
      <c r="F442" t="s">
        <v>30</v>
      </c>
      <c r="G442" t="s">
        <v>55</v>
      </c>
      <c r="H442" t="s">
        <v>125</v>
      </c>
      <c r="I442">
        <v>0.09</v>
      </c>
      <c r="J442">
        <f t="shared" si="18"/>
        <v>69.3</v>
      </c>
      <c r="K442">
        <v>2</v>
      </c>
      <c r="L442">
        <f t="shared" si="19"/>
        <v>67.3</v>
      </c>
      <c r="M442" s="4">
        <f t="shared" si="20"/>
        <v>8.7402597402597398E-2</v>
      </c>
      <c r="N442">
        <v>770</v>
      </c>
      <c r="O442">
        <v>770</v>
      </c>
      <c r="P442" t="s">
        <v>25</v>
      </c>
      <c r="Q442" t="s">
        <v>26</v>
      </c>
      <c r="R442" t="str">
        <f>IF(COUNTIF(Sheet2!B:B, A442) &gt; 0, "Yes", "No")</f>
        <v>No</v>
      </c>
    </row>
    <row r="443" spans="1:18" x14ac:dyDescent="0.25">
      <c r="A443" s="3">
        <v>45112</v>
      </c>
      <c r="B443" t="s">
        <v>285</v>
      </c>
      <c r="C443" t="s">
        <v>51</v>
      </c>
      <c r="D443" t="s">
        <v>33</v>
      </c>
      <c r="E443" t="s">
        <v>21</v>
      </c>
      <c r="F443" t="s">
        <v>34</v>
      </c>
      <c r="G443" t="s">
        <v>35</v>
      </c>
      <c r="H443" t="s">
        <v>292</v>
      </c>
      <c r="I443">
        <v>0.15</v>
      </c>
      <c r="J443">
        <f t="shared" si="18"/>
        <v>57.75</v>
      </c>
      <c r="K443">
        <v>2</v>
      </c>
      <c r="L443">
        <f t="shared" si="19"/>
        <v>55.75</v>
      </c>
      <c r="M443" s="4">
        <f t="shared" si="20"/>
        <v>0.1448051948051948</v>
      </c>
      <c r="N443">
        <v>385</v>
      </c>
      <c r="O443">
        <v>385</v>
      </c>
      <c r="P443" t="s">
        <v>25</v>
      </c>
      <c r="Q443" t="s">
        <v>26</v>
      </c>
      <c r="R443" t="str">
        <f>IF(COUNTIF(Sheet2!B:B, A443) &gt; 0, "Yes", "No")</f>
        <v>No</v>
      </c>
    </row>
    <row r="444" spans="1:18" x14ac:dyDescent="0.25">
      <c r="A444" s="3">
        <v>45112</v>
      </c>
      <c r="B444" t="s">
        <v>285</v>
      </c>
      <c r="C444" t="s">
        <v>51</v>
      </c>
      <c r="D444" t="s">
        <v>20</v>
      </c>
      <c r="E444" t="s">
        <v>21</v>
      </c>
      <c r="F444" t="s">
        <v>37</v>
      </c>
      <c r="G444" t="s">
        <v>71</v>
      </c>
      <c r="H444" t="s">
        <v>151</v>
      </c>
      <c r="I444">
        <v>0.03</v>
      </c>
      <c r="J444">
        <f t="shared" si="18"/>
        <v>23.099999999999998</v>
      </c>
      <c r="K444">
        <v>2</v>
      </c>
      <c r="L444">
        <f t="shared" si="19"/>
        <v>21.099999999999998</v>
      </c>
      <c r="M444" s="4">
        <f t="shared" si="20"/>
        <v>2.7402597402597401E-2</v>
      </c>
      <c r="N444">
        <v>770</v>
      </c>
      <c r="O444">
        <v>770</v>
      </c>
      <c r="P444" t="s">
        <v>25</v>
      </c>
      <c r="Q444" t="s">
        <v>26</v>
      </c>
      <c r="R444" t="str">
        <f>IF(COUNTIF(Sheet2!B:B, A444) &gt; 0, "Yes", "No")</f>
        <v>No</v>
      </c>
    </row>
    <row r="445" spans="1:18" x14ac:dyDescent="0.25">
      <c r="A445" s="3">
        <v>45112</v>
      </c>
      <c r="B445" t="s">
        <v>285</v>
      </c>
      <c r="C445" t="s">
        <v>51</v>
      </c>
      <c r="D445" t="s">
        <v>20</v>
      </c>
      <c r="E445" t="s">
        <v>21</v>
      </c>
      <c r="F445" t="s">
        <v>40</v>
      </c>
      <c r="G445" t="s">
        <v>127</v>
      </c>
      <c r="H445" t="s">
        <v>127</v>
      </c>
      <c r="I445">
        <v>4.4999999999999998E-2</v>
      </c>
      <c r="J445">
        <f t="shared" si="18"/>
        <v>34.65</v>
      </c>
      <c r="K445">
        <v>5</v>
      </c>
      <c r="L445">
        <f t="shared" si="19"/>
        <v>29.65</v>
      </c>
      <c r="M445" s="4">
        <f t="shared" si="20"/>
        <v>3.8506493506493503E-2</v>
      </c>
      <c r="N445">
        <v>770</v>
      </c>
      <c r="O445">
        <v>770</v>
      </c>
      <c r="P445" t="s">
        <v>25</v>
      </c>
      <c r="Q445" t="s">
        <v>26</v>
      </c>
      <c r="R445" t="str">
        <f>IF(COUNTIF(Sheet2!B:B, A445) &gt; 0, "Yes", "No")</f>
        <v>No</v>
      </c>
    </row>
    <row r="446" spans="1:18" x14ac:dyDescent="0.25">
      <c r="A446" s="3">
        <v>45112</v>
      </c>
      <c r="B446" t="s">
        <v>285</v>
      </c>
      <c r="C446" t="s">
        <v>51</v>
      </c>
      <c r="D446" t="s">
        <v>20</v>
      </c>
      <c r="E446" t="s">
        <v>21</v>
      </c>
      <c r="F446" t="s">
        <v>43</v>
      </c>
      <c r="G446" t="s">
        <v>44</v>
      </c>
      <c r="H446" t="s">
        <v>293</v>
      </c>
      <c r="I446">
        <v>0.11</v>
      </c>
      <c r="J446">
        <f t="shared" si="18"/>
        <v>84.7</v>
      </c>
      <c r="K446">
        <v>5</v>
      </c>
      <c r="L446">
        <f t="shared" si="19"/>
        <v>79.7</v>
      </c>
      <c r="M446" s="4">
        <f t="shared" si="20"/>
        <v>0.1035064935064935</v>
      </c>
      <c r="N446">
        <v>770</v>
      </c>
      <c r="O446">
        <v>770</v>
      </c>
      <c r="P446" t="s">
        <v>25</v>
      </c>
      <c r="Q446" t="s">
        <v>26</v>
      </c>
      <c r="R446" t="str">
        <f>IF(COUNTIF(Sheet2!B:B, A446) &gt; 0, "Yes", "No")</f>
        <v>No</v>
      </c>
    </row>
    <row r="447" spans="1:18" x14ac:dyDescent="0.25">
      <c r="A447" s="3">
        <v>45112</v>
      </c>
      <c r="B447" t="s">
        <v>285</v>
      </c>
      <c r="C447" t="s">
        <v>51</v>
      </c>
      <c r="D447" t="s">
        <v>20</v>
      </c>
      <c r="E447" t="s">
        <v>21</v>
      </c>
      <c r="F447" t="s">
        <v>46</v>
      </c>
      <c r="G447" t="s">
        <v>47</v>
      </c>
      <c r="H447" t="s">
        <v>65</v>
      </c>
      <c r="I447">
        <v>8.5000000000000006E-2</v>
      </c>
      <c r="J447">
        <f t="shared" si="18"/>
        <v>65.45</v>
      </c>
      <c r="K447">
        <v>6</v>
      </c>
      <c r="L447">
        <f t="shared" si="19"/>
        <v>59.45</v>
      </c>
      <c r="M447" s="4">
        <f t="shared" si="20"/>
        <v>7.7207792207792211E-2</v>
      </c>
      <c r="N447">
        <v>770</v>
      </c>
      <c r="O447">
        <v>770</v>
      </c>
      <c r="P447" t="s">
        <v>25</v>
      </c>
      <c r="Q447" t="s">
        <v>26</v>
      </c>
      <c r="R447" t="str">
        <f>IF(COUNTIF(Sheet2!B:B, A447) &gt; 0, "Yes", "No")</f>
        <v>No</v>
      </c>
    </row>
    <row r="448" spans="1:18" x14ac:dyDescent="0.25">
      <c r="A448" s="3">
        <v>45112</v>
      </c>
      <c r="B448" t="s">
        <v>285</v>
      </c>
      <c r="C448" t="s">
        <v>51</v>
      </c>
      <c r="D448" t="s">
        <v>20</v>
      </c>
      <c r="E448" t="s">
        <v>21</v>
      </c>
      <c r="F448" t="s">
        <v>49</v>
      </c>
      <c r="G448" t="s">
        <v>50</v>
      </c>
      <c r="H448" t="s">
        <v>49</v>
      </c>
      <c r="I448">
        <v>0.09</v>
      </c>
      <c r="J448">
        <f t="shared" si="18"/>
        <v>69.3</v>
      </c>
      <c r="K448">
        <v>0</v>
      </c>
      <c r="L448">
        <f t="shared" si="19"/>
        <v>69.3</v>
      </c>
      <c r="M448" s="4">
        <f t="shared" si="20"/>
        <v>0.09</v>
      </c>
      <c r="N448">
        <v>770</v>
      </c>
      <c r="O448">
        <v>770</v>
      </c>
      <c r="P448" t="s">
        <v>25</v>
      </c>
      <c r="Q448" t="s">
        <v>26</v>
      </c>
      <c r="R448" t="str">
        <f>IF(COUNTIF(Sheet2!B:B, A448) &gt; 0, "Yes", "No")</f>
        <v>No</v>
      </c>
    </row>
    <row r="449" spans="1:18" x14ac:dyDescent="0.25">
      <c r="A449" s="3">
        <v>45113</v>
      </c>
      <c r="B449" t="s">
        <v>285</v>
      </c>
      <c r="C449" t="s">
        <v>66</v>
      </c>
      <c r="D449" t="s">
        <v>20</v>
      </c>
      <c r="E449" t="s">
        <v>67</v>
      </c>
      <c r="F449" t="s">
        <v>22</v>
      </c>
      <c r="G449" t="s">
        <v>94</v>
      </c>
      <c r="H449" t="s">
        <v>294</v>
      </c>
      <c r="I449">
        <v>8.5000000000000006E-2</v>
      </c>
      <c r="J449">
        <f t="shared" si="18"/>
        <v>59.500000000000007</v>
      </c>
      <c r="K449">
        <v>0</v>
      </c>
      <c r="L449">
        <f t="shared" si="19"/>
        <v>59.500000000000007</v>
      </c>
      <c r="M449" s="4">
        <f t="shared" si="20"/>
        <v>8.5000000000000006E-2</v>
      </c>
      <c r="N449">
        <v>700</v>
      </c>
      <c r="O449">
        <v>700</v>
      </c>
      <c r="P449" t="s">
        <v>25</v>
      </c>
      <c r="Q449" t="s">
        <v>26</v>
      </c>
      <c r="R449" t="str">
        <f>IF(COUNTIF(Sheet2!B:B, A449) &gt; 0, "Yes", "No")</f>
        <v>No</v>
      </c>
    </row>
    <row r="450" spans="1:18" x14ac:dyDescent="0.25">
      <c r="A450" s="3">
        <v>45113</v>
      </c>
      <c r="B450" t="s">
        <v>285</v>
      </c>
      <c r="C450" t="s">
        <v>66</v>
      </c>
      <c r="D450" t="s">
        <v>20</v>
      </c>
      <c r="E450" t="s">
        <v>67</v>
      </c>
      <c r="F450" t="s">
        <v>27</v>
      </c>
      <c r="G450" t="s">
        <v>28</v>
      </c>
      <c r="H450" t="s">
        <v>295</v>
      </c>
      <c r="I450">
        <v>0.11</v>
      </c>
      <c r="J450">
        <f t="shared" si="18"/>
        <v>77</v>
      </c>
      <c r="K450">
        <v>2</v>
      </c>
      <c r="L450">
        <f t="shared" si="19"/>
        <v>75</v>
      </c>
      <c r="M450" s="4">
        <f t="shared" si="20"/>
        <v>0.10714285714285714</v>
      </c>
      <c r="N450">
        <v>700</v>
      </c>
      <c r="O450">
        <v>700</v>
      </c>
      <c r="P450" t="s">
        <v>25</v>
      </c>
      <c r="Q450" t="s">
        <v>26</v>
      </c>
      <c r="R450" t="str">
        <f>IF(COUNTIF(Sheet2!B:B, A450) &gt; 0, "Yes", "No")</f>
        <v>No</v>
      </c>
    </row>
    <row r="451" spans="1:18" x14ac:dyDescent="0.25">
      <c r="A451" s="3">
        <v>45113</v>
      </c>
      <c r="B451" t="s">
        <v>285</v>
      </c>
      <c r="C451" t="s">
        <v>66</v>
      </c>
      <c r="D451" t="s">
        <v>20</v>
      </c>
      <c r="E451" t="s">
        <v>67</v>
      </c>
      <c r="F451" t="s">
        <v>30</v>
      </c>
      <c r="G451" t="s">
        <v>31</v>
      </c>
      <c r="H451" t="s">
        <v>70</v>
      </c>
      <c r="I451">
        <v>0.09</v>
      </c>
      <c r="J451">
        <f t="shared" ref="J451:J514" si="21">I451*O451</f>
        <v>63</v>
      </c>
      <c r="K451">
        <v>0</v>
      </c>
      <c r="L451">
        <f t="shared" ref="L451:L514" si="22">J451-K451</f>
        <v>63</v>
      </c>
      <c r="M451" s="4">
        <f t="shared" ref="M451:M514" si="23">((I451*O451)-K451)/N451</f>
        <v>0.09</v>
      </c>
      <c r="N451">
        <v>700</v>
      </c>
      <c r="O451">
        <v>700</v>
      </c>
      <c r="P451" t="s">
        <v>25</v>
      </c>
      <c r="Q451" t="s">
        <v>26</v>
      </c>
      <c r="R451" t="str">
        <f>IF(COUNTIF(Sheet2!B:B, A451) &gt; 0, "Yes", "No")</f>
        <v>No</v>
      </c>
    </row>
    <row r="452" spans="1:18" x14ac:dyDescent="0.25">
      <c r="A452" s="3">
        <v>45113</v>
      </c>
      <c r="B452" t="s">
        <v>285</v>
      </c>
      <c r="C452" t="s">
        <v>66</v>
      </c>
      <c r="D452" t="s">
        <v>20</v>
      </c>
      <c r="E452" t="s">
        <v>67</v>
      </c>
      <c r="F452" t="s">
        <v>37</v>
      </c>
      <c r="G452" t="s">
        <v>87</v>
      </c>
      <c r="H452" t="s">
        <v>136</v>
      </c>
      <c r="I452">
        <v>3.5000000000000003E-2</v>
      </c>
      <c r="J452">
        <f t="shared" si="21"/>
        <v>24.500000000000004</v>
      </c>
      <c r="K452">
        <v>2</v>
      </c>
      <c r="L452">
        <f t="shared" si="22"/>
        <v>22.500000000000004</v>
      </c>
      <c r="M452" s="4">
        <f t="shared" si="23"/>
        <v>3.2142857142857147E-2</v>
      </c>
      <c r="N452">
        <v>700</v>
      </c>
      <c r="O452">
        <v>700</v>
      </c>
      <c r="P452" t="s">
        <v>25</v>
      </c>
      <c r="Q452" t="s">
        <v>26</v>
      </c>
      <c r="R452" t="str">
        <f>IF(COUNTIF(Sheet2!B:B, A452) &gt; 0, "Yes", "No")</f>
        <v>No</v>
      </c>
    </row>
    <row r="453" spans="1:18" x14ac:dyDescent="0.25">
      <c r="A453" s="3">
        <v>45113</v>
      </c>
      <c r="B453" t="s">
        <v>285</v>
      </c>
      <c r="C453" t="s">
        <v>66</v>
      </c>
      <c r="D453" t="s">
        <v>20</v>
      </c>
      <c r="E453" t="s">
        <v>67</v>
      </c>
      <c r="F453" t="s">
        <v>40</v>
      </c>
      <c r="G453" t="s">
        <v>73</v>
      </c>
      <c r="H453" t="s">
        <v>74</v>
      </c>
      <c r="I453">
        <v>0.05</v>
      </c>
      <c r="J453">
        <f t="shared" si="21"/>
        <v>35</v>
      </c>
      <c r="K453">
        <v>3</v>
      </c>
      <c r="L453">
        <f t="shared" si="22"/>
        <v>32</v>
      </c>
      <c r="M453" s="4">
        <f t="shared" si="23"/>
        <v>4.5714285714285714E-2</v>
      </c>
      <c r="N453">
        <v>700</v>
      </c>
      <c r="O453">
        <v>700</v>
      </c>
      <c r="P453" t="s">
        <v>25</v>
      </c>
      <c r="Q453" t="s">
        <v>26</v>
      </c>
      <c r="R453" t="str">
        <f>IF(COUNTIF(Sheet2!B:B, A453) &gt; 0, "Yes", "No")</f>
        <v>No</v>
      </c>
    </row>
    <row r="454" spans="1:18" x14ac:dyDescent="0.25">
      <c r="A454" s="3">
        <v>45113</v>
      </c>
      <c r="B454" t="s">
        <v>285</v>
      </c>
      <c r="C454" t="s">
        <v>66</v>
      </c>
      <c r="D454" t="s">
        <v>20</v>
      </c>
      <c r="E454" t="s">
        <v>67</v>
      </c>
      <c r="F454" t="s">
        <v>43</v>
      </c>
      <c r="G454" t="s">
        <v>159</v>
      </c>
      <c r="H454" t="s">
        <v>160</v>
      </c>
      <c r="I454">
        <v>0.11</v>
      </c>
      <c r="J454">
        <f t="shared" si="21"/>
        <v>77</v>
      </c>
      <c r="K454">
        <v>2</v>
      </c>
      <c r="L454">
        <f t="shared" si="22"/>
        <v>75</v>
      </c>
      <c r="M454" s="4">
        <f t="shared" si="23"/>
        <v>0.10714285714285714</v>
      </c>
      <c r="N454">
        <v>700</v>
      </c>
      <c r="O454">
        <v>700</v>
      </c>
      <c r="P454" t="s">
        <v>25</v>
      </c>
      <c r="Q454" t="s">
        <v>26</v>
      </c>
      <c r="R454" t="str">
        <f>IF(COUNTIF(Sheet2!B:B, A454) &gt; 0, "Yes", "No")</f>
        <v>No</v>
      </c>
    </row>
    <row r="455" spans="1:18" x14ac:dyDescent="0.25">
      <c r="A455" s="3">
        <v>45113</v>
      </c>
      <c r="B455" t="s">
        <v>285</v>
      </c>
      <c r="C455" t="s">
        <v>66</v>
      </c>
      <c r="D455" t="s">
        <v>20</v>
      </c>
      <c r="E455" t="s">
        <v>67</v>
      </c>
      <c r="F455" t="s">
        <v>46</v>
      </c>
      <c r="G455" t="s">
        <v>92</v>
      </c>
      <c r="H455" t="s">
        <v>259</v>
      </c>
      <c r="I455">
        <v>8.5000000000000006E-2</v>
      </c>
      <c r="J455">
        <f t="shared" si="21"/>
        <v>59.500000000000007</v>
      </c>
      <c r="K455">
        <v>3</v>
      </c>
      <c r="L455">
        <f t="shared" si="22"/>
        <v>56.500000000000007</v>
      </c>
      <c r="M455" s="4">
        <f t="shared" si="23"/>
        <v>8.0714285714285725E-2</v>
      </c>
      <c r="N455">
        <v>700</v>
      </c>
      <c r="O455">
        <v>700</v>
      </c>
      <c r="P455" t="s">
        <v>25</v>
      </c>
      <c r="Q455" t="s">
        <v>26</v>
      </c>
      <c r="R455" t="str">
        <f>IF(COUNTIF(Sheet2!B:B, A455) &gt; 0, "Yes", "No")</f>
        <v>No</v>
      </c>
    </row>
    <row r="456" spans="1:18" x14ac:dyDescent="0.25">
      <c r="A456" s="3">
        <v>45113</v>
      </c>
      <c r="B456" t="s">
        <v>285</v>
      </c>
      <c r="C456" t="s">
        <v>66</v>
      </c>
      <c r="D456" t="s">
        <v>20</v>
      </c>
      <c r="E456" t="s">
        <v>67</v>
      </c>
      <c r="F456" t="s">
        <v>49</v>
      </c>
      <c r="G456" t="s">
        <v>50</v>
      </c>
      <c r="H456" t="s">
        <v>49</v>
      </c>
      <c r="I456">
        <v>0.09</v>
      </c>
      <c r="J456">
        <f t="shared" si="21"/>
        <v>63</v>
      </c>
      <c r="K456">
        <v>0</v>
      </c>
      <c r="L456">
        <f t="shared" si="22"/>
        <v>63</v>
      </c>
      <c r="M456" s="4">
        <f t="shared" si="23"/>
        <v>0.09</v>
      </c>
      <c r="N456">
        <v>700</v>
      </c>
      <c r="O456">
        <v>700</v>
      </c>
      <c r="P456" t="s">
        <v>25</v>
      </c>
      <c r="Q456" t="s">
        <v>26</v>
      </c>
      <c r="R456" t="str">
        <f>IF(COUNTIF(Sheet2!B:B, A456) &gt; 0, "Yes", "No")</f>
        <v>No</v>
      </c>
    </row>
    <row r="457" spans="1:18" x14ac:dyDescent="0.25">
      <c r="A457" s="3">
        <v>45114</v>
      </c>
      <c r="B457" t="s">
        <v>285</v>
      </c>
      <c r="C457" t="s">
        <v>79</v>
      </c>
      <c r="D457" t="s">
        <v>20</v>
      </c>
      <c r="E457" t="s">
        <v>21</v>
      </c>
      <c r="F457" t="s">
        <v>22</v>
      </c>
      <c r="G457" t="s">
        <v>122</v>
      </c>
      <c r="H457" t="s">
        <v>296</v>
      </c>
      <c r="I457" s="5">
        <v>0.06</v>
      </c>
      <c r="J457">
        <f t="shared" si="21"/>
        <v>39</v>
      </c>
      <c r="K457">
        <v>2</v>
      </c>
      <c r="L457">
        <f t="shared" si="22"/>
        <v>37</v>
      </c>
      <c r="M457" s="4">
        <f t="shared" si="23"/>
        <v>5.6923076923076923E-2</v>
      </c>
      <c r="N457">
        <v>650</v>
      </c>
      <c r="O457">
        <v>650</v>
      </c>
      <c r="P457" t="s">
        <v>25</v>
      </c>
      <c r="Q457" t="s">
        <v>26</v>
      </c>
      <c r="R457" t="str">
        <f>IF(COUNTIF(Sheet2!B:B, A457) &gt; 0, "Yes", "No")</f>
        <v>Yes</v>
      </c>
    </row>
    <row r="458" spans="1:18" x14ac:dyDescent="0.25">
      <c r="A458" s="3">
        <v>45114</v>
      </c>
      <c r="B458" t="s">
        <v>285</v>
      </c>
      <c r="C458" t="s">
        <v>79</v>
      </c>
      <c r="D458" t="s">
        <v>20</v>
      </c>
      <c r="E458" t="s">
        <v>21</v>
      </c>
      <c r="F458" t="s">
        <v>27</v>
      </c>
      <c r="G458" t="s">
        <v>81</v>
      </c>
      <c r="H458" t="s">
        <v>297</v>
      </c>
      <c r="I458" s="5">
        <v>0.1</v>
      </c>
      <c r="J458">
        <f t="shared" si="21"/>
        <v>65</v>
      </c>
      <c r="K458">
        <v>0</v>
      </c>
      <c r="L458">
        <f t="shared" si="22"/>
        <v>65</v>
      </c>
      <c r="M458" s="4">
        <f t="shared" si="23"/>
        <v>0.1</v>
      </c>
      <c r="N458">
        <v>650</v>
      </c>
      <c r="O458">
        <v>650</v>
      </c>
      <c r="P458" t="s">
        <v>25</v>
      </c>
      <c r="Q458" t="s">
        <v>26</v>
      </c>
      <c r="R458" t="str">
        <f>IF(COUNTIF(Sheet2!B:B, A458) &gt; 0, "Yes", "No")</f>
        <v>Yes</v>
      </c>
    </row>
    <row r="459" spans="1:18" x14ac:dyDescent="0.25">
      <c r="A459" s="3">
        <v>45114</v>
      </c>
      <c r="B459" t="s">
        <v>285</v>
      </c>
      <c r="C459" t="s">
        <v>79</v>
      </c>
      <c r="D459" t="s">
        <v>20</v>
      </c>
      <c r="E459" t="s">
        <v>21</v>
      </c>
      <c r="F459" t="s">
        <v>30</v>
      </c>
      <c r="G459" t="s">
        <v>31</v>
      </c>
      <c r="H459" t="s">
        <v>172</v>
      </c>
      <c r="I459" s="5">
        <v>0.06</v>
      </c>
      <c r="J459">
        <f t="shared" si="21"/>
        <v>39</v>
      </c>
      <c r="K459">
        <v>8</v>
      </c>
      <c r="L459">
        <f t="shared" si="22"/>
        <v>31</v>
      </c>
      <c r="M459" s="4">
        <f t="shared" si="23"/>
        <v>4.7692307692307694E-2</v>
      </c>
      <c r="N459">
        <v>650</v>
      </c>
      <c r="O459">
        <v>650</v>
      </c>
      <c r="P459" t="s">
        <v>25</v>
      </c>
      <c r="Q459" t="s">
        <v>26</v>
      </c>
      <c r="R459" t="str">
        <f>IF(COUNTIF(Sheet2!B:B, A459) &gt; 0, "Yes", "No")</f>
        <v>Yes</v>
      </c>
    </row>
    <row r="460" spans="1:18" x14ac:dyDescent="0.25">
      <c r="A460" s="3">
        <v>45114</v>
      </c>
      <c r="B460" t="s">
        <v>285</v>
      </c>
      <c r="C460" t="s">
        <v>79</v>
      </c>
      <c r="D460" t="s">
        <v>33</v>
      </c>
      <c r="E460" t="s">
        <v>21</v>
      </c>
      <c r="F460" t="s">
        <v>84</v>
      </c>
      <c r="G460" t="s">
        <v>85</v>
      </c>
      <c r="H460" t="s">
        <v>86</v>
      </c>
      <c r="I460" s="5">
        <v>0.3</v>
      </c>
      <c r="J460">
        <f t="shared" si="21"/>
        <v>97.5</v>
      </c>
      <c r="K460">
        <v>0</v>
      </c>
      <c r="L460">
        <f t="shared" si="22"/>
        <v>97.5</v>
      </c>
      <c r="M460" s="4">
        <f t="shared" si="23"/>
        <v>0.3</v>
      </c>
      <c r="N460">
        <v>325</v>
      </c>
      <c r="O460">
        <v>325</v>
      </c>
      <c r="P460" t="s">
        <v>25</v>
      </c>
      <c r="Q460" t="s">
        <v>26</v>
      </c>
      <c r="R460" t="str">
        <f>IF(COUNTIF(Sheet2!B:B, A460) &gt; 0, "Yes", "No")</f>
        <v>Yes</v>
      </c>
    </row>
    <row r="461" spans="1:18" x14ac:dyDescent="0.25">
      <c r="A461" s="3">
        <v>45114</v>
      </c>
      <c r="B461" t="s">
        <v>285</v>
      </c>
      <c r="C461" t="s">
        <v>79</v>
      </c>
      <c r="D461" t="s">
        <v>20</v>
      </c>
      <c r="E461" t="s">
        <v>21</v>
      </c>
      <c r="F461" t="s">
        <v>37</v>
      </c>
      <c r="G461" t="s">
        <v>38</v>
      </c>
      <c r="H461" t="s">
        <v>39</v>
      </c>
      <c r="I461" s="5">
        <v>2.5000000000000001E-2</v>
      </c>
      <c r="J461">
        <f t="shared" si="21"/>
        <v>16.25</v>
      </c>
      <c r="K461">
        <v>3</v>
      </c>
      <c r="L461">
        <f t="shared" si="22"/>
        <v>13.25</v>
      </c>
      <c r="M461" s="4">
        <f t="shared" si="23"/>
        <v>2.0384615384615383E-2</v>
      </c>
      <c r="N461">
        <v>650</v>
      </c>
      <c r="O461">
        <v>650</v>
      </c>
      <c r="P461" t="s">
        <v>25</v>
      </c>
      <c r="Q461" t="s">
        <v>26</v>
      </c>
      <c r="R461" t="str">
        <f>IF(COUNTIF(Sheet2!B:B, A461) &gt; 0, "Yes", "No")</f>
        <v>Yes</v>
      </c>
    </row>
    <row r="462" spans="1:18" x14ac:dyDescent="0.25">
      <c r="A462" s="3">
        <v>45114</v>
      </c>
      <c r="B462" t="s">
        <v>285</v>
      </c>
      <c r="C462" t="s">
        <v>79</v>
      </c>
      <c r="D462" t="s">
        <v>20</v>
      </c>
      <c r="E462" t="s">
        <v>21</v>
      </c>
      <c r="F462" t="s">
        <v>40</v>
      </c>
      <c r="G462" t="s">
        <v>61</v>
      </c>
      <c r="H462" t="s">
        <v>62</v>
      </c>
      <c r="I462" s="5">
        <v>0.04</v>
      </c>
      <c r="J462">
        <f t="shared" si="21"/>
        <v>26</v>
      </c>
      <c r="K462">
        <v>3</v>
      </c>
      <c r="L462">
        <f t="shared" si="22"/>
        <v>23</v>
      </c>
      <c r="M462" s="4">
        <f t="shared" si="23"/>
        <v>3.5384615384615382E-2</v>
      </c>
      <c r="N462">
        <v>650</v>
      </c>
      <c r="O462">
        <v>650</v>
      </c>
      <c r="P462" t="s">
        <v>25</v>
      </c>
      <c r="Q462" t="s">
        <v>26</v>
      </c>
      <c r="R462" t="str">
        <f>IF(COUNTIF(Sheet2!B:B, A462) &gt; 0, "Yes", "No")</f>
        <v>Yes</v>
      </c>
    </row>
    <row r="463" spans="1:18" x14ac:dyDescent="0.25">
      <c r="A463" s="3">
        <v>45114</v>
      </c>
      <c r="B463" t="s">
        <v>285</v>
      </c>
      <c r="C463" t="s">
        <v>79</v>
      </c>
      <c r="D463" t="s">
        <v>20</v>
      </c>
      <c r="E463" t="s">
        <v>21</v>
      </c>
      <c r="F463" t="s">
        <v>43</v>
      </c>
      <c r="G463" t="s">
        <v>90</v>
      </c>
      <c r="H463" t="s">
        <v>239</v>
      </c>
      <c r="I463" s="5">
        <v>7.4999999999999997E-2</v>
      </c>
      <c r="J463">
        <f t="shared" si="21"/>
        <v>48.75</v>
      </c>
      <c r="K463">
        <v>0</v>
      </c>
      <c r="L463">
        <f t="shared" si="22"/>
        <v>48.75</v>
      </c>
      <c r="M463" s="4">
        <f t="shared" si="23"/>
        <v>7.4999999999999997E-2</v>
      </c>
      <c r="N463">
        <v>650</v>
      </c>
      <c r="O463">
        <v>650</v>
      </c>
      <c r="P463" t="s">
        <v>25</v>
      </c>
      <c r="Q463" t="s">
        <v>26</v>
      </c>
      <c r="R463" t="str">
        <f>IF(COUNTIF(Sheet2!B:B, A463) &gt; 0, "Yes", "No")</f>
        <v>Yes</v>
      </c>
    </row>
    <row r="464" spans="1:18" x14ac:dyDescent="0.25">
      <c r="A464" s="3">
        <v>45114</v>
      </c>
      <c r="B464" t="s">
        <v>285</v>
      </c>
      <c r="C464" t="s">
        <v>79</v>
      </c>
      <c r="D464" t="s">
        <v>20</v>
      </c>
      <c r="E464" t="s">
        <v>21</v>
      </c>
      <c r="F464" t="s">
        <v>46</v>
      </c>
      <c r="G464" t="s">
        <v>47</v>
      </c>
      <c r="H464" t="s">
        <v>298</v>
      </c>
      <c r="I464" s="5">
        <v>0.06</v>
      </c>
      <c r="J464">
        <f t="shared" si="21"/>
        <v>39</v>
      </c>
      <c r="K464">
        <v>9</v>
      </c>
      <c r="L464">
        <f t="shared" si="22"/>
        <v>30</v>
      </c>
      <c r="M464" s="4">
        <f t="shared" si="23"/>
        <v>4.6153846153846156E-2</v>
      </c>
      <c r="N464">
        <v>650</v>
      </c>
      <c r="O464">
        <v>650</v>
      </c>
      <c r="P464" t="s">
        <v>25</v>
      </c>
      <c r="Q464" t="s">
        <v>26</v>
      </c>
      <c r="R464" t="str">
        <f>IF(COUNTIF(Sheet2!B:B, A464) &gt; 0, "Yes", "No")</f>
        <v>Yes</v>
      </c>
    </row>
    <row r="465" spans="1:18" x14ac:dyDescent="0.25">
      <c r="A465" s="3">
        <v>45114</v>
      </c>
      <c r="B465" t="s">
        <v>285</v>
      </c>
      <c r="C465" t="s">
        <v>79</v>
      </c>
      <c r="D465" t="s">
        <v>20</v>
      </c>
      <c r="E465" t="s">
        <v>21</v>
      </c>
      <c r="F465" t="s">
        <v>49</v>
      </c>
      <c r="G465" t="s">
        <v>50</v>
      </c>
      <c r="H465" t="s">
        <v>49</v>
      </c>
      <c r="I465" s="5">
        <v>0.04</v>
      </c>
      <c r="J465">
        <f t="shared" si="21"/>
        <v>26</v>
      </c>
      <c r="K465">
        <v>0</v>
      </c>
      <c r="L465">
        <f t="shared" si="22"/>
        <v>26</v>
      </c>
      <c r="M465" s="4">
        <f t="shared" si="23"/>
        <v>0.04</v>
      </c>
      <c r="N465">
        <v>650</v>
      </c>
      <c r="O465">
        <v>650</v>
      </c>
      <c r="P465" t="s">
        <v>25</v>
      </c>
      <c r="Q465" t="s">
        <v>26</v>
      </c>
      <c r="R465" t="str">
        <f>IF(COUNTIF(Sheet2!B:B, A465) &gt; 0, "Yes", "No")</f>
        <v>Yes</v>
      </c>
    </row>
    <row r="466" spans="1:18" x14ac:dyDescent="0.25">
      <c r="A466" s="3">
        <v>45117</v>
      </c>
      <c r="B466" t="s">
        <v>285</v>
      </c>
      <c r="C466" t="s">
        <v>19</v>
      </c>
      <c r="D466" t="s">
        <v>20</v>
      </c>
      <c r="E466" t="s">
        <v>21</v>
      </c>
      <c r="F466" t="s">
        <v>22</v>
      </c>
      <c r="G466" t="s">
        <v>23</v>
      </c>
      <c r="H466" t="s">
        <v>80</v>
      </c>
      <c r="I466">
        <v>0.06</v>
      </c>
      <c r="J466">
        <f t="shared" si="21"/>
        <v>39</v>
      </c>
      <c r="K466">
        <v>4</v>
      </c>
      <c r="L466">
        <f t="shared" si="22"/>
        <v>35</v>
      </c>
      <c r="M466" s="4">
        <f t="shared" si="23"/>
        <v>5.3846153846153849E-2</v>
      </c>
      <c r="N466">
        <v>650</v>
      </c>
      <c r="O466">
        <v>650</v>
      </c>
      <c r="P466" t="s">
        <v>25</v>
      </c>
      <c r="Q466" t="s">
        <v>26</v>
      </c>
      <c r="R466" t="str">
        <f>IF(COUNTIF(Sheet2!B:B, A466) &gt; 0, "Yes", "No")</f>
        <v>No</v>
      </c>
    </row>
    <row r="467" spans="1:18" x14ac:dyDescent="0.25">
      <c r="A467" s="3">
        <v>45117</v>
      </c>
      <c r="B467" t="s">
        <v>285</v>
      </c>
      <c r="C467" t="s">
        <v>19</v>
      </c>
      <c r="D467" t="s">
        <v>20</v>
      </c>
      <c r="E467" t="s">
        <v>21</v>
      </c>
      <c r="F467" t="s">
        <v>27</v>
      </c>
      <c r="G467" t="s">
        <v>115</v>
      </c>
      <c r="H467" t="s">
        <v>115</v>
      </c>
      <c r="I467">
        <v>0.1</v>
      </c>
      <c r="J467">
        <f t="shared" si="21"/>
        <v>65</v>
      </c>
      <c r="K467">
        <v>0</v>
      </c>
      <c r="L467">
        <f t="shared" si="22"/>
        <v>65</v>
      </c>
      <c r="M467" s="4">
        <f t="shared" si="23"/>
        <v>0.1</v>
      </c>
      <c r="N467">
        <v>650</v>
      </c>
      <c r="O467">
        <v>650</v>
      </c>
      <c r="P467" t="s">
        <v>25</v>
      </c>
      <c r="Q467" t="s">
        <v>26</v>
      </c>
      <c r="R467" t="str">
        <f>IF(COUNTIF(Sheet2!B:B, A467) &gt; 0, "Yes", "No")</f>
        <v>No</v>
      </c>
    </row>
    <row r="468" spans="1:18" x14ac:dyDescent="0.25">
      <c r="A468" s="3">
        <v>45117</v>
      </c>
      <c r="B468" t="s">
        <v>285</v>
      </c>
      <c r="C468" t="s">
        <v>19</v>
      </c>
      <c r="D468" t="s">
        <v>20</v>
      </c>
      <c r="E468" t="s">
        <v>21</v>
      </c>
      <c r="F468" t="s">
        <v>30</v>
      </c>
      <c r="G468" t="s">
        <v>31</v>
      </c>
      <c r="H468" t="s">
        <v>172</v>
      </c>
      <c r="I468">
        <v>0.09</v>
      </c>
      <c r="J468">
        <f t="shared" si="21"/>
        <v>58.5</v>
      </c>
      <c r="K468">
        <v>0</v>
      </c>
      <c r="L468">
        <f t="shared" si="22"/>
        <v>58.5</v>
      </c>
      <c r="M468" s="4">
        <f t="shared" si="23"/>
        <v>0.09</v>
      </c>
      <c r="N468">
        <v>650</v>
      </c>
      <c r="O468">
        <v>650</v>
      </c>
      <c r="P468" t="s">
        <v>25</v>
      </c>
      <c r="Q468" t="s">
        <v>26</v>
      </c>
      <c r="R468" t="str">
        <f>IF(COUNTIF(Sheet2!B:B, A468) &gt; 0, "Yes", "No")</f>
        <v>No</v>
      </c>
    </row>
    <row r="469" spans="1:18" x14ac:dyDescent="0.25">
      <c r="A469" s="3">
        <v>45117</v>
      </c>
      <c r="B469" t="s">
        <v>285</v>
      </c>
      <c r="C469" t="s">
        <v>19</v>
      </c>
      <c r="D469" t="s">
        <v>33</v>
      </c>
      <c r="E469" t="s">
        <v>21</v>
      </c>
      <c r="F469" t="s">
        <v>34</v>
      </c>
      <c r="G469" t="s">
        <v>35</v>
      </c>
      <c r="H469" t="s">
        <v>299</v>
      </c>
      <c r="I469">
        <v>0.15</v>
      </c>
      <c r="J469">
        <f t="shared" si="21"/>
        <v>48.75</v>
      </c>
      <c r="K469">
        <v>1</v>
      </c>
      <c r="L469">
        <f t="shared" si="22"/>
        <v>47.75</v>
      </c>
      <c r="M469" s="4">
        <f t="shared" si="23"/>
        <v>0.14692307692307693</v>
      </c>
      <c r="N469">
        <v>325</v>
      </c>
      <c r="O469">
        <v>325</v>
      </c>
      <c r="P469" t="s">
        <v>25</v>
      </c>
      <c r="Q469" t="s">
        <v>26</v>
      </c>
      <c r="R469" t="str">
        <f>IF(COUNTIF(Sheet2!B:B, A469) &gt; 0, "Yes", "No")</f>
        <v>No</v>
      </c>
    </row>
    <row r="470" spans="1:18" x14ac:dyDescent="0.25">
      <c r="A470" s="3">
        <v>45117</v>
      </c>
      <c r="B470" t="s">
        <v>285</v>
      </c>
      <c r="C470" t="s">
        <v>19</v>
      </c>
      <c r="D470" t="s">
        <v>20</v>
      </c>
      <c r="E470" t="s">
        <v>21</v>
      </c>
      <c r="F470" t="s">
        <v>37</v>
      </c>
      <c r="G470" t="s">
        <v>59</v>
      </c>
      <c r="H470" t="s">
        <v>60</v>
      </c>
      <c r="I470">
        <v>0.03</v>
      </c>
      <c r="J470">
        <f t="shared" si="21"/>
        <v>19.5</v>
      </c>
      <c r="K470">
        <v>2</v>
      </c>
      <c r="L470">
        <f t="shared" si="22"/>
        <v>17.5</v>
      </c>
      <c r="M470" s="4">
        <f t="shared" si="23"/>
        <v>2.6923076923076925E-2</v>
      </c>
      <c r="N470">
        <v>650</v>
      </c>
      <c r="O470">
        <v>650</v>
      </c>
      <c r="P470" t="s">
        <v>25</v>
      </c>
      <c r="Q470" t="s">
        <v>26</v>
      </c>
      <c r="R470" t="str">
        <f>IF(COUNTIF(Sheet2!B:B, A470) &gt; 0, "Yes", "No")</f>
        <v>No</v>
      </c>
    </row>
    <row r="471" spans="1:18" x14ac:dyDescent="0.25">
      <c r="A471" s="3">
        <v>45117</v>
      </c>
      <c r="B471" t="s">
        <v>285</v>
      </c>
      <c r="C471" t="s">
        <v>19</v>
      </c>
      <c r="D471" t="s">
        <v>20</v>
      </c>
      <c r="E471" t="s">
        <v>21</v>
      </c>
      <c r="F471" t="s">
        <v>40</v>
      </c>
      <c r="G471" t="s">
        <v>164</v>
      </c>
      <c r="H471" t="s">
        <v>193</v>
      </c>
      <c r="I471">
        <v>4.4999999999999998E-2</v>
      </c>
      <c r="J471">
        <f t="shared" si="21"/>
        <v>29.25</v>
      </c>
      <c r="K471">
        <v>1</v>
      </c>
      <c r="L471">
        <f t="shared" si="22"/>
        <v>28.25</v>
      </c>
      <c r="M471" s="4">
        <f t="shared" si="23"/>
        <v>4.3461538461538461E-2</v>
      </c>
      <c r="N471">
        <v>650</v>
      </c>
      <c r="O471">
        <v>650</v>
      </c>
      <c r="P471" t="s">
        <v>25</v>
      </c>
      <c r="Q471" t="s">
        <v>26</v>
      </c>
      <c r="R471" t="str">
        <f>IF(COUNTIF(Sheet2!B:B, A471) &gt; 0, "Yes", "No")</f>
        <v>No</v>
      </c>
    </row>
    <row r="472" spans="1:18" x14ac:dyDescent="0.25">
      <c r="A472" s="3">
        <v>45117</v>
      </c>
      <c r="B472" t="s">
        <v>285</v>
      </c>
      <c r="C472" t="s">
        <v>19</v>
      </c>
      <c r="D472" t="s">
        <v>20</v>
      </c>
      <c r="E472" t="s">
        <v>21</v>
      </c>
      <c r="F472" t="s">
        <v>43</v>
      </c>
      <c r="G472" t="s">
        <v>111</v>
      </c>
      <c r="H472" t="s">
        <v>112</v>
      </c>
      <c r="I472">
        <v>0.11</v>
      </c>
      <c r="J472">
        <f t="shared" si="21"/>
        <v>71.5</v>
      </c>
      <c r="K472">
        <v>0</v>
      </c>
      <c r="L472">
        <f t="shared" si="22"/>
        <v>71.5</v>
      </c>
      <c r="M472" s="4">
        <f t="shared" si="23"/>
        <v>0.11</v>
      </c>
      <c r="N472">
        <v>650</v>
      </c>
      <c r="O472">
        <v>650</v>
      </c>
      <c r="P472" t="s">
        <v>25</v>
      </c>
      <c r="Q472" t="s">
        <v>26</v>
      </c>
      <c r="R472" t="str">
        <f>IF(COUNTIF(Sheet2!B:B, A472) &gt; 0, "Yes", "No")</f>
        <v>No</v>
      </c>
    </row>
    <row r="473" spans="1:18" x14ac:dyDescent="0.25">
      <c r="A473" s="3">
        <v>45117</v>
      </c>
      <c r="B473" t="s">
        <v>285</v>
      </c>
      <c r="C473" t="s">
        <v>19</v>
      </c>
      <c r="D473" t="s">
        <v>20</v>
      </c>
      <c r="E473" t="s">
        <v>21</v>
      </c>
      <c r="F473" t="s">
        <v>46</v>
      </c>
      <c r="G473" t="s">
        <v>167</v>
      </c>
      <c r="H473" t="s">
        <v>167</v>
      </c>
      <c r="I473">
        <v>8.5000000000000006E-2</v>
      </c>
      <c r="J473">
        <f t="shared" si="21"/>
        <v>55.250000000000007</v>
      </c>
      <c r="K473">
        <v>2</v>
      </c>
      <c r="L473">
        <f t="shared" si="22"/>
        <v>53.250000000000007</v>
      </c>
      <c r="M473" s="4">
        <f t="shared" si="23"/>
        <v>8.1923076923076932E-2</v>
      </c>
      <c r="N473">
        <v>650</v>
      </c>
      <c r="O473">
        <v>650</v>
      </c>
      <c r="P473" t="s">
        <v>25</v>
      </c>
      <c r="Q473" t="s">
        <v>26</v>
      </c>
      <c r="R473" t="str">
        <f>IF(COUNTIF(Sheet2!B:B, A473) &gt; 0, "Yes", "No")</f>
        <v>No</v>
      </c>
    </row>
    <row r="474" spans="1:18" x14ac:dyDescent="0.25">
      <c r="A474" s="3">
        <v>45117</v>
      </c>
      <c r="B474" t="s">
        <v>285</v>
      </c>
      <c r="C474" t="s">
        <v>19</v>
      </c>
      <c r="D474" t="s">
        <v>20</v>
      </c>
      <c r="E474" t="s">
        <v>21</v>
      </c>
      <c r="F474" t="s">
        <v>49</v>
      </c>
      <c r="G474" t="s">
        <v>50</v>
      </c>
      <c r="H474" t="s">
        <v>49</v>
      </c>
      <c r="I474">
        <v>0.09</v>
      </c>
      <c r="J474">
        <f t="shared" si="21"/>
        <v>58.5</v>
      </c>
      <c r="K474">
        <v>0</v>
      </c>
      <c r="L474">
        <f t="shared" si="22"/>
        <v>58.5</v>
      </c>
      <c r="M474" s="4">
        <f t="shared" si="23"/>
        <v>0.09</v>
      </c>
      <c r="N474">
        <v>650</v>
      </c>
      <c r="O474">
        <v>650</v>
      </c>
      <c r="P474" t="s">
        <v>25</v>
      </c>
      <c r="Q474" t="s">
        <v>26</v>
      </c>
      <c r="R474" t="str">
        <f>IF(COUNTIF(Sheet2!B:B, A474) &gt; 0, "Yes", "No")</f>
        <v>No</v>
      </c>
    </row>
    <row r="475" spans="1:18" x14ac:dyDescent="0.25">
      <c r="A475" s="3">
        <v>45118</v>
      </c>
      <c r="B475" t="s">
        <v>285</v>
      </c>
      <c r="C475" t="s">
        <v>105</v>
      </c>
      <c r="D475" t="s">
        <v>20</v>
      </c>
      <c r="E475" t="s">
        <v>67</v>
      </c>
      <c r="F475" t="s">
        <v>22</v>
      </c>
      <c r="G475" t="s">
        <v>23</v>
      </c>
      <c r="H475" t="s">
        <v>114</v>
      </c>
      <c r="I475">
        <v>8.5000000000000006E-2</v>
      </c>
      <c r="J475">
        <f t="shared" si="21"/>
        <v>59.500000000000007</v>
      </c>
      <c r="K475">
        <v>2.5</v>
      </c>
      <c r="L475">
        <f t="shared" si="22"/>
        <v>57.000000000000007</v>
      </c>
      <c r="M475" s="4">
        <f t="shared" si="23"/>
        <v>8.1428571428571433E-2</v>
      </c>
      <c r="N475">
        <v>700</v>
      </c>
      <c r="O475">
        <v>700</v>
      </c>
      <c r="P475" t="s">
        <v>25</v>
      </c>
      <c r="Q475" t="s">
        <v>26</v>
      </c>
      <c r="R475" t="str">
        <f>IF(COUNTIF(Sheet2!B:B, A475) &gt; 0, "Yes", "No")</f>
        <v>No</v>
      </c>
    </row>
    <row r="476" spans="1:18" x14ac:dyDescent="0.25">
      <c r="A476" s="3">
        <v>45118</v>
      </c>
      <c r="B476" t="s">
        <v>285</v>
      </c>
      <c r="C476" t="s">
        <v>105</v>
      </c>
      <c r="D476" t="s">
        <v>20</v>
      </c>
      <c r="E476" t="s">
        <v>67</v>
      </c>
      <c r="F476" t="s">
        <v>27</v>
      </c>
      <c r="G476" t="s">
        <v>28</v>
      </c>
      <c r="H476" t="s">
        <v>300</v>
      </c>
      <c r="I476">
        <v>0.11</v>
      </c>
      <c r="J476">
        <f t="shared" si="21"/>
        <v>77</v>
      </c>
      <c r="K476">
        <v>3.5</v>
      </c>
      <c r="L476">
        <f t="shared" si="22"/>
        <v>73.5</v>
      </c>
      <c r="M476" s="4">
        <f t="shared" si="23"/>
        <v>0.105</v>
      </c>
      <c r="N476">
        <v>700</v>
      </c>
      <c r="O476">
        <v>700</v>
      </c>
      <c r="P476" t="s">
        <v>25</v>
      </c>
      <c r="Q476" t="s">
        <v>26</v>
      </c>
      <c r="R476" t="str">
        <f>IF(COUNTIF(Sheet2!B:B, A476) &gt; 0, "Yes", "No")</f>
        <v>No</v>
      </c>
    </row>
    <row r="477" spans="1:18" x14ac:dyDescent="0.25">
      <c r="A477" s="3">
        <v>45118</v>
      </c>
      <c r="B477" t="s">
        <v>285</v>
      </c>
      <c r="C477" t="s">
        <v>105</v>
      </c>
      <c r="D477" t="s">
        <v>20</v>
      </c>
      <c r="E477" t="s">
        <v>67</v>
      </c>
      <c r="F477" t="s">
        <v>30</v>
      </c>
      <c r="G477" t="s">
        <v>55</v>
      </c>
      <c r="H477" t="s">
        <v>134</v>
      </c>
      <c r="I477">
        <v>0.09</v>
      </c>
      <c r="J477">
        <f t="shared" si="21"/>
        <v>63</v>
      </c>
      <c r="K477">
        <v>0</v>
      </c>
      <c r="L477">
        <f t="shared" si="22"/>
        <v>63</v>
      </c>
      <c r="M477" s="4">
        <f t="shared" si="23"/>
        <v>0.09</v>
      </c>
      <c r="N477">
        <v>700</v>
      </c>
      <c r="O477">
        <v>700</v>
      </c>
      <c r="P477" t="s">
        <v>25</v>
      </c>
      <c r="Q477" t="s">
        <v>26</v>
      </c>
      <c r="R477" t="str">
        <f>IF(COUNTIF(Sheet2!B:B, A477) &gt; 0, "Yes", "No")</f>
        <v>No</v>
      </c>
    </row>
    <row r="478" spans="1:18" x14ac:dyDescent="0.25">
      <c r="A478" s="3">
        <v>45118</v>
      </c>
      <c r="B478" t="s">
        <v>285</v>
      </c>
      <c r="C478" t="s">
        <v>105</v>
      </c>
      <c r="D478" t="s">
        <v>20</v>
      </c>
      <c r="E478" t="s">
        <v>67</v>
      </c>
      <c r="F478" t="s">
        <v>37</v>
      </c>
      <c r="G478" t="s">
        <v>262</v>
      </c>
      <c r="H478" t="s">
        <v>263</v>
      </c>
      <c r="I478">
        <v>3.5000000000000003E-2</v>
      </c>
      <c r="J478">
        <f t="shared" si="21"/>
        <v>24.500000000000004</v>
      </c>
      <c r="K478">
        <v>0</v>
      </c>
      <c r="L478">
        <f t="shared" si="22"/>
        <v>24.500000000000004</v>
      </c>
      <c r="M478" s="4">
        <f t="shared" si="23"/>
        <v>3.5000000000000003E-2</v>
      </c>
      <c r="N478">
        <v>700</v>
      </c>
      <c r="O478">
        <v>700</v>
      </c>
      <c r="P478" t="s">
        <v>25</v>
      </c>
      <c r="Q478" t="s">
        <v>26</v>
      </c>
      <c r="R478" t="str">
        <f>IF(COUNTIF(Sheet2!B:B, A478) &gt; 0, "Yes", "No")</f>
        <v>No</v>
      </c>
    </row>
    <row r="479" spans="1:18" x14ac:dyDescent="0.25">
      <c r="A479" s="3">
        <v>45118</v>
      </c>
      <c r="B479" t="s">
        <v>285</v>
      </c>
      <c r="C479" t="s">
        <v>105</v>
      </c>
      <c r="D479" t="s">
        <v>20</v>
      </c>
      <c r="E479" t="s">
        <v>67</v>
      </c>
      <c r="F479" t="s">
        <v>40</v>
      </c>
      <c r="G479" t="s">
        <v>157</v>
      </c>
      <c r="H479" t="s">
        <v>158</v>
      </c>
      <c r="I479">
        <v>0.05</v>
      </c>
      <c r="J479">
        <f t="shared" si="21"/>
        <v>35</v>
      </c>
      <c r="K479">
        <v>0</v>
      </c>
      <c r="L479">
        <f t="shared" si="22"/>
        <v>35</v>
      </c>
      <c r="M479" s="4">
        <f t="shared" si="23"/>
        <v>0.05</v>
      </c>
      <c r="N479">
        <v>700</v>
      </c>
      <c r="O479">
        <v>700</v>
      </c>
      <c r="P479" t="s">
        <v>25</v>
      </c>
      <c r="Q479" t="s">
        <v>26</v>
      </c>
      <c r="R479" t="str">
        <f>IF(COUNTIF(Sheet2!B:B, A479) &gt; 0, "Yes", "No")</f>
        <v>No</v>
      </c>
    </row>
    <row r="480" spans="1:18" x14ac:dyDescent="0.25">
      <c r="A480" s="3">
        <v>45118</v>
      </c>
      <c r="B480" t="s">
        <v>285</v>
      </c>
      <c r="C480" t="s">
        <v>105</v>
      </c>
      <c r="D480" t="s">
        <v>20</v>
      </c>
      <c r="E480" t="s">
        <v>67</v>
      </c>
      <c r="F480" t="s">
        <v>43</v>
      </c>
      <c r="G480" t="s">
        <v>301</v>
      </c>
      <c r="H480" t="s">
        <v>302</v>
      </c>
      <c r="I480">
        <v>0.11</v>
      </c>
      <c r="J480">
        <f t="shared" si="21"/>
        <v>77</v>
      </c>
      <c r="K480">
        <v>1</v>
      </c>
      <c r="L480">
        <f t="shared" si="22"/>
        <v>76</v>
      </c>
      <c r="M480" s="4">
        <f t="shared" si="23"/>
        <v>0.10857142857142857</v>
      </c>
      <c r="N480">
        <v>700</v>
      </c>
      <c r="O480">
        <v>700</v>
      </c>
      <c r="P480" t="s">
        <v>25</v>
      </c>
      <c r="Q480" t="s">
        <v>26</v>
      </c>
      <c r="R480" t="str">
        <f>IF(COUNTIF(Sheet2!B:B, A480) &gt; 0, "Yes", "No")</f>
        <v>No</v>
      </c>
    </row>
    <row r="481" spans="1:18" x14ac:dyDescent="0.25">
      <c r="A481" s="3">
        <v>45118</v>
      </c>
      <c r="B481" t="s">
        <v>285</v>
      </c>
      <c r="C481" t="s">
        <v>105</v>
      </c>
      <c r="D481" t="s">
        <v>20</v>
      </c>
      <c r="E481" t="s">
        <v>67</v>
      </c>
      <c r="F481" t="s">
        <v>46</v>
      </c>
      <c r="G481" t="s">
        <v>47</v>
      </c>
      <c r="H481" t="s">
        <v>48</v>
      </c>
      <c r="I481">
        <v>8.5000000000000006E-2</v>
      </c>
      <c r="J481">
        <f t="shared" si="21"/>
        <v>59.500000000000007</v>
      </c>
      <c r="K481">
        <v>1</v>
      </c>
      <c r="L481">
        <f t="shared" si="22"/>
        <v>58.500000000000007</v>
      </c>
      <c r="M481" s="4">
        <f t="shared" si="23"/>
        <v>8.3571428571428588E-2</v>
      </c>
      <c r="N481">
        <v>700</v>
      </c>
      <c r="O481">
        <v>700</v>
      </c>
      <c r="P481" t="s">
        <v>25</v>
      </c>
      <c r="Q481" t="s">
        <v>26</v>
      </c>
      <c r="R481" t="str">
        <f>IF(COUNTIF(Sheet2!B:B, A481) &gt; 0, "Yes", "No")</f>
        <v>No</v>
      </c>
    </row>
    <row r="482" spans="1:18" x14ac:dyDescent="0.25">
      <c r="A482" s="3">
        <v>45118</v>
      </c>
      <c r="B482" t="s">
        <v>285</v>
      </c>
      <c r="C482" t="s">
        <v>105</v>
      </c>
      <c r="D482" t="s">
        <v>20</v>
      </c>
      <c r="E482" t="s">
        <v>67</v>
      </c>
      <c r="F482" t="s">
        <v>49</v>
      </c>
      <c r="G482" t="s">
        <v>50</v>
      </c>
      <c r="H482" t="s">
        <v>49</v>
      </c>
      <c r="I482">
        <v>0.09</v>
      </c>
      <c r="J482">
        <f t="shared" si="21"/>
        <v>63</v>
      </c>
      <c r="K482">
        <v>0</v>
      </c>
      <c r="L482">
        <f t="shared" si="22"/>
        <v>63</v>
      </c>
      <c r="M482" s="4">
        <f t="shared" si="23"/>
        <v>0.09</v>
      </c>
      <c r="N482">
        <v>700</v>
      </c>
      <c r="O482">
        <v>700</v>
      </c>
      <c r="P482" t="s">
        <v>25</v>
      </c>
      <c r="Q482" t="s">
        <v>26</v>
      </c>
      <c r="R482" t="str">
        <f>IF(COUNTIF(Sheet2!B:B, A482) &gt; 0, "Yes", "No")</f>
        <v>No</v>
      </c>
    </row>
    <row r="483" spans="1:18" x14ac:dyDescent="0.25">
      <c r="A483" s="3">
        <v>45119</v>
      </c>
      <c r="B483" t="s">
        <v>285</v>
      </c>
      <c r="C483" t="s">
        <v>51</v>
      </c>
      <c r="D483" t="s">
        <v>20</v>
      </c>
      <c r="E483" t="s">
        <v>21</v>
      </c>
      <c r="F483" t="s">
        <v>22</v>
      </c>
      <c r="G483" t="s">
        <v>122</v>
      </c>
      <c r="H483" t="s">
        <v>303</v>
      </c>
      <c r="I483">
        <v>8.5000000000000006E-2</v>
      </c>
      <c r="J483">
        <f t="shared" si="21"/>
        <v>63.750000000000007</v>
      </c>
      <c r="K483">
        <v>0</v>
      </c>
      <c r="L483">
        <f t="shared" si="22"/>
        <v>63.750000000000007</v>
      </c>
      <c r="M483" s="4">
        <f t="shared" si="23"/>
        <v>8.5000000000000006E-2</v>
      </c>
      <c r="N483">
        <v>750</v>
      </c>
      <c r="O483">
        <v>750</v>
      </c>
      <c r="P483" t="s">
        <v>25</v>
      </c>
      <c r="Q483" t="s">
        <v>26</v>
      </c>
      <c r="R483" t="str">
        <f>IF(COUNTIF(Sheet2!B:B, A483) &gt; 0, "Yes", "No")</f>
        <v>No</v>
      </c>
    </row>
    <row r="484" spans="1:18" x14ac:dyDescent="0.25">
      <c r="A484" s="3">
        <v>45119</v>
      </c>
      <c r="B484" t="s">
        <v>285</v>
      </c>
      <c r="C484" t="s">
        <v>51</v>
      </c>
      <c r="D484" t="s">
        <v>20</v>
      </c>
      <c r="E484" t="s">
        <v>21</v>
      </c>
      <c r="F484" t="s">
        <v>27</v>
      </c>
      <c r="G484" t="s">
        <v>304</v>
      </c>
      <c r="H484" t="s">
        <v>305</v>
      </c>
      <c r="I484">
        <v>0.12</v>
      </c>
      <c r="J484">
        <f t="shared" si="21"/>
        <v>90</v>
      </c>
      <c r="K484">
        <v>0</v>
      </c>
      <c r="L484">
        <f t="shared" si="22"/>
        <v>90</v>
      </c>
      <c r="M484" s="4">
        <f t="shared" si="23"/>
        <v>0.12</v>
      </c>
      <c r="N484">
        <v>750</v>
      </c>
      <c r="O484">
        <v>750</v>
      </c>
      <c r="P484" t="s">
        <v>25</v>
      </c>
      <c r="Q484" t="s">
        <v>26</v>
      </c>
      <c r="R484" t="str">
        <f>IF(COUNTIF(Sheet2!B:B, A484) &gt; 0, "Yes", "No")</f>
        <v>No</v>
      </c>
    </row>
    <row r="485" spans="1:18" x14ac:dyDescent="0.25">
      <c r="A485" s="3">
        <v>45119</v>
      </c>
      <c r="B485" t="s">
        <v>285</v>
      </c>
      <c r="C485" t="s">
        <v>51</v>
      </c>
      <c r="D485" t="s">
        <v>20</v>
      </c>
      <c r="E485" t="s">
        <v>21</v>
      </c>
      <c r="F485" t="s">
        <v>30</v>
      </c>
      <c r="G485" t="s">
        <v>31</v>
      </c>
      <c r="H485" t="s">
        <v>31</v>
      </c>
      <c r="I485">
        <v>0.09</v>
      </c>
      <c r="J485">
        <f t="shared" si="21"/>
        <v>67.5</v>
      </c>
      <c r="K485">
        <v>0</v>
      </c>
      <c r="L485">
        <f t="shared" si="22"/>
        <v>67.5</v>
      </c>
      <c r="M485" s="4">
        <f t="shared" si="23"/>
        <v>0.09</v>
      </c>
      <c r="N485">
        <v>750</v>
      </c>
      <c r="O485">
        <v>750</v>
      </c>
      <c r="P485" t="s">
        <v>25</v>
      </c>
      <c r="Q485" t="s">
        <v>26</v>
      </c>
      <c r="R485" t="str">
        <f>IF(COUNTIF(Sheet2!B:B, A485) &gt; 0, "Yes", "No")</f>
        <v>No</v>
      </c>
    </row>
    <row r="486" spans="1:18" x14ac:dyDescent="0.25">
      <c r="A486" s="3">
        <v>45119</v>
      </c>
      <c r="B486" t="s">
        <v>285</v>
      </c>
      <c r="C486" t="s">
        <v>51</v>
      </c>
      <c r="D486" t="s">
        <v>33</v>
      </c>
      <c r="E486" t="s">
        <v>21</v>
      </c>
      <c r="F486" t="s">
        <v>34</v>
      </c>
      <c r="G486" t="s">
        <v>306</v>
      </c>
      <c r="H486" t="s">
        <v>307</v>
      </c>
      <c r="I486">
        <v>0.15</v>
      </c>
      <c r="J486">
        <f t="shared" si="21"/>
        <v>56.25</v>
      </c>
      <c r="K486">
        <v>0</v>
      </c>
      <c r="L486">
        <f t="shared" si="22"/>
        <v>56.25</v>
      </c>
      <c r="M486" s="4">
        <f t="shared" si="23"/>
        <v>0.15</v>
      </c>
      <c r="N486">
        <v>375</v>
      </c>
      <c r="O486">
        <v>375</v>
      </c>
      <c r="P486" t="s">
        <v>25</v>
      </c>
      <c r="Q486" t="s">
        <v>26</v>
      </c>
      <c r="R486" t="str">
        <f>IF(COUNTIF(Sheet2!B:B, A486) &gt; 0, "Yes", "No")</f>
        <v>No</v>
      </c>
    </row>
    <row r="487" spans="1:18" x14ac:dyDescent="0.25">
      <c r="A487" s="3">
        <v>45119</v>
      </c>
      <c r="B487" t="s">
        <v>285</v>
      </c>
      <c r="C487" t="s">
        <v>51</v>
      </c>
      <c r="D487" t="s">
        <v>20</v>
      </c>
      <c r="E487" t="s">
        <v>21</v>
      </c>
      <c r="F487" t="s">
        <v>37</v>
      </c>
      <c r="G487" t="s">
        <v>87</v>
      </c>
      <c r="H487" t="s">
        <v>99</v>
      </c>
      <c r="I487">
        <v>0.03</v>
      </c>
      <c r="J487">
        <f t="shared" si="21"/>
        <v>22.5</v>
      </c>
      <c r="K487">
        <v>2</v>
      </c>
      <c r="L487">
        <f t="shared" si="22"/>
        <v>20.5</v>
      </c>
      <c r="M487" s="4">
        <f t="shared" si="23"/>
        <v>2.7333333333333334E-2</v>
      </c>
      <c r="N487">
        <v>750</v>
      </c>
      <c r="O487">
        <v>750</v>
      </c>
      <c r="P487" t="s">
        <v>25</v>
      </c>
      <c r="Q487" t="s">
        <v>26</v>
      </c>
      <c r="R487" t="str">
        <f>IF(COUNTIF(Sheet2!B:B, A487) &gt; 0, "Yes", "No")</f>
        <v>No</v>
      </c>
    </row>
    <row r="488" spans="1:18" x14ac:dyDescent="0.25">
      <c r="A488" s="3">
        <v>45119</v>
      </c>
      <c r="B488" t="s">
        <v>285</v>
      </c>
      <c r="C488" t="s">
        <v>51</v>
      </c>
      <c r="D488" t="s">
        <v>20</v>
      </c>
      <c r="E488" t="s">
        <v>21</v>
      </c>
      <c r="F488" t="s">
        <v>40</v>
      </c>
      <c r="G488" t="s">
        <v>73</v>
      </c>
      <c r="H488" t="s">
        <v>110</v>
      </c>
      <c r="I488">
        <v>4.4999999999999998E-2</v>
      </c>
      <c r="J488">
        <f t="shared" si="21"/>
        <v>33.75</v>
      </c>
      <c r="K488">
        <v>2</v>
      </c>
      <c r="L488">
        <f t="shared" si="22"/>
        <v>31.75</v>
      </c>
      <c r="M488" s="4">
        <f t="shared" si="23"/>
        <v>4.2333333333333334E-2</v>
      </c>
      <c r="N488">
        <v>750</v>
      </c>
      <c r="O488">
        <v>750</v>
      </c>
      <c r="P488" t="s">
        <v>25</v>
      </c>
      <c r="Q488" t="s">
        <v>26</v>
      </c>
      <c r="R488" t="str">
        <f>IF(COUNTIF(Sheet2!B:B, A488) &gt; 0, "Yes", "No")</f>
        <v>No</v>
      </c>
    </row>
    <row r="489" spans="1:18" x14ac:dyDescent="0.25">
      <c r="A489" s="3">
        <v>45119</v>
      </c>
      <c r="B489" t="s">
        <v>285</v>
      </c>
      <c r="C489" t="s">
        <v>51</v>
      </c>
      <c r="D489" t="s">
        <v>20</v>
      </c>
      <c r="E489" t="s">
        <v>21</v>
      </c>
      <c r="F489" t="s">
        <v>43</v>
      </c>
      <c r="G489" t="s">
        <v>90</v>
      </c>
      <c r="H489" t="s">
        <v>308</v>
      </c>
      <c r="I489">
        <v>0.11</v>
      </c>
      <c r="J489">
        <f t="shared" si="21"/>
        <v>82.5</v>
      </c>
      <c r="K489">
        <v>0</v>
      </c>
      <c r="L489">
        <f t="shared" si="22"/>
        <v>82.5</v>
      </c>
      <c r="M489" s="4">
        <f t="shared" si="23"/>
        <v>0.11</v>
      </c>
      <c r="N489">
        <v>750</v>
      </c>
      <c r="O489">
        <v>750</v>
      </c>
      <c r="P489" t="s">
        <v>25</v>
      </c>
      <c r="Q489" t="s">
        <v>26</v>
      </c>
      <c r="R489" t="str">
        <f>IF(COUNTIF(Sheet2!B:B, A489) &gt; 0, "Yes", "No")</f>
        <v>No</v>
      </c>
    </row>
    <row r="490" spans="1:18" x14ac:dyDescent="0.25">
      <c r="A490" s="3">
        <v>45119</v>
      </c>
      <c r="B490" t="s">
        <v>285</v>
      </c>
      <c r="C490" t="s">
        <v>51</v>
      </c>
      <c r="D490" t="s">
        <v>20</v>
      </c>
      <c r="E490" t="s">
        <v>21</v>
      </c>
      <c r="F490" t="s">
        <v>46</v>
      </c>
      <c r="G490" t="s">
        <v>103</v>
      </c>
      <c r="H490" t="s">
        <v>309</v>
      </c>
      <c r="I490">
        <v>0.09</v>
      </c>
      <c r="J490">
        <f t="shared" si="21"/>
        <v>67.5</v>
      </c>
      <c r="K490">
        <v>6</v>
      </c>
      <c r="L490">
        <f t="shared" si="22"/>
        <v>61.5</v>
      </c>
      <c r="M490" s="4">
        <f t="shared" si="23"/>
        <v>8.2000000000000003E-2</v>
      </c>
      <c r="N490">
        <v>750</v>
      </c>
      <c r="O490">
        <v>750</v>
      </c>
      <c r="P490" t="s">
        <v>25</v>
      </c>
      <c r="Q490" t="s">
        <v>26</v>
      </c>
      <c r="R490" t="str">
        <f>IF(COUNTIF(Sheet2!B:B, A490) &gt; 0, "Yes", "No")</f>
        <v>No</v>
      </c>
    </row>
    <row r="491" spans="1:18" x14ac:dyDescent="0.25">
      <c r="A491" s="3">
        <v>45119</v>
      </c>
      <c r="B491" t="s">
        <v>285</v>
      </c>
      <c r="C491" t="s">
        <v>51</v>
      </c>
      <c r="D491" t="s">
        <v>20</v>
      </c>
      <c r="E491" t="s">
        <v>21</v>
      </c>
      <c r="F491" t="s">
        <v>49</v>
      </c>
      <c r="G491" t="s">
        <v>50</v>
      </c>
      <c r="H491" t="s">
        <v>49</v>
      </c>
      <c r="I491">
        <v>0.09</v>
      </c>
      <c r="J491">
        <f t="shared" si="21"/>
        <v>67.5</v>
      </c>
      <c r="K491">
        <v>0</v>
      </c>
      <c r="L491">
        <f t="shared" si="22"/>
        <v>67.5</v>
      </c>
      <c r="M491" s="4">
        <f t="shared" si="23"/>
        <v>0.09</v>
      </c>
      <c r="N491">
        <v>750</v>
      </c>
      <c r="O491">
        <v>750</v>
      </c>
      <c r="P491" t="s">
        <v>25</v>
      </c>
      <c r="Q491" t="s">
        <v>26</v>
      </c>
      <c r="R491" t="str">
        <f>IF(COUNTIF(Sheet2!B:B, A491) &gt; 0, "Yes", "No")</f>
        <v>No</v>
      </c>
    </row>
    <row r="492" spans="1:18" x14ac:dyDescent="0.25">
      <c r="A492" s="3">
        <v>45120</v>
      </c>
      <c r="B492" t="s">
        <v>285</v>
      </c>
      <c r="C492" t="s">
        <v>66</v>
      </c>
      <c r="D492" t="s">
        <v>20</v>
      </c>
      <c r="E492" t="s">
        <v>67</v>
      </c>
      <c r="F492" t="s">
        <v>22</v>
      </c>
      <c r="G492" t="s">
        <v>52</v>
      </c>
      <c r="H492" t="s">
        <v>53</v>
      </c>
      <c r="I492">
        <v>8.5000000000000006E-2</v>
      </c>
      <c r="J492">
        <f t="shared" si="21"/>
        <v>63.750000000000007</v>
      </c>
      <c r="K492">
        <v>2</v>
      </c>
      <c r="L492">
        <f t="shared" si="22"/>
        <v>61.750000000000007</v>
      </c>
      <c r="M492" s="4">
        <f t="shared" si="23"/>
        <v>8.2333333333333342E-2</v>
      </c>
      <c r="N492">
        <v>750</v>
      </c>
      <c r="O492">
        <v>750</v>
      </c>
      <c r="P492" t="s">
        <v>25</v>
      </c>
      <c r="Q492" t="s">
        <v>26</v>
      </c>
      <c r="R492" t="str">
        <f>IF(COUNTIF(Sheet2!B:B, A492) &gt; 0, "Yes", "No")</f>
        <v>No</v>
      </c>
    </row>
    <row r="493" spans="1:18" x14ac:dyDescent="0.25">
      <c r="A493" s="3">
        <v>45120</v>
      </c>
      <c r="B493" t="s">
        <v>285</v>
      </c>
      <c r="C493" t="s">
        <v>66</v>
      </c>
      <c r="D493" t="s">
        <v>20</v>
      </c>
      <c r="E493" t="s">
        <v>67</v>
      </c>
      <c r="F493" t="s">
        <v>27</v>
      </c>
      <c r="G493" t="s">
        <v>28</v>
      </c>
      <c r="H493" t="s">
        <v>207</v>
      </c>
      <c r="I493">
        <v>0.11</v>
      </c>
      <c r="J493">
        <f t="shared" si="21"/>
        <v>82.5</v>
      </c>
      <c r="K493">
        <v>3</v>
      </c>
      <c r="L493">
        <f t="shared" si="22"/>
        <v>79.5</v>
      </c>
      <c r="M493" s="4">
        <f t="shared" si="23"/>
        <v>0.106</v>
      </c>
      <c r="N493">
        <v>750</v>
      </c>
      <c r="O493">
        <v>750</v>
      </c>
      <c r="P493" t="s">
        <v>25</v>
      </c>
      <c r="Q493" t="s">
        <v>26</v>
      </c>
      <c r="R493" t="str">
        <f>IF(COUNTIF(Sheet2!B:B, A493) &gt; 0, "Yes", "No")</f>
        <v>No</v>
      </c>
    </row>
    <row r="494" spans="1:18" x14ac:dyDescent="0.25">
      <c r="A494" s="3">
        <v>45120</v>
      </c>
      <c r="B494" t="s">
        <v>285</v>
      </c>
      <c r="C494" t="s">
        <v>66</v>
      </c>
      <c r="D494" t="s">
        <v>20</v>
      </c>
      <c r="E494" t="s">
        <v>67</v>
      </c>
      <c r="F494" t="s">
        <v>30</v>
      </c>
      <c r="G494" t="s">
        <v>55</v>
      </c>
      <c r="H494" t="s">
        <v>270</v>
      </c>
      <c r="I494">
        <v>0.09</v>
      </c>
      <c r="J494">
        <f t="shared" si="21"/>
        <v>67.5</v>
      </c>
      <c r="K494">
        <v>1</v>
      </c>
      <c r="L494">
        <f t="shared" si="22"/>
        <v>66.5</v>
      </c>
      <c r="M494" s="4">
        <f t="shared" si="23"/>
        <v>8.8666666666666671E-2</v>
      </c>
      <c r="N494">
        <v>750</v>
      </c>
      <c r="O494">
        <v>750</v>
      </c>
      <c r="P494" t="s">
        <v>25</v>
      </c>
      <c r="Q494" t="s">
        <v>26</v>
      </c>
      <c r="R494" t="str">
        <f>IF(COUNTIF(Sheet2!B:B, A494) &gt; 0, "Yes", "No")</f>
        <v>No</v>
      </c>
    </row>
    <row r="495" spans="1:18" x14ac:dyDescent="0.25">
      <c r="A495" s="3">
        <v>45120</v>
      </c>
      <c r="B495" t="s">
        <v>285</v>
      </c>
      <c r="C495" t="s">
        <v>66</v>
      </c>
      <c r="D495" t="s">
        <v>20</v>
      </c>
      <c r="E495" t="s">
        <v>67</v>
      </c>
      <c r="F495" t="s">
        <v>37</v>
      </c>
      <c r="G495" t="s">
        <v>87</v>
      </c>
      <c r="H495" t="s">
        <v>136</v>
      </c>
      <c r="I495">
        <v>3.5000000000000003E-2</v>
      </c>
      <c r="J495">
        <f t="shared" si="21"/>
        <v>26.250000000000004</v>
      </c>
      <c r="K495">
        <v>2</v>
      </c>
      <c r="L495">
        <f t="shared" si="22"/>
        <v>24.250000000000004</v>
      </c>
      <c r="M495" s="4">
        <f t="shared" si="23"/>
        <v>3.2333333333333339E-2</v>
      </c>
      <c r="N495">
        <v>750</v>
      </c>
      <c r="O495">
        <v>750</v>
      </c>
      <c r="P495" t="s">
        <v>25</v>
      </c>
      <c r="Q495" t="s">
        <v>26</v>
      </c>
      <c r="R495" t="str">
        <f>IF(COUNTIF(Sheet2!B:B, A495) &gt; 0, "Yes", "No")</f>
        <v>No</v>
      </c>
    </row>
    <row r="496" spans="1:18" x14ac:dyDescent="0.25">
      <c r="A496" s="3">
        <v>45120</v>
      </c>
      <c r="B496" t="s">
        <v>285</v>
      </c>
      <c r="C496" t="s">
        <v>66</v>
      </c>
      <c r="D496" t="s">
        <v>20</v>
      </c>
      <c r="E496" t="s">
        <v>67</v>
      </c>
      <c r="F496" t="s">
        <v>40</v>
      </c>
      <c r="G496" t="s">
        <v>61</v>
      </c>
      <c r="H496" t="s">
        <v>89</v>
      </c>
      <c r="I496">
        <v>0.05</v>
      </c>
      <c r="J496">
        <f t="shared" si="21"/>
        <v>37.5</v>
      </c>
      <c r="K496">
        <v>3</v>
      </c>
      <c r="L496">
        <f t="shared" si="22"/>
        <v>34.5</v>
      </c>
      <c r="M496" s="4">
        <f t="shared" si="23"/>
        <v>4.5999999999999999E-2</v>
      </c>
      <c r="N496">
        <v>750</v>
      </c>
      <c r="O496">
        <v>750</v>
      </c>
      <c r="P496" t="s">
        <v>25</v>
      </c>
      <c r="Q496" t="s">
        <v>26</v>
      </c>
      <c r="R496" t="str">
        <f>IF(COUNTIF(Sheet2!B:B, A496) &gt; 0, "Yes", "No")</f>
        <v>No</v>
      </c>
    </row>
    <row r="497" spans="1:18" x14ac:dyDescent="0.25">
      <c r="A497" s="3">
        <v>45120</v>
      </c>
      <c r="B497" t="s">
        <v>285</v>
      </c>
      <c r="C497" t="s">
        <v>66</v>
      </c>
      <c r="D497" t="s">
        <v>20</v>
      </c>
      <c r="E497" t="s">
        <v>67</v>
      </c>
      <c r="F497" t="s">
        <v>43</v>
      </c>
      <c r="G497" t="s">
        <v>75</v>
      </c>
      <c r="H497" t="s">
        <v>120</v>
      </c>
      <c r="I497">
        <v>0.11</v>
      </c>
      <c r="J497">
        <f t="shared" si="21"/>
        <v>82.5</v>
      </c>
      <c r="K497">
        <v>2</v>
      </c>
      <c r="L497">
        <f t="shared" si="22"/>
        <v>80.5</v>
      </c>
      <c r="M497" s="4">
        <f t="shared" si="23"/>
        <v>0.10733333333333334</v>
      </c>
      <c r="N497">
        <v>750</v>
      </c>
      <c r="O497">
        <v>750</v>
      </c>
      <c r="P497" t="s">
        <v>25</v>
      </c>
      <c r="Q497" t="s">
        <v>26</v>
      </c>
      <c r="R497" t="str">
        <f>IF(COUNTIF(Sheet2!B:B, A497) &gt; 0, "Yes", "No")</f>
        <v>No</v>
      </c>
    </row>
    <row r="498" spans="1:18" x14ac:dyDescent="0.25">
      <c r="A498" s="3">
        <v>45120</v>
      </c>
      <c r="B498" t="s">
        <v>285</v>
      </c>
      <c r="C498" t="s">
        <v>66</v>
      </c>
      <c r="D498" t="s">
        <v>20</v>
      </c>
      <c r="E498" t="s">
        <v>67</v>
      </c>
      <c r="F498" t="s">
        <v>46</v>
      </c>
      <c r="G498" t="s">
        <v>169</v>
      </c>
      <c r="H498" t="s">
        <v>282</v>
      </c>
      <c r="I498">
        <v>8.5000000000000006E-2</v>
      </c>
      <c r="J498">
        <f t="shared" si="21"/>
        <v>63.750000000000007</v>
      </c>
      <c r="K498">
        <v>4</v>
      </c>
      <c r="L498">
        <f t="shared" si="22"/>
        <v>59.750000000000007</v>
      </c>
      <c r="M498" s="4">
        <f t="shared" si="23"/>
        <v>7.9666666666666677E-2</v>
      </c>
      <c r="N498">
        <v>750</v>
      </c>
      <c r="O498">
        <v>750</v>
      </c>
      <c r="P498" t="s">
        <v>25</v>
      </c>
      <c r="Q498" t="s">
        <v>26</v>
      </c>
      <c r="R498" t="str">
        <f>IF(COUNTIF(Sheet2!B:B, A498) &gt; 0, "Yes", "No")</f>
        <v>No</v>
      </c>
    </row>
    <row r="499" spans="1:18" x14ac:dyDescent="0.25">
      <c r="A499" s="3">
        <v>45120</v>
      </c>
      <c r="B499" t="s">
        <v>285</v>
      </c>
      <c r="C499" t="s">
        <v>66</v>
      </c>
      <c r="D499" t="s">
        <v>20</v>
      </c>
      <c r="E499" t="s">
        <v>67</v>
      </c>
      <c r="F499" t="s">
        <v>49</v>
      </c>
      <c r="G499" t="s">
        <v>50</v>
      </c>
      <c r="H499" t="s">
        <v>49</v>
      </c>
      <c r="I499">
        <v>0.09</v>
      </c>
      <c r="J499">
        <f t="shared" si="21"/>
        <v>67.5</v>
      </c>
      <c r="K499">
        <v>2</v>
      </c>
      <c r="L499">
        <f t="shared" si="22"/>
        <v>65.5</v>
      </c>
      <c r="M499" s="4">
        <f t="shared" si="23"/>
        <v>8.7333333333333332E-2</v>
      </c>
      <c r="N499">
        <v>750</v>
      </c>
      <c r="O499">
        <v>750</v>
      </c>
      <c r="P499" t="s">
        <v>25</v>
      </c>
      <c r="Q499" t="s">
        <v>26</v>
      </c>
      <c r="R499" t="str">
        <f>IF(COUNTIF(Sheet2!B:B, A499) &gt; 0, "Yes", "No")</f>
        <v>No</v>
      </c>
    </row>
    <row r="500" spans="1:18" x14ac:dyDescent="0.25">
      <c r="A500" s="3">
        <v>45121</v>
      </c>
      <c r="B500" t="s">
        <v>285</v>
      </c>
      <c r="C500" t="s">
        <v>79</v>
      </c>
      <c r="D500" t="s">
        <v>20</v>
      </c>
      <c r="E500" t="s">
        <v>21</v>
      </c>
      <c r="F500" t="s">
        <v>22</v>
      </c>
      <c r="G500" t="s">
        <v>122</v>
      </c>
      <c r="H500" t="s">
        <v>181</v>
      </c>
      <c r="I500" s="5">
        <v>0.06</v>
      </c>
      <c r="J500">
        <f t="shared" si="21"/>
        <v>42</v>
      </c>
      <c r="K500">
        <v>0</v>
      </c>
      <c r="L500">
        <f t="shared" si="22"/>
        <v>42</v>
      </c>
      <c r="M500" s="4">
        <f t="shared" si="23"/>
        <v>0.06</v>
      </c>
      <c r="N500">
        <v>700</v>
      </c>
      <c r="O500">
        <v>700</v>
      </c>
      <c r="P500" t="s">
        <v>25</v>
      </c>
      <c r="Q500" t="s">
        <v>26</v>
      </c>
      <c r="R500" t="str">
        <f>IF(COUNTIF(Sheet2!B:B, A500) &gt; 0, "Yes", "No")</f>
        <v>Yes</v>
      </c>
    </row>
    <row r="501" spans="1:18" x14ac:dyDescent="0.25">
      <c r="A501" s="3">
        <v>45121</v>
      </c>
      <c r="B501" t="s">
        <v>285</v>
      </c>
      <c r="C501" t="s">
        <v>79</v>
      </c>
      <c r="D501" t="s">
        <v>20</v>
      </c>
      <c r="E501" t="s">
        <v>21</v>
      </c>
      <c r="F501" t="s">
        <v>27</v>
      </c>
      <c r="G501" t="s">
        <v>81</v>
      </c>
      <c r="H501" t="s">
        <v>310</v>
      </c>
      <c r="I501" s="5">
        <v>0.1</v>
      </c>
      <c r="J501">
        <f t="shared" si="21"/>
        <v>70</v>
      </c>
      <c r="K501">
        <v>0</v>
      </c>
      <c r="L501">
        <f t="shared" si="22"/>
        <v>70</v>
      </c>
      <c r="M501" s="4">
        <f t="shared" si="23"/>
        <v>0.1</v>
      </c>
      <c r="N501">
        <v>700</v>
      </c>
      <c r="O501">
        <v>700</v>
      </c>
      <c r="P501" t="s">
        <v>25</v>
      </c>
      <c r="Q501" t="s">
        <v>26</v>
      </c>
      <c r="R501" t="str">
        <f>IF(COUNTIF(Sheet2!B:B, A501) &gt; 0, "Yes", "No")</f>
        <v>Yes</v>
      </c>
    </row>
    <row r="502" spans="1:18" x14ac:dyDescent="0.25">
      <c r="A502" s="3">
        <v>45121</v>
      </c>
      <c r="B502" t="s">
        <v>285</v>
      </c>
      <c r="C502" t="s">
        <v>79</v>
      </c>
      <c r="D502" t="s">
        <v>20</v>
      </c>
      <c r="E502" t="s">
        <v>21</v>
      </c>
      <c r="F502" t="s">
        <v>30</v>
      </c>
      <c r="G502" t="s">
        <v>55</v>
      </c>
      <c r="H502" t="s">
        <v>56</v>
      </c>
      <c r="I502" s="5">
        <v>0.06</v>
      </c>
      <c r="J502">
        <f t="shared" si="21"/>
        <v>42</v>
      </c>
      <c r="K502">
        <v>3</v>
      </c>
      <c r="L502">
        <f t="shared" si="22"/>
        <v>39</v>
      </c>
      <c r="M502" s="4">
        <f t="shared" si="23"/>
        <v>5.5714285714285716E-2</v>
      </c>
      <c r="N502">
        <v>700</v>
      </c>
      <c r="O502">
        <v>700</v>
      </c>
      <c r="P502" t="s">
        <v>25</v>
      </c>
      <c r="Q502" t="s">
        <v>26</v>
      </c>
      <c r="R502" t="str">
        <f>IF(COUNTIF(Sheet2!B:B, A502) &gt; 0, "Yes", "No")</f>
        <v>Yes</v>
      </c>
    </row>
    <row r="503" spans="1:18" x14ac:dyDescent="0.25">
      <c r="A503" s="3">
        <v>45121</v>
      </c>
      <c r="B503" t="s">
        <v>285</v>
      </c>
      <c r="C503" t="s">
        <v>79</v>
      </c>
      <c r="D503" t="s">
        <v>33</v>
      </c>
      <c r="E503" t="s">
        <v>21</v>
      </c>
      <c r="F503" t="s">
        <v>84</v>
      </c>
      <c r="G503" t="s">
        <v>85</v>
      </c>
      <c r="H503" t="s">
        <v>201</v>
      </c>
      <c r="I503" s="5">
        <v>0.3</v>
      </c>
      <c r="J503">
        <f t="shared" si="21"/>
        <v>126</v>
      </c>
      <c r="K503">
        <v>0</v>
      </c>
      <c r="L503">
        <f t="shared" si="22"/>
        <v>126</v>
      </c>
      <c r="M503" s="4">
        <f t="shared" si="23"/>
        <v>0.3</v>
      </c>
      <c r="N503">
        <v>420</v>
      </c>
      <c r="O503">
        <v>420</v>
      </c>
      <c r="P503" t="s">
        <v>25</v>
      </c>
      <c r="Q503" t="s">
        <v>26</v>
      </c>
      <c r="R503" t="str">
        <f>IF(COUNTIF(Sheet2!B:B, A503) &gt; 0, "Yes", "No")</f>
        <v>Yes</v>
      </c>
    </row>
    <row r="504" spans="1:18" x14ac:dyDescent="0.25">
      <c r="A504" s="3">
        <v>45121</v>
      </c>
      <c r="B504" t="s">
        <v>285</v>
      </c>
      <c r="C504" t="s">
        <v>79</v>
      </c>
      <c r="D504" t="s">
        <v>20</v>
      </c>
      <c r="E504" t="s">
        <v>21</v>
      </c>
      <c r="F504" t="s">
        <v>37</v>
      </c>
      <c r="G504" t="s">
        <v>38</v>
      </c>
      <c r="H504" t="s">
        <v>39</v>
      </c>
      <c r="I504" s="5">
        <v>2.5000000000000001E-2</v>
      </c>
      <c r="J504">
        <f t="shared" si="21"/>
        <v>17.5</v>
      </c>
      <c r="K504">
        <v>3</v>
      </c>
      <c r="L504">
        <f t="shared" si="22"/>
        <v>14.5</v>
      </c>
      <c r="M504" s="4">
        <f t="shared" si="23"/>
        <v>2.0714285714285713E-2</v>
      </c>
      <c r="N504">
        <v>700</v>
      </c>
      <c r="O504">
        <v>700</v>
      </c>
      <c r="P504" t="s">
        <v>25</v>
      </c>
      <c r="Q504" t="s">
        <v>26</v>
      </c>
      <c r="R504" t="str">
        <f>IF(COUNTIF(Sheet2!B:B, A504) &gt; 0, "Yes", "No")</f>
        <v>Yes</v>
      </c>
    </row>
    <row r="505" spans="1:18" x14ac:dyDescent="0.25">
      <c r="A505" s="3">
        <v>45121</v>
      </c>
      <c r="B505" t="s">
        <v>285</v>
      </c>
      <c r="C505" t="s">
        <v>79</v>
      </c>
      <c r="D505" t="s">
        <v>20</v>
      </c>
      <c r="E505" t="s">
        <v>21</v>
      </c>
      <c r="F505" t="s">
        <v>40</v>
      </c>
      <c r="G505" t="s">
        <v>157</v>
      </c>
      <c r="H505" t="s">
        <v>214</v>
      </c>
      <c r="I505" s="5">
        <v>0.04</v>
      </c>
      <c r="J505">
        <f t="shared" si="21"/>
        <v>28</v>
      </c>
      <c r="K505">
        <v>4</v>
      </c>
      <c r="L505">
        <f t="shared" si="22"/>
        <v>24</v>
      </c>
      <c r="M505" s="4">
        <f t="shared" si="23"/>
        <v>3.4285714285714287E-2</v>
      </c>
      <c r="N505">
        <v>700</v>
      </c>
      <c r="O505">
        <v>700</v>
      </c>
      <c r="P505" t="s">
        <v>25</v>
      </c>
      <c r="Q505" t="s">
        <v>26</v>
      </c>
      <c r="R505" t="str">
        <f>IF(COUNTIF(Sheet2!B:B, A505) &gt; 0, "Yes", "No")</f>
        <v>Yes</v>
      </c>
    </row>
    <row r="506" spans="1:18" x14ac:dyDescent="0.25">
      <c r="A506" s="3">
        <v>45121</v>
      </c>
      <c r="B506" t="s">
        <v>285</v>
      </c>
      <c r="C506" t="s">
        <v>79</v>
      </c>
      <c r="D506" t="s">
        <v>20</v>
      </c>
      <c r="E506" t="s">
        <v>21</v>
      </c>
      <c r="F506" t="s">
        <v>43</v>
      </c>
      <c r="G506" t="s">
        <v>215</v>
      </c>
      <c r="H506" t="s">
        <v>261</v>
      </c>
      <c r="I506" s="5">
        <v>7.0000000000000007E-2</v>
      </c>
      <c r="J506">
        <f t="shared" si="21"/>
        <v>49.000000000000007</v>
      </c>
      <c r="K506">
        <v>1</v>
      </c>
      <c r="L506">
        <f t="shared" si="22"/>
        <v>48.000000000000007</v>
      </c>
      <c r="M506" s="4">
        <f t="shared" si="23"/>
        <v>6.8571428571428575E-2</v>
      </c>
      <c r="N506">
        <v>700</v>
      </c>
      <c r="O506">
        <v>700</v>
      </c>
      <c r="P506" t="s">
        <v>25</v>
      </c>
      <c r="Q506" t="s">
        <v>26</v>
      </c>
      <c r="R506" t="str">
        <f>IF(COUNTIF(Sheet2!B:B, A506) &gt; 0, "Yes", "No")</f>
        <v>Yes</v>
      </c>
    </row>
    <row r="507" spans="1:18" x14ac:dyDescent="0.25">
      <c r="A507" s="3">
        <v>45121</v>
      </c>
      <c r="B507" t="s">
        <v>285</v>
      </c>
      <c r="C507" t="s">
        <v>79</v>
      </c>
      <c r="D507" t="s">
        <v>20</v>
      </c>
      <c r="E507" t="s">
        <v>21</v>
      </c>
      <c r="F507" t="s">
        <v>46</v>
      </c>
      <c r="G507" t="s">
        <v>47</v>
      </c>
      <c r="H507" t="s">
        <v>228</v>
      </c>
      <c r="I507" s="5">
        <v>0.06</v>
      </c>
      <c r="J507">
        <f t="shared" si="21"/>
        <v>42</v>
      </c>
      <c r="K507">
        <v>8</v>
      </c>
      <c r="L507">
        <f t="shared" si="22"/>
        <v>34</v>
      </c>
      <c r="M507" s="4">
        <f t="shared" si="23"/>
        <v>4.8571428571428571E-2</v>
      </c>
      <c r="N507">
        <v>700</v>
      </c>
      <c r="O507">
        <v>700</v>
      </c>
      <c r="P507" t="s">
        <v>25</v>
      </c>
      <c r="Q507" t="s">
        <v>26</v>
      </c>
      <c r="R507" t="str">
        <f>IF(COUNTIF(Sheet2!B:B, A507) &gt; 0, "Yes", "No")</f>
        <v>Yes</v>
      </c>
    </row>
    <row r="508" spans="1:18" x14ac:dyDescent="0.25">
      <c r="A508" s="3">
        <v>45121</v>
      </c>
      <c r="B508" t="s">
        <v>285</v>
      </c>
      <c r="C508" t="s">
        <v>79</v>
      </c>
      <c r="D508" t="s">
        <v>20</v>
      </c>
      <c r="E508" t="s">
        <v>21</v>
      </c>
      <c r="F508" t="s">
        <v>49</v>
      </c>
      <c r="G508" t="s">
        <v>50</v>
      </c>
      <c r="H508" t="s">
        <v>49</v>
      </c>
      <c r="I508" s="5">
        <v>0.04</v>
      </c>
      <c r="J508">
        <f t="shared" si="21"/>
        <v>28</v>
      </c>
      <c r="K508">
        <v>0</v>
      </c>
      <c r="L508">
        <f t="shared" si="22"/>
        <v>28</v>
      </c>
      <c r="M508" s="4">
        <f t="shared" si="23"/>
        <v>0.04</v>
      </c>
      <c r="N508">
        <v>700</v>
      </c>
      <c r="O508">
        <v>700</v>
      </c>
      <c r="P508" t="s">
        <v>25</v>
      </c>
      <c r="Q508" t="s">
        <v>26</v>
      </c>
      <c r="R508" t="str">
        <f>IF(COUNTIF(Sheet2!B:B, A508) &gt; 0, "Yes", "No")</f>
        <v>Yes</v>
      </c>
    </row>
    <row r="509" spans="1:18" x14ac:dyDescent="0.25">
      <c r="A509" s="3">
        <v>45124</v>
      </c>
      <c r="B509" t="s">
        <v>285</v>
      </c>
      <c r="C509" t="s">
        <v>19</v>
      </c>
      <c r="D509" t="s">
        <v>20</v>
      </c>
      <c r="E509" t="s">
        <v>21</v>
      </c>
      <c r="F509" t="s">
        <v>22</v>
      </c>
      <c r="G509" t="s">
        <v>52</v>
      </c>
      <c r="H509" t="s">
        <v>68</v>
      </c>
      <c r="I509">
        <v>0.06</v>
      </c>
      <c r="J509">
        <f t="shared" si="21"/>
        <v>37.799999999999997</v>
      </c>
      <c r="K509">
        <v>5</v>
      </c>
      <c r="L509">
        <f t="shared" si="22"/>
        <v>32.799999999999997</v>
      </c>
      <c r="M509" s="4">
        <f t="shared" si="23"/>
        <v>5.046153846153846E-2</v>
      </c>
      <c r="N509">
        <v>650</v>
      </c>
      <c r="O509">
        <v>630</v>
      </c>
      <c r="P509" t="s">
        <v>25</v>
      </c>
      <c r="Q509" t="s">
        <v>26</v>
      </c>
      <c r="R509" t="str">
        <f>IF(COUNTIF(Sheet2!B:B, A509) &gt; 0, "Yes", "No")</f>
        <v>No</v>
      </c>
    </row>
    <row r="510" spans="1:18" x14ac:dyDescent="0.25">
      <c r="A510" s="3">
        <v>45124</v>
      </c>
      <c r="B510" t="s">
        <v>285</v>
      </c>
      <c r="C510" t="s">
        <v>19</v>
      </c>
      <c r="D510" t="s">
        <v>20</v>
      </c>
      <c r="E510" t="s">
        <v>21</v>
      </c>
      <c r="F510" t="s">
        <v>27</v>
      </c>
      <c r="G510" t="s">
        <v>81</v>
      </c>
      <c r="H510" t="s">
        <v>219</v>
      </c>
      <c r="I510">
        <v>0.1</v>
      </c>
      <c r="J510">
        <f t="shared" si="21"/>
        <v>63</v>
      </c>
      <c r="K510">
        <v>0</v>
      </c>
      <c r="L510">
        <f t="shared" si="22"/>
        <v>63</v>
      </c>
      <c r="M510" s="4">
        <f t="shared" si="23"/>
        <v>9.6923076923076917E-2</v>
      </c>
      <c r="N510">
        <v>650</v>
      </c>
      <c r="O510">
        <v>630</v>
      </c>
      <c r="P510" t="s">
        <v>25</v>
      </c>
      <c r="Q510" t="s">
        <v>26</v>
      </c>
      <c r="R510" t="str">
        <f>IF(COUNTIF(Sheet2!B:B, A510) &gt; 0, "Yes", "No")</f>
        <v>No</v>
      </c>
    </row>
    <row r="511" spans="1:18" x14ac:dyDescent="0.25">
      <c r="A511" s="3">
        <v>45124</v>
      </c>
      <c r="B511" t="s">
        <v>285</v>
      </c>
      <c r="C511" t="s">
        <v>19</v>
      </c>
      <c r="D511" t="s">
        <v>20</v>
      </c>
      <c r="E511" t="s">
        <v>21</v>
      </c>
      <c r="F511" t="s">
        <v>30</v>
      </c>
      <c r="G511" t="s">
        <v>31</v>
      </c>
      <c r="H511" t="s">
        <v>31</v>
      </c>
      <c r="I511">
        <v>0.09</v>
      </c>
      <c r="J511">
        <f t="shared" si="21"/>
        <v>56.699999999999996</v>
      </c>
      <c r="K511">
        <v>0</v>
      </c>
      <c r="L511">
        <f t="shared" si="22"/>
        <v>56.699999999999996</v>
      </c>
      <c r="M511" s="4">
        <f t="shared" si="23"/>
        <v>8.7230769230769223E-2</v>
      </c>
      <c r="N511">
        <v>650</v>
      </c>
      <c r="O511">
        <v>630</v>
      </c>
      <c r="P511" t="s">
        <v>25</v>
      </c>
      <c r="Q511" t="s">
        <v>26</v>
      </c>
      <c r="R511" t="str">
        <f>IF(COUNTIF(Sheet2!B:B, A511) &gt; 0, "Yes", "No")</f>
        <v>No</v>
      </c>
    </row>
    <row r="512" spans="1:18" x14ac:dyDescent="0.25">
      <c r="A512" s="3">
        <v>45124</v>
      </c>
      <c r="B512" t="s">
        <v>285</v>
      </c>
      <c r="C512" t="s">
        <v>19</v>
      </c>
      <c r="D512" t="s">
        <v>33</v>
      </c>
      <c r="E512" t="s">
        <v>21</v>
      </c>
      <c r="F512" t="s">
        <v>34</v>
      </c>
      <c r="G512" t="s">
        <v>57</v>
      </c>
      <c r="H512" t="s">
        <v>58</v>
      </c>
      <c r="I512">
        <v>0.15</v>
      </c>
      <c r="J512">
        <f t="shared" si="21"/>
        <v>47.25</v>
      </c>
      <c r="K512">
        <v>2</v>
      </c>
      <c r="L512">
        <f t="shared" si="22"/>
        <v>45.25</v>
      </c>
      <c r="M512" s="4">
        <f t="shared" si="23"/>
        <v>0.13923076923076924</v>
      </c>
      <c r="N512">
        <v>325</v>
      </c>
      <c r="O512">
        <v>315</v>
      </c>
      <c r="P512" t="s">
        <v>25</v>
      </c>
      <c r="Q512" t="s">
        <v>26</v>
      </c>
      <c r="R512" t="str">
        <f>IF(COUNTIF(Sheet2!B:B, A512) &gt; 0, "Yes", "No")</f>
        <v>No</v>
      </c>
    </row>
    <row r="513" spans="1:18" x14ac:dyDescent="0.25">
      <c r="A513" s="3">
        <v>45124</v>
      </c>
      <c r="B513" t="s">
        <v>285</v>
      </c>
      <c r="C513" t="s">
        <v>19</v>
      </c>
      <c r="D513" t="s">
        <v>20</v>
      </c>
      <c r="E513" t="s">
        <v>21</v>
      </c>
      <c r="F513" t="s">
        <v>37</v>
      </c>
      <c r="G513" t="s">
        <v>38</v>
      </c>
      <c r="H513" t="s">
        <v>39</v>
      </c>
      <c r="I513">
        <v>0.03</v>
      </c>
      <c r="J513">
        <f t="shared" si="21"/>
        <v>18.899999999999999</v>
      </c>
      <c r="K513">
        <v>3</v>
      </c>
      <c r="L513">
        <f t="shared" si="22"/>
        <v>15.899999999999999</v>
      </c>
      <c r="M513" s="4">
        <f t="shared" si="23"/>
        <v>2.4461538461538458E-2</v>
      </c>
      <c r="N513">
        <v>650</v>
      </c>
      <c r="O513">
        <v>630</v>
      </c>
      <c r="P513" t="s">
        <v>25</v>
      </c>
      <c r="Q513" t="s">
        <v>26</v>
      </c>
      <c r="R513" t="str">
        <f>IF(COUNTIF(Sheet2!B:B, A513) &gt; 0, "Yes", "No")</f>
        <v>No</v>
      </c>
    </row>
    <row r="514" spans="1:18" x14ac:dyDescent="0.25">
      <c r="A514" s="3">
        <v>45124</v>
      </c>
      <c r="B514" t="s">
        <v>285</v>
      </c>
      <c r="C514" t="s">
        <v>19</v>
      </c>
      <c r="D514" t="s">
        <v>20</v>
      </c>
      <c r="E514" t="s">
        <v>21</v>
      </c>
      <c r="F514" t="s">
        <v>40</v>
      </c>
      <c r="G514" t="s">
        <v>127</v>
      </c>
      <c r="H514" t="s">
        <v>127</v>
      </c>
      <c r="I514">
        <v>4.4999999999999998E-2</v>
      </c>
      <c r="J514">
        <f t="shared" si="21"/>
        <v>28.349999999999998</v>
      </c>
      <c r="K514">
        <v>4</v>
      </c>
      <c r="L514">
        <f t="shared" si="22"/>
        <v>24.349999999999998</v>
      </c>
      <c r="M514" s="4">
        <f t="shared" si="23"/>
        <v>3.7461538461538456E-2</v>
      </c>
      <c r="N514">
        <v>650</v>
      </c>
      <c r="O514">
        <v>630</v>
      </c>
      <c r="P514" t="s">
        <v>25</v>
      </c>
      <c r="Q514" t="s">
        <v>26</v>
      </c>
      <c r="R514" t="str">
        <f>IF(COUNTIF(Sheet2!B:B, A514) &gt; 0, "Yes", "No")</f>
        <v>No</v>
      </c>
    </row>
    <row r="515" spans="1:18" x14ac:dyDescent="0.25">
      <c r="A515" s="3">
        <v>45124</v>
      </c>
      <c r="B515" t="s">
        <v>285</v>
      </c>
      <c r="C515" t="s">
        <v>19</v>
      </c>
      <c r="D515" t="s">
        <v>20</v>
      </c>
      <c r="E515" t="s">
        <v>21</v>
      </c>
      <c r="F515" t="s">
        <v>43</v>
      </c>
      <c r="G515" t="s">
        <v>90</v>
      </c>
      <c r="H515" t="s">
        <v>208</v>
      </c>
      <c r="I515">
        <v>0.11</v>
      </c>
      <c r="J515">
        <f t="shared" ref="J515:J578" si="24">I515*O515</f>
        <v>69.3</v>
      </c>
      <c r="K515">
        <v>6</v>
      </c>
      <c r="L515">
        <f t="shared" ref="L515:L578" si="25">J515-K515</f>
        <v>63.3</v>
      </c>
      <c r="M515" s="4">
        <f t="shared" ref="M515:M578" si="26">((I515*O515)-K515)/N515</f>
        <v>9.7384615384615375E-2</v>
      </c>
      <c r="N515">
        <v>650</v>
      </c>
      <c r="O515">
        <v>630</v>
      </c>
      <c r="P515" t="s">
        <v>25</v>
      </c>
      <c r="Q515" t="s">
        <v>26</v>
      </c>
      <c r="R515" t="str">
        <f>IF(COUNTIF(Sheet2!B:B, A515) &gt; 0, "Yes", "No")</f>
        <v>No</v>
      </c>
    </row>
    <row r="516" spans="1:18" x14ac:dyDescent="0.25">
      <c r="A516" s="3">
        <v>45124</v>
      </c>
      <c r="B516" t="s">
        <v>285</v>
      </c>
      <c r="C516" t="s">
        <v>19</v>
      </c>
      <c r="D516" t="s">
        <v>20</v>
      </c>
      <c r="E516" t="s">
        <v>21</v>
      </c>
      <c r="F516" t="s">
        <v>46</v>
      </c>
      <c r="G516" t="s">
        <v>92</v>
      </c>
      <c r="H516" t="s">
        <v>311</v>
      </c>
      <c r="I516">
        <v>8.5000000000000006E-2</v>
      </c>
      <c r="J516">
        <f t="shared" si="24"/>
        <v>53.550000000000004</v>
      </c>
      <c r="K516">
        <v>3</v>
      </c>
      <c r="L516">
        <f t="shared" si="25"/>
        <v>50.550000000000004</v>
      </c>
      <c r="M516" s="4">
        <f t="shared" si="26"/>
        <v>7.7769230769230771E-2</v>
      </c>
      <c r="N516">
        <v>650</v>
      </c>
      <c r="O516">
        <v>630</v>
      </c>
      <c r="P516" t="s">
        <v>25</v>
      </c>
      <c r="Q516" t="s">
        <v>26</v>
      </c>
      <c r="R516" t="str">
        <f>IF(COUNTIF(Sheet2!B:B, A516) &gt; 0, "Yes", "No")</f>
        <v>No</v>
      </c>
    </row>
    <row r="517" spans="1:18" x14ac:dyDescent="0.25">
      <c r="A517" s="3">
        <v>45124</v>
      </c>
      <c r="B517" t="s">
        <v>285</v>
      </c>
      <c r="C517" t="s">
        <v>19</v>
      </c>
      <c r="D517" t="s">
        <v>20</v>
      </c>
      <c r="E517" t="s">
        <v>21</v>
      </c>
      <c r="F517" t="s">
        <v>49</v>
      </c>
      <c r="G517" t="s">
        <v>50</v>
      </c>
      <c r="H517" t="s">
        <v>49</v>
      </c>
      <c r="I517">
        <v>0.09</v>
      </c>
      <c r="J517">
        <f t="shared" si="24"/>
        <v>56.699999999999996</v>
      </c>
      <c r="K517">
        <v>0</v>
      </c>
      <c r="L517">
        <f t="shared" si="25"/>
        <v>56.699999999999996</v>
      </c>
      <c r="M517" s="4">
        <f t="shared" si="26"/>
        <v>8.7230769230769223E-2</v>
      </c>
      <c r="N517">
        <v>650</v>
      </c>
      <c r="O517">
        <v>630</v>
      </c>
      <c r="P517" t="s">
        <v>25</v>
      </c>
      <c r="Q517" t="s">
        <v>26</v>
      </c>
      <c r="R517" t="str">
        <f>IF(COUNTIF(Sheet2!B:B, A517) &gt; 0, "Yes", "No")</f>
        <v>No</v>
      </c>
    </row>
    <row r="518" spans="1:18" x14ac:dyDescent="0.25">
      <c r="A518" s="3">
        <v>45125</v>
      </c>
      <c r="B518" t="s">
        <v>285</v>
      </c>
      <c r="C518" t="s">
        <v>105</v>
      </c>
      <c r="D518" t="s">
        <v>20</v>
      </c>
      <c r="E518" t="s">
        <v>67</v>
      </c>
      <c r="F518" t="s">
        <v>22</v>
      </c>
      <c r="G518" t="s">
        <v>52</v>
      </c>
      <c r="H518" t="s">
        <v>148</v>
      </c>
      <c r="I518">
        <v>8.5000000000000006E-2</v>
      </c>
      <c r="J518">
        <f t="shared" si="24"/>
        <v>57.800000000000004</v>
      </c>
      <c r="K518">
        <v>1</v>
      </c>
      <c r="L518">
        <f t="shared" si="25"/>
        <v>56.800000000000004</v>
      </c>
      <c r="M518" s="4">
        <f t="shared" si="26"/>
        <v>8.1142857142857155E-2</v>
      </c>
      <c r="N518">
        <v>700</v>
      </c>
      <c r="O518">
        <v>680</v>
      </c>
      <c r="P518" t="s">
        <v>25</v>
      </c>
      <c r="Q518" t="s">
        <v>26</v>
      </c>
      <c r="R518" t="str">
        <f>IF(COUNTIF(Sheet2!B:B, A518) &gt; 0, "Yes", "No")</f>
        <v>No</v>
      </c>
    </row>
    <row r="519" spans="1:18" x14ac:dyDescent="0.25">
      <c r="A519" s="3">
        <v>45125</v>
      </c>
      <c r="B519" t="s">
        <v>285</v>
      </c>
      <c r="C519" t="s">
        <v>105</v>
      </c>
      <c r="D519" t="s">
        <v>20</v>
      </c>
      <c r="E519" t="s">
        <v>67</v>
      </c>
      <c r="F519" t="s">
        <v>27</v>
      </c>
      <c r="G519" t="s">
        <v>780</v>
      </c>
      <c r="H519" t="s">
        <v>149</v>
      </c>
      <c r="I519">
        <v>0.11</v>
      </c>
      <c r="J519">
        <f t="shared" si="24"/>
        <v>74.8</v>
      </c>
      <c r="K519">
        <v>0</v>
      </c>
      <c r="L519">
        <f t="shared" si="25"/>
        <v>74.8</v>
      </c>
      <c r="M519" s="4">
        <f t="shared" si="26"/>
        <v>0.10685714285714286</v>
      </c>
      <c r="N519">
        <v>700</v>
      </c>
      <c r="O519">
        <v>680</v>
      </c>
      <c r="P519" t="s">
        <v>25</v>
      </c>
      <c r="Q519" t="s">
        <v>26</v>
      </c>
      <c r="R519" t="str">
        <f>IF(COUNTIF(Sheet2!B:B, A519) &gt; 0, "Yes", "No")</f>
        <v>No</v>
      </c>
    </row>
    <row r="520" spans="1:18" x14ac:dyDescent="0.25">
      <c r="A520" s="3">
        <v>45125</v>
      </c>
      <c r="B520" t="s">
        <v>285</v>
      </c>
      <c r="C520" t="s">
        <v>105</v>
      </c>
      <c r="D520" t="s">
        <v>20</v>
      </c>
      <c r="E520" t="s">
        <v>67</v>
      </c>
      <c r="F520" t="s">
        <v>30</v>
      </c>
      <c r="G520" t="s">
        <v>31</v>
      </c>
      <c r="H520" t="s">
        <v>172</v>
      </c>
      <c r="I520">
        <v>0.09</v>
      </c>
      <c r="J520">
        <f t="shared" si="24"/>
        <v>61.199999999999996</v>
      </c>
      <c r="K520">
        <v>0</v>
      </c>
      <c r="L520">
        <f t="shared" si="25"/>
        <v>61.199999999999996</v>
      </c>
      <c r="M520" s="4">
        <f t="shared" si="26"/>
        <v>8.7428571428571425E-2</v>
      </c>
      <c r="N520">
        <v>700</v>
      </c>
      <c r="O520">
        <v>680</v>
      </c>
      <c r="P520" t="s">
        <v>25</v>
      </c>
      <c r="Q520" t="s">
        <v>26</v>
      </c>
      <c r="R520" t="str">
        <f>IF(COUNTIF(Sheet2!B:B, A520) &gt; 0, "Yes", "No")</f>
        <v>No</v>
      </c>
    </row>
    <row r="521" spans="1:18" x14ac:dyDescent="0.25">
      <c r="A521" s="3">
        <v>45125</v>
      </c>
      <c r="B521" t="s">
        <v>285</v>
      </c>
      <c r="C521" t="s">
        <v>105</v>
      </c>
      <c r="D521" t="s">
        <v>20</v>
      </c>
      <c r="E521" t="s">
        <v>67</v>
      </c>
      <c r="F521" t="s">
        <v>37</v>
      </c>
      <c r="G521" t="s">
        <v>87</v>
      </c>
      <c r="H521" t="s">
        <v>88</v>
      </c>
      <c r="I521">
        <v>3.5000000000000003E-2</v>
      </c>
      <c r="J521">
        <f t="shared" si="24"/>
        <v>23.8</v>
      </c>
      <c r="K521">
        <v>2</v>
      </c>
      <c r="L521">
        <f t="shared" si="25"/>
        <v>21.8</v>
      </c>
      <c r="M521" s="4">
        <f t="shared" si="26"/>
        <v>3.1142857142857142E-2</v>
      </c>
      <c r="N521">
        <v>700</v>
      </c>
      <c r="O521">
        <v>680</v>
      </c>
      <c r="P521" t="s">
        <v>25</v>
      </c>
      <c r="Q521" t="s">
        <v>26</v>
      </c>
      <c r="R521" t="str">
        <f>IF(COUNTIF(Sheet2!B:B, A521) &gt; 0, "Yes", "No")</f>
        <v>No</v>
      </c>
    </row>
    <row r="522" spans="1:18" x14ac:dyDescent="0.25">
      <c r="A522" s="3">
        <v>45125</v>
      </c>
      <c r="B522" t="s">
        <v>285</v>
      </c>
      <c r="C522" t="s">
        <v>105</v>
      </c>
      <c r="D522" t="s">
        <v>20</v>
      </c>
      <c r="E522" t="s">
        <v>67</v>
      </c>
      <c r="F522" t="s">
        <v>40</v>
      </c>
      <c r="G522" t="s">
        <v>137</v>
      </c>
      <c r="H522" t="s">
        <v>138</v>
      </c>
      <c r="I522">
        <v>0.05</v>
      </c>
      <c r="J522">
        <f t="shared" si="24"/>
        <v>34</v>
      </c>
      <c r="K522">
        <v>1</v>
      </c>
      <c r="L522">
        <f t="shared" si="25"/>
        <v>33</v>
      </c>
      <c r="M522" s="4">
        <f t="shared" si="26"/>
        <v>4.7142857142857146E-2</v>
      </c>
      <c r="N522">
        <v>700</v>
      </c>
      <c r="O522">
        <v>680</v>
      </c>
      <c r="P522" t="s">
        <v>25</v>
      </c>
      <c r="Q522" t="s">
        <v>26</v>
      </c>
      <c r="R522" t="str">
        <f>IF(COUNTIF(Sheet2!B:B, A522) &gt; 0, "Yes", "No")</f>
        <v>No</v>
      </c>
    </row>
    <row r="523" spans="1:18" x14ac:dyDescent="0.25">
      <c r="A523" s="3">
        <v>45125</v>
      </c>
      <c r="B523" t="s">
        <v>285</v>
      </c>
      <c r="C523" t="s">
        <v>105</v>
      </c>
      <c r="D523" t="s">
        <v>20</v>
      </c>
      <c r="E523" t="s">
        <v>67</v>
      </c>
      <c r="F523" t="s">
        <v>43</v>
      </c>
      <c r="G523" t="s">
        <v>159</v>
      </c>
      <c r="H523" t="s">
        <v>160</v>
      </c>
      <c r="I523">
        <v>0.11</v>
      </c>
      <c r="J523">
        <f t="shared" si="24"/>
        <v>74.8</v>
      </c>
      <c r="K523">
        <v>1</v>
      </c>
      <c r="L523">
        <f t="shared" si="25"/>
        <v>73.8</v>
      </c>
      <c r="M523" s="4">
        <f t="shared" si="26"/>
        <v>0.10542857142857143</v>
      </c>
      <c r="N523">
        <v>700</v>
      </c>
      <c r="O523">
        <v>680</v>
      </c>
      <c r="P523" t="s">
        <v>25</v>
      </c>
      <c r="Q523" t="s">
        <v>26</v>
      </c>
      <c r="R523" t="str">
        <f>IF(COUNTIF(Sheet2!B:B, A523) &gt; 0, "Yes", "No")</f>
        <v>No</v>
      </c>
    </row>
    <row r="524" spans="1:18" x14ac:dyDescent="0.25">
      <c r="A524" s="3">
        <v>45125</v>
      </c>
      <c r="B524" t="s">
        <v>285</v>
      </c>
      <c r="C524" t="s">
        <v>105</v>
      </c>
      <c r="D524" t="s">
        <v>20</v>
      </c>
      <c r="E524" t="s">
        <v>67</v>
      </c>
      <c r="F524" t="s">
        <v>46</v>
      </c>
      <c r="G524" t="s">
        <v>47</v>
      </c>
      <c r="H524" t="s">
        <v>312</v>
      </c>
      <c r="I524">
        <v>8.5000000000000006E-2</v>
      </c>
      <c r="J524">
        <f t="shared" si="24"/>
        <v>57.800000000000004</v>
      </c>
      <c r="K524">
        <v>0</v>
      </c>
      <c r="L524">
        <f t="shared" si="25"/>
        <v>57.800000000000004</v>
      </c>
      <c r="M524" s="4">
        <f t="shared" si="26"/>
        <v>8.2571428571428573E-2</v>
      </c>
      <c r="N524">
        <v>700</v>
      </c>
      <c r="O524">
        <v>680</v>
      </c>
      <c r="P524" t="s">
        <v>25</v>
      </c>
      <c r="Q524" t="s">
        <v>26</v>
      </c>
      <c r="R524" t="str">
        <f>IF(COUNTIF(Sheet2!B:B, A524) &gt; 0, "Yes", "No")</f>
        <v>No</v>
      </c>
    </row>
    <row r="525" spans="1:18" x14ac:dyDescent="0.25">
      <c r="A525" s="3">
        <v>45125</v>
      </c>
      <c r="B525" t="s">
        <v>285</v>
      </c>
      <c r="C525" t="s">
        <v>105</v>
      </c>
      <c r="D525" t="s">
        <v>20</v>
      </c>
      <c r="E525" t="s">
        <v>67</v>
      </c>
      <c r="F525" t="s">
        <v>49</v>
      </c>
      <c r="G525" t="s">
        <v>50</v>
      </c>
      <c r="H525" t="s">
        <v>49</v>
      </c>
      <c r="I525">
        <v>0.09</v>
      </c>
      <c r="J525">
        <f t="shared" si="24"/>
        <v>61.199999999999996</v>
      </c>
      <c r="K525">
        <v>2</v>
      </c>
      <c r="L525">
        <f t="shared" si="25"/>
        <v>59.199999999999996</v>
      </c>
      <c r="M525" s="4">
        <f t="shared" si="26"/>
        <v>8.4571428571428561E-2</v>
      </c>
      <c r="N525">
        <v>700</v>
      </c>
      <c r="O525">
        <v>680</v>
      </c>
      <c r="P525" t="s">
        <v>25</v>
      </c>
      <c r="Q525" t="s">
        <v>26</v>
      </c>
      <c r="R525" t="str">
        <f>IF(COUNTIF(Sheet2!B:B, A525) &gt; 0, "Yes", "No")</f>
        <v>No</v>
      </c>
    </row>
    <row r="526" spans="1:18" x14ac:dyDescent="0.25">
      <c r="A526" s="3">
        <v>45126</v>
      </c>
      <c r="B526" t="s">
        <v>285</v>
      </c>
      <c r="C526" t="s">
        <v>51</v>
      </c>
      <c r="D526" t="s">
        <v>20</v>
      </c>
      <c r="E526" t="s">
        <v>21</v>
      </c>
      <c r="F526" t="s">
        <v>22</v>
      </c>
      <c r="G526" t="s">
        <v>94</v>
      </c>
      <c r="H526" t="s">
        <v>95</v>
      </c>
      <c r="I526">
        <v>8.5000000000000006E-2</v>
      </c>
      <c r="J526">
        <f t="shared" si="24"/>
        <v>59.500000000000007</v>
      </c>
      <c r="K526">
        <v>4</v>
      </c>
      <c r="L526">
        <f t="shared" si="25"/>
        <v>55.500000000000007</v>
      </c>
      <c r="M526" s="4">
        <f t="shared" si="26"/>
        <v>7.400000000000001E-2</v>
      </c>
      <c r="N526">
        <v>750</v>
      </c>
      <c r="O526">
        <v>700</v>
      </c>
      <c r="P526" t="s">
        <v>25</v>
      </c>
      <c r="Q526" t="s">
        <v>26</v>
      </c>
      <c r="R526" t="str">
        <f>IF(COUNTIF(Sheet2!B:B, A526) &gt; 0, "Yes", "No")</f>
        <v>No</v>
      </c>
    </row>
    <row r="527" spans="1:18" x14ac:dyDescent="0.25">
      <c r="A527" s="3">
        <v>45126</v>
      </c>
      <c r="B527" t="s">
        <v>285</v>
      </c>
      <c r="C527" t="s">
        <v>51</v>
      </c>
      <c r="D527" t="s">
        <v>20</v>
      </c>
      <c r="E527" t="s">
        <v>21</v>
      </c>
      <c r="F527" t="s">
        <v>27</v>
      </c>
      <c r="G527" t="s">
        <v>28</v>
      </c>
      <c r="H527" t="s">
        <v>313</v>
      </c>
      <c r="I527">
        <v>0.11</v>
      </c>
      <c r="J527">
        <f t="shared" si="24"/>
        <v>77</v>
      </c>
      <c r="K527">
        <v>5</v>
      </c>
      <c r="L527">
        <f t="shared" si="25"/>
        <v>72</v>
      </c>
      <c r="M527" s="4">
        <f t="shared" si="26"/>
        <v>9.6000000000000002E-2</v>
      </c>
      <c r="N527">
        <v>750</v>
      </c>
      <c r="O527">
        <v>700</v>
      </c>
      <c r="P527" t="s">
        <v>25</v>
      </c>
      <c r="Q527" t="s">
        <v>26</v>
      </c>
      <c r="R527" t="str">
        <f>IF(COUNTIF(Sheet2!B:B, A527) &gt; 0, "Yes", "No")</f>
        <v>No</v>
      </c>
    </row>
    <row r="528" spans="1:18" x14ac:dyDescent="0.25">
      <c r="A528" s="3">
        <v>45126</v>
      </c>
      <c r="B528" t="s">
        <v>285</v>
      </c>
      <c r="C528" t="s">
        <v>51</v>
      </c>
      <c r="D528" t="s">
        <v>20</v>
      </c>
      <c r="E528" t="s">
        <v>21</v>
      </c>
      <c r="F528" t="s">
        <v>30</v>
      </c>
      <c r="G528" t="s">
        <v>55</v>
      </c>
      <c r="H528" t="s">
        <v>183</v>
      </c>
      <c r="I528">
        <v>0.09</v>
      </c>
      <c r="J528">
        <f t="shared" si="24"/>
        <v>63</v>
      </c>
      <c r="K528">
        <v>2</v>
      </c>
      <c r="L528">
        <f t="shared" si="25"/>
        <v>61</v>
      </c>
      <c r="M528" s="4">
        <f t="shared" si="26"/>
        <v>8.1333333333333327E-2</v>
      </c>
      <c r="N528">
        <v>750</v>
      </c>
      <c r="O528">
        <v>700</v>
      </c>
      <c r="P528" t="s">
        <v>25</v>
      </c>
      <c r="Q528" t="s">
        <v>26</v>
      </c>
      <c r="R528" t="str">
        <f>IF(COUNTIF(Sheet2!B:B, A528) &gt; 0, "Yes", "No")</f>
        <v>No</v>
      </c>
    </row>
    <row r="529" spans="1:18" x14ac:dyDescent="0.25">
      <c r="A529" s="3">
        <v>45126</v>
      </c>
      <c r="B529" t="s">
        <v>285</v>
      </c>
      <c r="C529" t="s">
        <v>51</v>
      </c>
      <c r="D529" t="s">
        <v>33</v>
      </c>
      <c r="E529" t="s">
        <v>21</v>
      </c>
      <c r="F529" t="s">
        <v>34</v>
      </c>
      <c r="G529" t="s">
        <v>57</v>
      </c>
      <c r="H529" t="s">
        <v>314</v>
      </c>
      <c r="I529">
        <v>0.15</v>
      </c>
      <c r="J529">
        <f t="shared" si="24"/>
        <v>52.5</v>
      </c>
      <c r="K529">
        <v>1</v>
      </c>
      <c r="L529">
        <f t="shared" si="25"/>
        <v>51.5</v>
      </c>
      <c r="M529" s="4">
        <f t="shared" si="26"/>
        <v>0.13733333333333334</v>
      </c>
      <c r="N529">
        <v>375</v>
      </c>
      <c r="O529">
        <v>350</v>
      </c>
      <c r="P529" t="s">
        <v>25</v>
      </c>
      <c r="Q529" t="s">
        <v>26</v>
      </c>
      <c r="R529" t="str">
        <f>IF(COUNTIF(Sheet2!B:B, A529) &gt; 0, "Yes", "No")</f>
        <v>No</v>
      </c>
    </row>
    <row r="530" spans="1:18" x14ac:dyDescent="0.25">
      <c r="A530" s="3">
        <v>45126</v>
      </c>
      <c r="B530" t="s">
        <v>285</v>
      </c>
      <c r="C530" t="s">
        <v>51</v>
      </c>
      <c r="D530" t="s">
        <v>20</v>
      </c>
      <c r="E530" t="s">
        <v>21</v>
      </c>
      <c r="F530" t="s">
        <v>37</v>
      </c>
      <c r="G530" t="s">
        <v>71</v>
      </c>
      <c r="H530" t="s">
        <v>315</v>
      </c>
      <c r="I530">
        <v>0.03</v>
      </c>
      <c r="J530">
        <f t="shared" si="24"/>
        <v>21</v>
      </c>
      <c r="K530">
        <v>3</v>
      </c>
      <c r="L530">
        <f t="shared" si="25"/>
        <v>18</v>
      </c>
      <c r="M530" s="4">
        <f t="shared" si="26"/>
        <v>2.4E-2</v>
      </c>
      <c r="N530">
        <v>750</v>
      </c>
      <c r="O530">
        <v>700</v>
      </c>
      <c r="P530" t="s">
        <v>25</v>
      </c>
      <c r="Q530" t="s">
        <v>26</v>
      </c>
      <c r="R530" t="str">
        <f>IF(COUNTIF(Sheet2!B:B, A530) &gt; 0, "Yes", "No")</f>
        <v>No</v>
      </c>
    </row>
    <row r="531" spans="1:18" x14ac:dyDescent="0.25">
      <c r="A531" s="3">
        <v>45126</v>
      </c>
      <c r="B531" t="s">
        <v>285</v>
      </c>
      <c r="C531" t="s">
        <v>51</v>
      </c>
      <c r="D531" t="s">
        <v>20</v>
      </c>
      <c r="E531" t="s">
        <v>21</v>
      </c>
      <c r="F531" t="s">
        <v>40</v>
      </c>
      <c r="G531" t="s">
        <v>137</v>
      </c>
      <c r="H531" t="s">
        <v>251</v>
      </c>
      <c r="I531">
        <v>4.4999999999999998E-2</v>
      </c>
      <c r="J531">
        <f t="shared" si="24"/>
        <v>31.5</v>
      </c>
      <c r="K531">
        <v>4</v>
      </c>
      <c r="L531">
        <f t="shared" si="25"/>
        <v>27.5</v>
      </c>
      <c r="M531" s="4">
        <f t="shared" si="26"/>
        <v>3.6666666666666667E-2</v>
      </c>
      <c r="N531">
        <v>750</v>
      </c>
      <c r="O531">
        <v>700</v>
      </c>
      <c r="P531" t="s">
        <v>25</v>
      </c>
      <c r="Q531" t="s">
        <v>26</v>
      </c>
      <c r="R531" t="str">
        <f>IF(COUNTIF(Sheet2!B:B, A531) &gt; 0, "Yes", "No")</f>
        <v>No</v>
      </c>
    </row>
    <row r="532" spans="1:18" x14ac:dyDescent="0.25">
      <c r="A532" s="3">
        <v>45126</v>
      </c>
      <c r="B532" t="s">
        <v>285</v>
      </c>
      <c r="C532" t="s">
        <v>51</v>
      </c>
      <c r="D532" t="s">
        <v>20</v>
      </c>
      <c r="E532" t="s">
        <v>21</v>
      </c>
      <c r="F532" t="s">
        <v>43</v>
      </c>
      <c r="G532" t="s">
        <v>44</v>
      </c>
      <c r="H532" t="s">
        <v>316</v>
      </c>
      <c r="I532">
        <v>0.11</v>
      </c>
      <c r="J532">
        <f t="shared" si="24"/>
        <v>77</v>
      </c>
      <c r="K532">
        <v>0</v>
      </c>
      <c r="L532">
        <f t="shared" si="25"/>
        <v>77</v>
      </c>
      <c r="M532" s="4">
        <f t="shared" si="26"/>
        <v>0.10266666666666667</v>
      </c>
      <c r="N532">
        <v>750</v>
      </c>
      <c r="O532">
        <v>700</v>
      </c>
      <c r="P532" t="s">
        <v>25</v>
      </c>
      <c r="Q532" t="s">
        <v>26</v>
      </c>
      <c r="R532" t="str">
        <f>IF(COUNTIF(Sheet2!B:B, A532) &gt; 0, "Yes", "No")</f>
        <v>No</v>
      </c>
    </row>
    <row r="533" spans="1:18" x14ac:dyDescent="0.25">
      <c r="A533" s="3">
        <v>45126</v>
      </c>
      <c r="B533" t="s">
        <v>285</v>
      </c>
      <c r="C533" t="s">
        <v>51</v>
      </c>
      <c r="D533" t="s">
        <v>20</v>
      </c>
      <c r="E533" t="s">
        <v>21</v>
      </c>
      <c r="F533" t="s">
        <v>46</v>
      </c>
      <c r="G533" t="s">
        <v>77</v>
      </c>
      <c r="H533" t="s">
        <v>203</v>
      </c>
      <c r="I533">
        <v>8.5000000000000006E-2</v>
      </c>
      <c r="J533">
        <f t="shared" si="24"/>
        <v>59.500000000000007</v>
      </c>
      <c r="K533">
        <v>5</v>
      </c>
      <c r="L533">
        <f t="shared" si="25"/>
        <v>54.500000000000007</v>
      </c>
      <c r="M533" s="4">
        <f t="shared" si="26"/>
        <v>7.2666666666666671E-2</v>
      </c>
      <c r="N533">
        <v>750</v>
      </c>
      <c r="O533">
        <v>700</v>
      </c>
      <c r="P533" t="s">
        <v>25</v>
      </c>
      <c r="Q533" t="s">
        <v>26</v>
      </c>
      <c r="R533" t="str">
        <f>IF(COUNTIF(Sheet2!B:B, A533) &gt; 0, "Yes", "No")</f>
        <v>No</v>
      </c>
    </row>
    <row r="534" spans="1:18" x14ac:dyDescent="0.25">
      <c r="A534" s="3">
        <v>45126</v>
      </c>
      <c r="B534" t="s">
        <v>285</v>
      </c>
      <c r="C534" t="s">
        <v>51</v>
      </c>
      <c r="D534" t="s">
        <v>20</v>
      </c>
      <c r="E534" t="s">
        <v>21</v>
      </c>
      <c r="F534" t="s">
        <v>49</v>
      </c>
      <c r="G534" t="s">
        <v>50</v>
      </c>
      <c r="H534" t="s">
        <v>49</v>
      </c>
      <c r="I534">
        <v>0.09</v>
      </c>
      <c r="J534">
        <f t="shared" si="24"/>
        <v>63</v>
      </c>
      <c r="K534">
        <v>2</v>
      </c>
      <c r="L534">
        <f t="shared" si="25"/>
        <v>61</v>
      </c>
      <c r="M534" s="4">
        <f t="shared" si="26"/>
        <v>8.1333333333333327E-2</v>
      </c>
      <c r="N534">
        <v>750</v>
      </c>
      <c r="O534">
        <v>700</v>
      </c>
      <c r="P534" t="s">
        <v>25</v>
      </c>
      <c r="Q534" t="s">
        <v>26</v>
      </c>
      <c r="R534" t="str">
        <f>IF(COUNTIF(Sheet2!B:B, A534) &gt; 0, "Yes", "No")</f>
        <v>No</v>
      </c>
    </row>
    <row r="535" spans="1:18" x14ac:dyDescent="0.25">
      <c r="A535" s="3">
        <v>45127</v>
      </c>
      <c r="B535" t="s">
        <v>285</v>
      </c>
      <c r="C535" t="s">
        <v>66</v>
      </c>
      <c r="D535" t="s">
        <v>20</v>
      </c>
      <c r="E535" t="s">
        <v>67</v>
      </c>
      <c r="F535" t="s">
        <v>22</v>
      </c>
      <c r="G535" t="s">
        <v>122</v>
      </c>
      <c r="H535" t="s">
        <v>155</v>
      </c>
      <c r="I535">
        <v>8.5000000000000006E-2</v>
      </c>
      <c r="J535">
        <f t="shared" si="24"/>
        <v>55.250000000000007</v>
      </c>
      <c r="K535">
        <v>2</v>
      </c>
      <c r="L535">
        <f t="shared" si="25"/>
        <v>53.250000000000007</v>
      </c>
      <c r="M535" s="4">
        <f t="shared" si="26"/>
        <v>7.6071428571428581E-2</v>
      </c>
      <c r="N535">
        <v>700</v>
      </c>
      <c r="O535">
        <v>650</v>
      </c>
      <c r="P535" t="s">
        <v>25</v>
      </c>
      <c r="Q535" t="s">
        <v>26</v>
      </c>
      <c r="R535" t="str">
        <f>IF(COUNTIF(Sheet2!B:B, A535) &gt; 0, "Yes", "No")</f>
        <v>No</v>
      </c>
    </row>
    <row r="536" spans="1:18" x14ac:dyDescent="0.25">
      <c r="A536" s="3">
        <v>45127</v>
      </c>
      <c r="B536" t="s">
        <v>285</v>
      </c>
      <c r="C536" t="s">
        <v>66</v>
      </c>
      <c r="D536" t="s">
        <v>20</v>
      </c>
      <c r="E536" t="s">
        <v>67</v>
      </c>
      <c r="F536" t="s">
        <v>27</v>
      </c>
      <c r="G536" t="s">
        <v>28</v>
      </c>
      <c r="H536" t="s">
        <v>317</v>
      </c>
      <c r="I536">
        <v>0.11</v>
      </c>
      <c r="J536">
        <f t="shared" si="24"/>
        <v>71.5</v>
      </c>
      <c r="K536">
        <v>0</v>
      </c>
      <c r="L536">
        <f t="shared" si="25"/>
        <v>71.5</v>
      </c>
      <c r="M536" s="4">
        <f t="shared" si="26"/>
        <v>0.10214285714285715</v>
      </c>
      <c r="N536">
        <v>700</v>
      </c>
      <c r="O536">
        <v>650</v>
      </c>
      <c r="P536" t="s">
        <v>25</v>
      </c>
      <c r="Q536" t="s">
        <v>26</v>
      </c>
      <c r="R536" t="str">
        <f>IF(COUNTIF(Sheet2!B:B, A536) &gt; 0, "Yes", "No")</f>
        <v>No</v>
      </c>
    </row>
    <row r="537" spans="1:18" x14ac:dyDescent="0.25">
      <c r="A537" s="3">
        <v>45127</v>
      </c>
      <c r="B537" t="s">
        <v>285</v>
      </c>
      <c r="C537" t="s">
        <v>66</v>
      </c>
      <c r="D537" t="s">
        <v>20</v>
      </c>
      <c r="E537" t="s">
        <v>67</v>
      </c>
      <c r="F537" t="s">
        <v>30</v>
      </c>
      <c r="G537" t="s">
        <v>31</v>
      </c>
      <c r="H537" t="s">
        <v>70</v>
      </c>
      <c r="I537">
        <v>0.09</v>
      </c>
      <c r="J537">
        <f t="shared" si="24"/>
        <v>58.5</v>
      </c>
      <c r="K537">
        <v>0</v>
      </c>
      <c r="L537">
        <f t="shared" si="25"/>
        <v>58.5</v>
      </c>
      <c r="M537" s="4">
        <f t="shared" si="26"/>
        <v>8.3571428571428574E-2</v>
      </c>
      <c r="N537">
        <v>700</v>
      </c>
      <c r="O537">
        <v>650</v>
      </c>
      <c r="P537" t="s">
        <v>25</v>
      </c>
      <c r="Q537" t="s">
        <v>26</v>
      </c>
      <c r="R537" t="str">
        <f>IF(COUNTIF(Sheet2!B:B, A537) &gt; 0, "Yes", "No")</f>
        <v>No</v>
      </c>
    </row>
    <row r="538" spans="1:18" x14ac:dyDescent="0.25">
      <c r="A538" s="3">
        <v>45127</v>
      </c>
      <c r="B538" t="s">
        <v>285</v>
      </c>
      <c r="C538" t="s">
        <v>66</v>
      </c>
      <c r="D538" t="s">
        <v>20</v>
      </c>
      <c r="E538" t="s">
        <v>67</v>
      </c>
      <c r="F538" t="s">
        <v>37</v>
      </c>
      <c r="G538" t="s">
        <v>87</v>
      </c>
      <c r="H538" t="s">
        <v>136</v>
      </c>
      <c r="I538">
        <v>3.5000000000000003E-2</v>
      </c>
      <c r="J538">
        <f t="shared" si="24"/>
        <v>22.750000000000004</v>
      </c>
      <c r="K538">
        <v>2</v>
      </c>
      <c r="L538">
        <f t="shared" si="25"/>
        <v>20.750000000000004</v>
      </c>
      <c r="M538" s="4">
        <f t="shared" si="26"/>
        <v>2.9642857142857148E-2</v>
      </c>
      <c r="N538">
        <v>700</v>
      </c>
      <c r="O538">
        <v>650</v>
      </c>
      <c r="P538" t="s">
        <v>25</v>
      </c>
      <c r="Q538" t="s">
        <v>26</v>
      </c>
      <c r="R538" t="str">
        <f>IF(COUNTIF(Sheet2!B:B, A538) &gt; 0, "Yes", "No")</f>
        <v>No</v>
      </c>
    </row>
    <row r="539" spans="1:18" x14ac:dyDescent="0.25">
      <c r="A539" s="3">
        <v>45127</v>
      </c>
      <c r="B539" t="s">
        <v>285</v>
      </c>
      <c r="C539" t="s">
        <v>66</v>
      </c>
      <c r="D539" t="s">
        <v>20</v>
      </c>
      <c r="E539" t="s">
        <v>67</v>
      </c>
      <c r="F539" t="s">
        <v>40</v>
      </c>
      <c r="G539" t="s">
        <v>157</v>
      </c>
      <c r="H539" t="s">
        <v>221</v>
      </c>
      <c r="I539">
        <v>0.05</v>
      </c>
      <c r="J539">
        <f t="shared" si="24"/>
        <v>32.5</v>
      </c>
      <c r="K539">
        <v>1</v>
      </c>
      <c r="L539">
        <f t="shared" si="25"/>
        <v>31.5</v>
      </c>
      <c r="M539" s="4">
        <f t="shared" si="26"/>
        <v>4.4999999999999998E-2</v>
      </c>
      <c r="N539">
        <v>700</v>
      </c>
      <c r="O539">
        <v>650</v>
      </c>
      <c r="P539" t="s">
        <v>25</v>
      </c>
      <c r="Q539" t="s">
        <v>26</v>
      </c>
      <c r="R539" t="str">
        <f>IF(COUNTIF(Sheet2!B:B, A539) &gt; 0, "Yes", "No")</f>
        <v>No</v>
      </c>
    </row>
    <row r="540" spans="1:18" x14ac:dyDescent="0.25">
      <c r="A540" s="3">
        <v>45127</v>
      </c>
      <c r="B540" t="s">
        <v>285</v>
      </c>
      <c r="C540" t="s">
        <v>66</v>
      </c>
      <c r="D540" t="s">
        <v>20</v>
      </c>
      <c r="E540" t="s">
        <v>67</v>
      </c>
      <c r="F540" t="s">
        <v>43</v>
      </c>
      <c r="G540" t="s">
        <v>139</v>
      </c>
      <c r="H540" t="s">
        <v>318</v>
      </c>
      <c r="I540">
        <v>0.11</v>
      </c>
      <c r="J540">
        <f t="shared" si="24"/>
        <v>71.5</v>
      </c>
      <c r="K540">
        <v>1</v>
      </c>
      <c r="L540">
        <f t="shared" si="25"/>
        <v>70.5</v>
      </c>
      <c r="M540" s="4">
        <f t="shared" si="26"/>
        <v>0.10071428571428571</v>
      </c>
      <c r="N540">
        <v>700</v>
      </c>
      <c r="O540">
        <v>650</v>
      </c>
      <c r="P540" t="s">
        <v>25</v>
      </c>
      <c r="Q540" t="s">
        <v>26</v>
      </c>
      <c r="R540" t="str">
        <f>IF(COUNTIF(Sheet2!B:B, A540) &gt; 0, "Yes", "No")</f>
        <v>No</v>
      </c>
    </row>
    <row r="541" spans="1:18" x14ac:dyDescent="0.25">
      <c r="A541" s="3">
        <v>45127</v>
      </c>
      <c r="B541" t="s">
        <v>285</v>
      </c>
      <c r="C541" t="s">
        <v>66</v>
      </c>
      <c r="D541" t="s">
        <v>20</v>
      </c>
      <c r="E541" t="s">
        <v>67</v>
      </c>
      <c r="F541" t="s">
        <v>46</v>
      </c>
      <c r="G541" t="s">
        <v>47</v>
      </c>
      <c r="H541" t="s">
        <v>65</v>
      </c>
      <c r="I541">
        <v>8.5000000000000006E-2</v>
      </c>
      <c r="J541">
        <f t="shared" si="24"/>
        <v>55.250000000000007</v>
      </c>
      <c r="K541">
        <v>2</v>
      </c>
      <c r="L541">
        <f t="shared" si="25"/>
        <v>53.250000000000007</v>
      </c>
      <c r="M541" s="4">
        <f t="shared" si="26"/>
        <v>7.6071428571428581E-2</v>
      </c>
      <c r="N541">
        <v>700</v>
      </c>
      <c r="O541">
        <v>650</v>
      </c>
      <c r="P541" t="s">
        <v>25</v>
      </c>
      <c r="Q541" t="s">
        <v>26</v>
      </c>
      <c r="R541" t="str">
        <f>IF(COUNTIF(Sheet2!B:B, A541) &gt; 0, "Yes", "No")</f>
        <v>No</v>
      </c>
    </row>
    <row r="542" spans="1:18" x14ac:dyDescent="0.25">
      <c r="A542" s="3">
        <v>45127</v>
      </c>
      <c r="B542" t="s">
        <v>285</v>
      </c>
      <c r="C542" t="s">
        <v>66</v>
      </c>
      <c r="D542" t="s">
        <v>20</v>
      </c>
      <c r="E542" t="s">
        <v>67</v>
      </c>
      <c r="F542" t="s">
        <v>49</v>
      </c>
      <c r="G542" t="s">
        <v>50</v>
      </c>
      <c r="H542" t="s">
        <v>49</v>
      </c>
      <c r="I542">
        <v>0.09</v>
      </c>
      <c r="J542">
        <f t="shared" si="24"/>
        <v>58.5</v>
      </c>
      <c r="K542">
        <v>1</v>
      </c>
      <c r="L542">
        <f t="shared" si="25"/>
        <v>57.5</v>
      </c>
      <c r="M542" s="4">
        <f t="shared" si="26"/>
        <v>8.2142857142857142E-2</v>
      </c>
      <c r="N542">
        <v>700</v>
      </c>
      <c r="O542">
        <v>650</v>
      </c>
      <c r="P542" t="s">
        <v>25</v>
      </c>
      <c r="Q542" t="s">
        <v>26</v>
      </c>
      <c r="R542" t="str">
        <f>IF(COUNTIF(Sheet2!B:B, A542) &gt; 0, "Yes", "No")</f>
        <v>No</v>
      </c>
    </row>
    <row r="543" spans="1:18" x14ac:dyDescent="0.25">
      <c r="A543" s="3">
        <v>45128</v>
      </c>
      <c r="B543" t="s">
        <v>285</v>
      </c>
      <c r="C543" t="s">
        <v>79</v>
      </c>
      <c r="D543" t="s">
        <v>20</v>
      </c>
      <c r="E543" t="s">
        <v>21</v>
      </c>
      <c r="F543" t="s">
        <v>22</v>
      </c>
      <c r="G543" t="s">
        <v>94</v>
      </c>
      <c r="H543" t="s">
        <v>199</v>
      </c>
      <c r="I543" s="5">
        <v>0.06</v>
      </c>
      <c r="J543">
        <f t="shared" si="24"/>
        <v>34.799999999999997</v>
      </c>
      <c r="K543">
        <v>0</v>
      </c>
      <c r="L543">
        <f t="shared" si="25"/>
        <v>34.799999999999997</v>
      </c>
      <c r="M543" s="4">
        <f t="shared" si="26"/>
        <v>5.3538461538461535E-2</v>
      </c>
      <c r="N543">
        <v>650</v>
      </c>
      <c r="O543">
        <v>580</v>
      </c>
      <c r="P543" t="s">
        <v>25</v>
      </c>
      <c r="Q543" t="s">
        <v>26</v>
      </c>
      <c r="R543" t="str">
        <f>IF(COUNTIF(Sheet2!B:B, A543) &gt; 0, "Yes", "No")</f>
        <v>Yes</v>
      </c>
    </row>
    <row r="544" spans="1:18" x14ac:dyDescent="0.25">
      <c r="A544" s="3">
        <v>45128</v>
      </c>
      <c r="B544" t="s">
        <v>285</v>
      </c>
      <c r="C544" t="s">
        <v>79</v>
      </c>
      <c r="D544" t="s">
        <v>20</v>
      </c>
      <c r="E544" t="s">
        <v>21</v>
      </c>
      <c r="F544" t="s">
        <v>27</v>
      </c>
      <c r="G544" t="s">
        <v>144</v>
      </c>
      <c r="H544" t="s">
        <v>145</v>
      </c>
      <c r="I544" s="5">
        <v>0.1</v>
      </c>
      <c r="J544">
        <f t="shared" si="24"/>
        <v>58</v>
      </c>
      <c r="K544">
        <v>0</v>
      </c>
      <c r="L544">
        <f t="shared" si="25"/>
        <v>58</v>
      </c>
      <c r="M544" s="4">
        <f t="shared" si="26"/>
        <v>8.9230769230769225E-2</v>
      </c>
      <c r="N544">
        <v>650</v>
      </c>
      <c r="O544">
        <v>580</v>
      </c>
      <c r="P544" t="s">
        <v>25</v>
      </c>
      <c r="Q544" t="s">
        <v>26</v>
      </c>
      <c r="R544" t="str">
        <f>IF(COUNTIF(Sheet2!B:B, A544) &gt; 0, "Yes", "No")</f>
        <v>Yes</v>
      </c>
    </row>
    <row r="545" spans="1:18" x14ac:dyDescent="0.25">
      <c r="A545" s="3">
        <v>45128</v>
      </c>
      <c r="B545" t="s">
        <v>285</v>
      </c>
      <c r="C545" t="s">
        <v>79</v>
      </c>
      <c r="D545" t="s">
        <v>20</v>
      </c>
      <c r="E545" t="s">
        <v>21</v>
      </c>
      <c r="F545" t="s">
        <v>30</v>
      </c>
      <c r="G545" t="s">
        <v>55</v>
      </c>
      <c r="H545" t="s">
        <v>56</v>
      </c>
      <c r="I545" s="5">
        <v>0.06</v>
      </c>
      <c r="J545">
        <f t="shared" si="24"/>
        <v>34.799999999999997</v>
      </c>
      <c r="K545">
        <v>0</v>
      </c>
      <c r="L545">
        <f t="shared" si="25"/>
        <v>34.799999999999997</v>
      </c>
      <c r="M545" s="4">
        <f t="shared" si="26"/>
        <v>5.3538461538461535E-2</v>
      </c>
      <c r="N545">
        <v>650</v>
      </c>
      <c r="O545">
        <v>580</v>
      </c>
      <c r="P545" t="s">
        <v>25</v>
      </c>
      <c r="Q545" t="s">
        <v>26</v>
      </c>
      <c r="R545" t="str">
        <f>IF(COUNTIF(Sheet2!B:B, A545) &gt; 0, "Yes", "No")</f>
        <v>Yes</v>
      </c>
    </row>
    <row r="546" spans="1:18" x14ac:dyDescent="0.25">
      <c r="A546" s="3">
        <v>45128</v>
      </c>
      <c r="B546" t="s">
        <v>285</v>
      </c>
      <c r="C546" t="s">
        <v>79</v>
      </c>
      <c r="D546" t="s">
        <v>33</v>
      </c>
      <c r="E546" t="s">
        <v>21</v>
      </c>
      <c r="F546" t="s">
        <v>84</v>
      </c>
      <c r="G546" t="s">
        <v>85</v>
      </c>
      <c r="H546" t="s">
        <v>163</v>
      </c>
      <c r="I546" s="5">
        <v>0.3</v>
      </c>
      <c r="J546">
        <f t="shared" si="24"/>
        <v>104.39999999999999</v>
      </c>
      <c r="K546">
        <v>0</v>
      </c>
      <c r="L546">
        <f t="shared" si="25"/>
        <v>104.39999999999999</v>
      </c>
      <c r="M546" s="4">
        <f t="shared" si="26"/>
        <v>0.26769230769230767</v>
      </c>
      <c r="N546">
        <v>390</v>
      </c>
      <c r="O546">
        <v>348</v>
      </c>
      <c r="P546" t="s">
        <v>25</v>
      </c>
      <c r="Q546" t="s">
        <v>26</v>
      </c>
      <c r="R546" t="str">
        <f>IF(COUNTIF(Sheet2!B:B, A546) &gt; 0, "Yes", "No")</f>
        <v>Yes</v>
      </c>
    </row>
    <row r="547" spans="1:18" x14ac:dyDescent="0.25">
      <c r="A547" s="3">
        <v>45128</v>
      </c>
      <c r="B547" t="s">
        <v>285</v>
      </c>
      <c r="C547" t="s">
        <v>79</v>
      </c>
      <c r="D547" t="s">
        <v>20</v>
      </c>
      <c r="E547" t="s">
        <v>21</v>
      </c>
      <c r="F547" t="s">
        <v>37</v>
      </c>
      <c r="G547" t="s">
        <v>59</v>
      </c>
      <c r="H547" t="s">
        <v>60</v>
      </c>
      <c r="I547" s="5">
        <v>2.5000000000000001E-2</v>
      </c>
      <c r="J547">
        <f t="shared" si="24"/>
        <v>14.5</v>
      </c>
      <c r="K547">
        <v>2</v>
      </c>
      <c r="L547">
        <f t="shared" si="25"/>
        <v>12.5</v>
      </c>
      <c r="M547" s="4">
        <f t="shared" si="26"/>
        <v>1.9230769230769232E-2</v>
      </c>
      <c r="N547">
        <v>650</v>
      </c>
      <c r="O547">
        <v>580</v>
      </c>
      <c r="P547" t="s">
        <v>25</v>
      </c>
      <c r="Q547" t="s">
        <v>26</v>
      </c>
      <c r="R547" t="str">
        <f>IF(COUNTIF(Sheet2!B:B, A547) &gt; 0, "Yes", "No")</f>
        <v>Yes</v>
      </c>
    </row>
    <row r="548" spans="1:18" x14ac:dyDescent="0.25">
      <c r="A548" s="3">
        <v>45128</v>
      </c>
      <c r="B548" t="s">
        <v>285</v>
      </c>
      <c r="C548" t="s">
        <v>79</v>
      </c>
      <c r="D548" t="s">
        <v>20</v>
      </c>
      <c r="E548" t="s">
        <v>21</v>
      </c>
      <c r="F548" t="s">
        <v>40</v>
      </c>
      <c r="G548" t="s">
        <v>61</v>
      </c>
      <c r="H548" t="s">
        <v>62</v>
      </c>
      <c r="I548" s="5">
        <v>0.04</v>
      </c>
      <c r="J548">
        <f t="shared" si="24"/>
        <v>23.2</v>
      </c>
      <c r="K548">
        <v>1</v>
      </c>
      <c r="L548">
        <f t="shared" si="25"/>
        <v>22.2</v>
      </c>
      <c r="M548" s="4">
        <f t="shared" si="26"/>
        <v>3.4153846153846153E-2</v>
      </c>
      <c r="N548">
        <v>650</v>
      </c>
      <c r="O548">
        <v>580</v>
      </c>
      <c r="P548" t="s">
        <v>25</v>
      </c>
      <c r="Q548" t="s">
        <v>26</v>
      </c>
      <c r="R548" t="str">
        <f>IF(COUNTIF(Sheet2!B:B, A548) &gt; 0, "Yes", "No")</f>
        <v>Yes</v>
      </c>
    </row>
    <row r="549" spans="1:18" x14ac:dyDescent="0.25">
      <c r="A549" s="3">
        <v>45128</v>
      </c>
      <c r="B549" t="s">
        <v>285</v>
      </c>
      <c r="C549" t="s">
        <v>79</v>
      </c>
      <c r="D549" t="s">
        <v>20</v>
      </c>
      <c r="E549" t="s">
        <v>21</v>
      </c>
      <c r="F549" t="s">
        <v>43</v>
      </c>
      <c r="G549" t="s">
        <v>288</v>
      </c>
      <c r="H549" t="s">
        <v>289</v>
      </c>
      <c r="I549" s="5">
        <v>7.0000000000000007E-2</v>
      </c>
      <c r="J549">
        <f t="shared" si="24"/>
        <v>40.6</v>
      </c>
      <c r="K549">
        <v>5</v>
      </c>
      <c r="L549">
        <f t="shared" si="25"/>
        <v>35.6</v>
      </c>
      <c r="M549" s="4">
        <f t="shared" si="26"/>
        <v>5.4769230769230771E-2</v>
      </c>
      <c r="N549">
        <v>650</v>
      </c>
      <c r="O549">
        <v>580</v>
      </c>
      <c r="P549" t="s">
        <v>25</v>
      </c>
      <c r="Q549" t="s">
        <v>26</v>
      </c>
      <c r="R549" t="str">
        <f>IF(COUNTIF(Sheet2!B:B, A549) &gt; 0, "Yes", "No")</f>
        <v>Yes</v>
      </c>
    </row>
    <row r="550" spans="1:18" x14ac:dyDescent="0.25">
      <c r="A550" s="3">
        <v>45128</v>
      </c>
      <c r="B550" t="s">
        <v>285</v>
      </c>
      <c r="C550" t="s">
        <v>79</v>
      </c>
      <c r="D550" t="s">
        <v>20</v>
      </c>
      <c r="E550" t="s">
        <v>21</v>
      </c>
      <c r="F550" t="s">
        <v>46</v>
      </c>
      <c r="G550" t="s">
        <v>130</v>
      </c>
      <c r="H550" t="s">
        <v>131</v>
      </c>
      <c r="I550" s="5">
        <v>0.06</v>
      </c>
      <c r="J550">
        <f t="shared" si="24"/>
        <v>34.799999999999997</v>
      </c>
      <c r="K550">
        <v>3</v>
      </c>
      <c r="L550">
        <f t="shared" si="25"/>
        <v>31.799999999999997</v>
      </c>
      <c r="M550" s="4">
        <f t="shared" si="26"/>
        <v>4.8923076923076916E-2</v>
      </c>
      <c r="N550">
        <v>650</v>
      </c>
      <c r="O550">
        <v>580</v>
      </c>
      <c r="P550" t="s">
        <v>25</v>
      </c>
      <c r="Q550" t="s">
        <v>26</v>
      </c>
      <c r="R550" t="str">
        <f>IF(COUNTIF(Sheet2!B:B, A550) &gt; 0, "Yes", "No")</f>
        <v>Yes</v>
      </c>
    </row>
    <row r="551" spans="1:18" x14ac:dyDescent="0.25">
      <c r="A551" s="3">
        <v>45128</v>
      </c>
      <c r="B551" t="s">
        <v>285</v>
      </c>
      <c r="C551" t="s">
        <v>79</v>
      </c>
      <c r="D551" t="s">
        <v>20</v>
      </c>
      <c r="E551" t="s">
        <v>21</v>
      </c>
      <c r="F551" t="s">
        <v>49</v>
      </c>
      <c r="G551" t="s">
        <v>50</v>
      </c>
      <c r="H551" t="s">
        <v>49</v>
      </c>
      <c r="I551" s="5">
        <v>0.04</v>
      </c>
      <c r="J551">
        <f t="shared" si="24"/>
        <v>23.2</v>
      </c>
      <c r="K551">
        <v>0</v>
      </c>
      <c r="L551">
        <f t="shared" si="25"/>
        <v>23.2</v>
      </c>
      <c r="M551" s="4">
        <f t="shared" si="26"/>
        <v>3.569230769230769E-2</v>
      </c>
      <c r="N551">
        <v>650</v>
      </c>
      <c r="O551">
        <v>580</v>
      </c>
      <c r="P551" t="s">
        <v>25</v>
      </c>
      <c r="Q551" t="s">
        <v>26</v>
      </c>
      <c r="R551" t="str">
        <f>IF(COUNTIF(Sheet2!B:B, A551) &gt; 0, "Yes", "No")</f>
        <v>Yes</v>
      </c>
    </row>
    <row r="552" spans="1:18" x14ac:dyDescent="0.25">
      <c r="A552" s="3">
        <v>45132</v>
      </c>
      <c r="B552" t="s">
        <v>285</v>
      </c>
      <c r="C552" t="s">
        <v>105</v>
      </c>
      <c r="D552" t="s">
        <v>20</v>
      </c>
      <c r="E552" t="s">
        <v>67</v>
      </c>
      <c r="F552" t="s">
        <v>22</v>
      </c>
      <c r="G552" t="s">
        <v>122</v>
      </c>
      <c r="H552" t="s">
        <v>181</v>
      </c>
      <c r="I552">
        <v>8.5000000000000006E-2</v>
      </c>
      <c r="J552">
        <f t="shared" si="24"/>
        <v>55.250000000000007</v>
      </c>
      <c r="K552">
        <v>0</v>
      </c>
      <c r="L552">
        <f t="shared" si="25"/>
        <v>55.250000000000007</v>
      </c>
      <c r="M552" s="4">
        <f t="shared" si="26"/>
        <v>7.8928571428571445E-2</v>
      </c>
      <c r="N552">
        <v>700</v>
      </c>
      <c r="O552">
        <v>650</v>
      </c>
      <c r="P552" t="s">
        <v>25</v>
      </c>
      <c r="Q552" t="s">
        <v>26</v>
      </c>
      <c r="R552" t="str">
        <f>IF(COUNTIF(Sheet2!B:B, A552) &gt; 0, "Yes", "No")</f>
        <v>No</v>
      </c>
    </row>
    <row r="553" spans="1:18" x14ac:dyDescent="0.25">
      <c r="A553" s="3">
        <v>45132</v>
      </c>
      <c r="B553" t="s">
        <v>285</v>
      </c>
      <c r="C553" t="s">
        <v>105</v>
      </c>
      <c r="D553" t="s">
        <v>20</v>
      </c>
      <c r="E553" t="s">
        <v>67</v>
      </c>
      <c r="F553" t="s">
        <v>27</v>
      </c>
      <c r="G553" t="s">
        <v>28</v>
      </c>
      <c r="H553" t="s">
        <v>286</v>
      </c>
      <c r="I553">
        <v>0.11</v>
      </c>
      <c r="J553">
        <f t="shared" si="24"/>
        <v>71.5</v>
      </c>
      <c r="K553">
        <v>0</v>
      </c>
      <c r="L553">
        <f t="shared" si="25"/>
        <v>71.5</v>
      </c>
      <c r="M553" s="4">
        <f t="shared" si="26"/>
        <v>0.10214285714285715</v>
      </c>
      <c r="N553">
        <v>700</v>
      </c>
      <c r="O553">
        <v>650</v>
      </c>
      <c r="P553" t="s">
        <v>25</v>
      </c>
      <c r="Q553" t="s">
        <v>26</v>
      </c>
      <c r="R553" t="str">
        <f>IF(COUNTIF(Sheet2!B:B, A553) &gt; 0, "Yes", "No")</f>
        <v>No</v>
      </c>
    </row>
    <row r="554" spans="1:18" x14ac:dyDescent="0.25">
      <c r="A554" s="3">
        <v>45132</v>
      </c>
      <c r="B554" t="s">
        <v>285</v>
      </c>
      <c r="C554" t="s">
        <v>105</v>
      </c>
      <c r="D554" t="s">
        <v>20</v>
      </c>
      <c r="E554" t="s">
        <v>67</v>
      </c>
      <c r="F554" t="s">
        <v>30</v>
      </c>
      <c r="G554" t="s">
        <v>31</v>
      </c>
      <c r="H554" t="s">
        <v>31</v>
      </c>
      <c r="I554">
        <v>0.09</v>
      </c>
      <c r="J554">
        <f t="shared" si="24"/>
        <v>58.5</v>
      </c>
      <c r="K554">
        <v>0</v>
      </c>
      <c r="L554">
        <f t="shared" si="25"/>
        <v>58.5</v>
      </c>
      <c r="M554" s="4">
        <f t="shared" si="26"/>
        <v>8.3571428571428574E-2</v>
      </c>
      <c r="N554">
        <v>700</v>
      </c>
      <c r="O554">
        <v>650</v>
      </c>
      <c r="P554" t="s">
        <v>25</v>
      </c>
      <c r="Q554" t="s">
        <v>26</v>
      </c>
      <c r="R554" t="str">
        <f>IF(COUNTIF(Sheet2!B:B, A554) &gt; 0, "Yes", "No")</f>
        <v>No</v>
      </c>
    </row>
    <row r="555" spans="1:18" x14ac:dyDescent="0.25">
      <c r="A555" s="3">
        <v>45132</v>
      </c>
      <c r="B555" t="s">
        <v>285</v>
      </c>
      <c r="C555" t="s">
        <v>105</v>
      </c>
      <c r="D555" t="s">
        <v>20</v>
      </c>
      <c r="E555" t="s">
        <v>67</v>
      </c>
      <c r="F555" t="s">
        <v>37</v>
      </c>
      <c r="G555" t="s">
        <v>59</v>
      </c>
      <c r="H555" t="s">
        <v>60</v>
      </c>
      <c r="I555">
        <v>3.5000000000000003E-2</v>
      </c>
      <c r="J555">
        <f t="shared" si="24"/>
        <v>22.750000000000004</v>
      </c>
      <c r="K555">
        <v>2</v>
      </c>
      <c r="L555">
        <f t="shared" si="25"/>
        <v>20.750000000000004</v>
      </c>
      <c r="M555" s="4">
        <f t="shared" si="26"/>
        <v>2.9642857142857148E-2</v>
      </c>
      <c r="N555">
        <v>700</v>
      </c>
      <c r="O555">
        <v>650</v>
      </c>
      <c r="P555" t="s">
        <v>25</v>
      </c>
      <c r="Q555" t="s">
        <v>26</v>
      </c>
      <c r="R555" t="str">
        <f>IF(COUNTIF(Sheet2!B:B, A555) &gt; 0, "Yes", "No")</f>
        <v>No</v>
      </c>
    </row>
    <row r="556" spans="1:18" x14ac:dyDescent="0.25">
      <c r="A556" s="3">
        <v>45132</v>
      </c>
      <c r="B556" t="s">
        <v>285</v>
      </c>
      <c r="C556" t="s">
        <v>105</v>
      </c>
      <c r="D556" t="s">
        <v>20</v>
      </c>
      <c r="E556" t="s">
        <v>67</v>
      </c>
      <c r="F556" t="s">
        <v>40</v>
      </c>
      <c r="G556" t="s">
        <v>127</v>
      </c>
      <c r="H556" t="s">
        <v>127</v>
      </c>
      <c r="I556">
        <v>0.05</v>
      </c>
      <c r="J556">
        <f t="shared" si="24"/>
        <v>32.5</v>
      </c>
      <c r="K556">
        <v>0</v>
      </c>
      <c r="L556">
        <f t="shared" si="25"/>
        <v>32.5</v>
      </c>
      <c r="M556" s="4">
        <f t="shared" si="26"/>
        <v>4.642857142857143E-2</v>
      </c>
      <c r="N556">
        <v>700</v>
      </c>
      <c r="O556">
        <v>650</v>
      </c>
      <c r="P556" t="s">
        <v>25</v>
      </c>
      <c r="Q556" t="s">
        <v>26</v>
      </c>
      <c r="R556" t="str">
        <f>IF(COUNTIF(Sheet2!B:B, A556) &gt; 0, "Yes", "No")</f>
        <v>No</v>
      </c>
    </row>
    <row r="557" spans="1:18" x14ac:dyDescent="0.25">
      <c r="A557" s="3">
        <v>45132</v>
      </c>
      <c r="B557" t="s">
        <v>285</v>
      </c>
      <c r="C557" t="s">
        <v>105</v>
      </c>
      <c r="D557" t="s">
        <v>20</v>
      </c>
      <c r="E557" t="s">
        <v>67</v>
      </c>
      <c r="F557" t="s">
        <v>43</v>
      </c>
      <c r="G557" t="s">
        <v>301</v>
      </c>
      <c r="H557" t="s">
        <v>302</v>
      </c>
      <c r="I557">
        <v>0.11</v>
      </c>
      <c r="J557">
        <f t="shared" si="24"/>
        <v>71.5</v>
      </c>
      <c r="K557">
        <v>0</v>
      </c>
      <c r="L557">
        <f t="shared" si="25"/>
        <v>71.5</v>
      </c>
      <c r="M557" s="4">
        <f t="shared" si="26"/>
        <v>0.10214285714285715</v>
      </c>
      <c r="N557">
        <v>700</v>
      </c>
      <c r="O557">
        <v>650</v>
      </c>
      <c r="P557" t="s">
        <v>25</v>
      </c>
      <c r="Q557" t="s">
        <v>26</v>
      </c>
      <c r="R557" t="str">
        <f>IF(COUNTIF(Sheet2!B:B, A557) &gt; 0, "Yes", "No")</f>
        <v>No</v>
      </c>
    </row>
    <row r="558" spans="1:18" x14ac:dyDescent="0.25">
      <c r="A558" s="3">
        <v>45132</v>
      </c>
      <c r="B558" t="s">
        <v>285</v>
      </c>
      <c r="C558" t="s">
        <v>105</v>
      </c>
      <c r="D558" t="s">
        <v>20</v>
      </c>
      <c r="E558" t="s">
        <v>67</v>
      </c>
      <c r="F558" t="s">
        <v>46</v>
      </c>
      <c r="G558" t="s">
        <v>167</v>
      </c>
      <c r="H558" t="s">
        <v>167</v>
      </c>
      <c r="I558">
        <v>8.5000000000000006E-2</v>
      </c>
      <c r="J558">
        <f t="shared" si="24"/>
        <v>55.250000000000007</v>
      </c>
      <c r="K558">
        <v>0</v>
      </c>
      <c r="L558">
        <f t="shared" si="25"/>
        <v>55.250000000000007</v>
      </c>
      <c r="M558" s="4">
        <f t="shared" si="26"/>
        <v>7.8928571428571445E-2</v>
      </c>
      <c r="N558">
        <v>700</v>
      </c>
      <c r="O558">
        <v>650</v>
      </c>
      <c r="P558" t="s">
        <v>25</v>
      </c>
      <c r="Q558" t="s">
        <v>26</v>
      </c>
      <c r="R558" t="str">
        <f>IF(COUNTIF(Sheet2!B:B, A558) &gt; 0, "Yes", "No")</f>
        <v>No</v>
      </c>
    </row>
    <row r="559" spans="1:18" x14ac:dyDescent="0.25">
      <c r="A559" s="3">
        <v>45132</v>
      </c>
      <c r="B559" t="s">
        <v>285</v>
      </c>
      <c r="C559" t="s">
        <v>105</v>
      </c>
      <c r="D559" t="s">
        <v>20</v>
      </c>
      <c r="E559" t="s">
        <v>67</v>
      </c>
      <c r="F559" t="s">
        <v>49</v>
      </c>
      <c r="G559" t="s">
        <v>50</v>
      </c>
      <c r="H559" t="s">
        <v>49</v>
      </c>
      <c r="I559">
        <v>0.09</v>
      </c>
      <c r="J559">
        <f t="shared" si="24"/>
        <v>58.5</v>
      </c>
      <c r="K559">
        <v>0</v>
      </c>
      <c r="L559">
        <f t="shared" si="25"/>
        <v>58.5</v>
      </c>
      <c r="M559" s="4">
        <f t="shared" si="26"/>
        <v>8.3571428571428574E-2</v>
      </c>
      <c r="N559">
        <v>700</v>
      </c>
      <c r="O559">
        <v>650</v>
      </c>
      <c r="P559" t="s">
        <v>25</v>
      </c>
      <c r="Q559" t="s">
        <v>26</v>
      </c>
      <c r="R559" t="str">
        <f>IF(COUNTIF(Sheet2!B:B, A559) &gt; 0, "Yes", "No")</f>
        <v>No</v>
      </c>
    </row>
    <row r="560" spans="1:18" x14ac:dyDescent="0.25">
      <c r="A560" s="3">
        <v>45133</v>
      </c>
      <c r="B560" t="s">
        <v>285</v>
      </c>
      <c r="C560" t="s">
        <v>51</v>
      </c>
      <c r="D560" t="s">
        <v>20</v>
      </c>
      <c r="E560" t="s">
        <v>21</v>
      </c>
      <c r="F560" t="s">
        <v>22</v>
      </c>
      <c r="G560" t="s">
        <v>23</v>
      </c>
      <c r="H560" t="s">
        <v>24</v>
      </c>
      <c r="I560">
        <v>8.5000000000000006E-2</v>
      </c>
      <c r="J560">
        <f t="shared" si="24"/>
        <v>59.500000000000007</v>
      </c>
      <c r="K560">
        <v>0</v>
      </c>
      <c r="L560">
        <f t="shared" si="25"/>
        <v>59.500000000000007</v>
      </c>
      <c r="M560" s="4">
        <f t="shared" si="26"/>
        <v>7.9333333333333339E-2</v>
      </c>
      <c r="N560">
        <v>750</v>
      </c>
      <c r="O560">
        <v>700</v>
      </c>
      <c r="P560" t="s">
        <v>25</v>
      </c>
      <c r="Q560" t="s">
        <v>26</v>
      </c>
      <c r="R560" t="str">
        <f>IF(COUNTIF(Sheet2!B:B, A560) &gt; 0, "Yes", "No")</f>
        <v>No</v>
      </c>
    </row>
    <row r="561" spans="1:18" x14ac:dyDescent="0.25">
      <c r="A561" s="3">
        <v>45133</v>
      </c>
      <c r="B561" t="s">
        <v>285</v>
      </c>
      <c r="C561" t="s">
        <v>51</v>
      </c>
      <c r="D561" t="s">
        <v>20</v>
      </c>
      <c r="E561" t="s">
        <v>21</v>
      </c>
      <c r="F561" t="s">
        <v>27</v>
      </c>
      <c r="G561" t="s">
        <v>780</v>
      </c>
      <c r="H561" t="s">
        <v>149</v>
      </c>
      <c r="I561">
        <v>0.11</v>
      </c>
      <c r="J561">
        <f t="shared" si="24"/>
        <v>77</v>
      </c>
      <c r="K561">
        <v>2</v>
      </c>
      <c r="L561">
        <f t="shared" si="25"/>
        <v>75</v>
      </c>
      <c r="M561" s="4">
        <f t="shared" si="26"/>
        <v>0.1</v>
      </c>
      <c r="N561">
        <v>750</v>
      </c>
      <c r="O561">
        <v>700</v>
      </c>
      <c r="P561" t="s">
        <v>25</v>
      </c>
      <c r="Q561" t="s">
        <v>26</v>
      </c>
      <c r="R561" t="str">
        <f>IF(COUNTIF(Sheet2!B:B, A561) &gt; 0, "Yes", "No")</f>
        <v>No</v>
      </c>
    </row>
    <row r="562" spans="1:18" x14ac:dyDescent="0.25">
      <c r="A562" s="3">
        <v>45133</v>
      </c>
      <c r="B562" t="s">
        <v>285</v>
      </c>
      <c r="C562" t="s">
        <v>51</v>
      </c>
      <c r="D562" t="s">
        <v>20</v>
      </c>
      <c r="E562" t="s">
        <v>21</v>
      </c>
      <c r="F562" t="s">
        <v>30</v>
      </c>
      <c r="G562" t="s">
        <v>55</v>
      </c>
      <c r="H562" t="s">
        <v>83</v>
      </c>
      <c r="I562">
        <v>0.09</v>
      </c>
      <c r="J562">
        <f t="shared" si="24"/>
        <v>63</v>
      </c>
      <c r="K562">
        <v>0</v>
      </c>
      <c r="L562">
        <f t="shared" si="25"/>
        <v>63</v>
      </c>
      <c r="M562" s="4">
        <f t="shared" si="26"/>
        <v>8.4000000000000005E-2</v>
      </c>
      <c r="N562">
        <v>750</v>
      </c>
      <c r="O562">
        <v>700</v>
      </c>
      <c r="P562" t="s">
        <v>25</v>
      </c>
      <c r="Q562" t="s">
        <v>26</v>
      </c>
      <c r="R562" t="str">
        <f>IF(COUNTIF(Sheet2!B:B, A562) &gt; 0, "Yes", "No")</f>
        <v>No</v>
      </c>
    </row>
    <row r="563" spans="1:18" x14ac:dyDescent="0.25">
      <c r="A563" s="3">
        <v>45133</v>
      </c>
      <c r="B563" t="s">
        <v>285</v>
      </c>
      <c r="C563" t="s">
        <v>51</v>
      </c>
      <c r="D563" t="s">
        <v>33</v>
      </c>
      <c r="E563" t="s">
        <v>21</v>
      </c>
      <c r="F563" t="s">
        <v>34</v>
      </c>
      <c r="G563" t="s">
        <v>57</v>
      </c>
      <c r="H563" t="s">
        <v>192</v>
      </c>
      <c r="I563">
        <v>0.15</v>
      </c>
      <c r="J563">
        <f t="shared" si="24"/>
        <v>52.5</v>
      </c>
      <c r="K563">
        <v>0</v>
      </c>
      <c r="L563">
        <f t="shared" si="25"/>
        <v>52.5</v>
      </c>
      <c r="M563" s="4">
        <f t="shared" si="26"/>
        <v>0.14000000000000001</v>
      </c>
      <c r="N563">
        <v>375</v>
      </c>
      <c r="O563">
        <v>350</v>
      </c>
      <c r="P563" t="s">
        <v>25</v>
      </c>
      <c r="Q563" t="s">
        <v>26</v>
      </c>
      <c r="R563" t="str">
        <f>IF(COUNTIF(Sheet2!B:B, A563) &gt; 0, "Yes", "No")</f>
        <v>No</v>
      </c>
    </row>
    <row r="564" spans="1:18" x14ac:dyDescent="0.25">
      <c r="A564" s="3">
        <v>45133</v>
      </c>
      <c r="B564" t="s">
        <v>285</v>
      </c>
      <c r="C564" t="s">
        <v>51</v>
      </c>
      <c r="D564" t="s">
        <v>20</v>
      </c>
      <c r="E564" t="s">
        <v>21</v>
      </c>
      <c r="F564" t="s">
        <v>37</v>
      </c>
      <c r="G564" t="s">
        <v>71</v>
      </c>
      <c r="H564" t="s">
        <v>151</v>
      </c>
      <c r="I564">
        <v>0.03</v>
      </c>
      <c r="J564">
        <f t="shared" si="24"/>
        <v>21</v>
      </c>
      <c r="K564">
        <v>2</v>
      </c>
      <c r="L564">
        <f t="shared" si="25"/>
        <v>19</v>
      </c>
      <c r="M564" s="4">
        <f t="shared" si="26"/>
        <v>2.5333333333333333E-2</v>
      </c>
      <c r="N564">
        <v>750</v>
      </c>
      <c r="O564">
        <v>700</v>
      </c>
      <c r="P564" t="s">
        <v>25</v>
      </c>
      <c r="Q564" t="s">
        <v>26</v>
      </c>
      <c r="R564" t="str">
        <f>IF(COUNTIF(Sheet2!B:B, A564) &gt; 0, "Yes", "No")</f>
        <v>No</v>
      </c>
    </row>
    <row r="565" spans="1:18" x14ac:dyDescent="0.25">
      <c r="A565" s="3">
        <v>45133</v>
      </c>
      <c r="B565" t="s">
        <v>285</v>
      </c>
      <c r="C565" t="s">
        <v>51</v>
      </c>
      <c r="D565" t="s">
        <v>20</v>
      </c>
      <c r="E565" t="s">
        <v>21</v>
      </c>
      <c r="F565" t="s">
        <v>40</v>
      </c>
      <c r="G565" t="s">
        <v>137</v>
      </c>
      <c r="H565" t="s">
        <v>152</v>
      </c>
      <c r="I565">
        <v>4.4999999999999998E-2</v>
      </c>
      <c r="J565">
        <f t="shared" si="24"/>
        <v>31.5</v>
      </c>
      <c r="K565">
        <v>3</v>
      </c>
      <c r="L565">
        <f t="shared" si="25"/>
        <v>28.5</v>
      </c>
      <c r="M565" s="4">
        <f t="shared" si="26"/>
        <v>3.7999999999999999E-2</v>
      </c>
      <c r="N565">
        <v>750</v>
      </c>
      <c r="O565">
        <v>700</v>
      </c>
      <c r="P565" t="s">
        <v>25</v>
      </c>
      <c r="Q565" t="s">
        <v>26</v>
      </c>
      <c r="R565" t="str">
        <f>IF(COUNTIF(Sheet2!B:B, A565) &gt; 0, "Yes", "No")</f>
        <v>No</v>
      </c>
    </row>
    <row r="566" spans="1:18" x14ac:dyDescent="0.25">
      <c r="A566" s="3">
        <v>45133</v>
      </c>
      <c r="B566" t="s">
        <v>285</v>
      </c>
      <c r="C566" t="s">
        <v>51</v>
      </c>
      <c r="D566" t="s">
        <v>20</v>
      </c>
      <c r="E566" t="s">
        <v>21</v>
      </c>
      <c r="F566" t="s">
        <v>43</v>
      </c>
      <c r="G566" t="s">
        <v>44</v>
      </c>
      <c r="H566" t="s">
        <v>153</v>
      </c>
      <c r="I566">
        <v>0.11</v>
      </c>
      <c r="J566">
        <f t="shared" si="24"/>
        <v>77</v>
      </c>
      <c r="K566">
        <v>0</v>
      </c>
      <c r="L566">
        <f t="shared" si="25"/>
        <v>77</v>
      </c>
      <c r="M566" s="4">
        <f t="shared" si="26"/>
        <v>0.10266666666666667</v>
      </c>
      <c r="N566">
        <v>750</v>
      </c>
      <c r="O566">
        <v>700</v>
      </c>
      <c r="P566" t="s">
        <v>25</v>
      </c>
      <c r="Q566" t="s">
        <v>26</v>
      </c>
      <c r="R566" t="str">
        <f>IF(COUNTIF(Sheet2!B:B, A566) &gt; 0, "Yes", "No")</f>
        <v>No</v>
      </c>
    </row>
    <row r="567" spans="1:18" x14ac:dyDescent="0.25">
      <c r="A567" s="3">
        <v>45133</v>
      </c>
      <c r="B567" t="s">
        <v>285</v>
      </c>
      <c r="C567" t="s">
        <v>51</v>
      </c>
      <c r="D567" t="s">
        <v>20</v>
      </c>
      <c r="E567" t="s">
        <v>21</v>
      </c>
      <c r="F567" t="s">
        <v>46</v>
      </c>
      <c r="G567" t="s">
        <v>47</v>
      </c>
      <c r="H567" t="s">
        <v>319</v>
      </c>
      <c r="I567">
        <v>8.5000000000000006E-2</v>
      </c>
      <c r="J567">
        <f t="shared" si="24"/>
        <v>59.500000000000007</v>
      </c>
      <c r="K567">
        <v>4</v>
      </c>
      <c r="L567">
        <f t="shared" si="25"/>
        <v>55.500000000000007</v>
      </c>
      <c r="M567" s="4">
        <f t="shared" si="26"/>
        <v>7.400000000000001E-2</v>
      </c>
      <c r="N567">
        <v>750</v>
      </c>
      <c r="O567">
        <v>700</v>
      </c>
      <c r="P567" t="s">
        <v>25</v>
      </c>
      <c r="Q567" t="s">
        <v>26</v>
      </c>
      <c r="R567" t="str">
        <f>IF(COUNTIF(Sheet2!B:B, A567) &gt; 0, "Yes", "No")</f>
        <v>No</v>
      </c>
    </row>
    <row r="568" spans="1:18" x14ac:dyDescent="0.25">
      <c r="A568" s="3">
        <v>45133</v>
      </c>
      <c r="B568" t="s">
        <v>285</v>
      </c>
      <c r="C568" t="s">
        <v>51</v>
      </c>
      <c r="D568" t="s">
        <v>20</v>
      </c>
      <c r="E568" t="s">
        <v>21</v>
      </c>
      <c r="F568" t="s">
        <v>49</v>
      </c>
      <c r="G568" t="s">
        <v>50</v>
      </c>
      <c r="H568" t="s">
        <v>49</v>
      </c>
      <c r="I568">
        <v>0.09</v>
      </c>
      <c r="J568">
        <f t="shared" si="24"/>
        <v>63</v>
      </c>
      <c r="K568">
        <v>2</v>
      </c>
      <c r="L568">
        <f t="shared" si="25"/>
        <v>61</v>
      </c>
      <c r="M568" s="4">
        <f t="shared" si="26"/>
        <v>8.1333333333333327E-2</v>
      </c>
      <c r="N568">
        <v>750</v>
      </c>
      <c r="O568">
        <v>700</v>
      </c>
      <c r="P568" t="s">
        <v>25</v>
      </c>
      <c r="Q568" t="s">
        <v>26</v>
      </c>
      <c r="R568" t="str">
        <f>IF(COUNTIF(Sheet2!B:B, A568) &gt; 0, "Yes", "No")</f>
        <v>No</v>
      </c>
    </row>
    <row r="569" spans="1:18" x14ac:dyDescent="0.25">
      <c r="A569" s="3">
        <v>45135</v>
      </c>
      <c r="B569" t="s">
        <v>285</v>
      </c>
      <c r="C569" t="s">
        <v>79</v>
      </c>
      <c r="D569" t="s">
        <v>20</v>
      </c>
      <c r="E569" t="s">
        <v>21</v>
      </c>
      <c r="F569" t="s">
        <v>22</v>
      </c>
      <c r="G569" t="s">
        <v>52</v>
      </c>
      <c r="H569" t="s">
        <v>148</v>
      </c>
      <c r="I569" s="5">
        <v>0.06</v>
      </c>
      <c r="J569">
        <f t="shared" si="24"/>
        <v>36</v>
      </c>
      <c r="K569">
        <v>3</v>
      </c>
      <c r="L569">
        <f t="shared" si="25"/>
        <v>33</v>
      </c>
      <c r="M569" s="4">
        <f t="shared" si="26"/>
        <v>4.8888888888888891E-2</v>
      </c>
      <c r="N569">
        <v>675</v>
      </c>
      <c r="O569">
        <v>600</v>
      </c>
      <c r="P569" t="s">
        <v>283</v>
      </c>
      <c r="Q569" t="s">
        <v>320</v>
      </c>
      <c r="R569" t="str">
        <f>IF(COUNTIF(Sheet2!B:B, A569) &gt; 0, "Yes", "No")</f>
        <v>Yes</v>
      </c>
    </row>
    <row r="570" spans="1:18" x14ac:dyDescent="0.25">
      <c r="A570" s="3">
        <v>45135</v>
      </c>
      <c r="B570" t="s">
        <v>285</v>
      </c>
      <c r="C570" t="s">
        <v>79</v>
      </c>
      <c r="D570" t="s">
        <v>20</v>
      </c>
      <c r="E570" t="s">
        <v>21</v>
      </c>
      <c r="F570" t="s">
        <v>27</v>
      </c>
      <c r="G570" t="s">
        <v>81</v>
      </c>
      <c r="H570" t="s">
        <v>176</v>
      </c>
      <c r="I570" s="5">
        <v>0.1</v>
      </c>
      <c r="J570">
        <f t="shared" si="24"/>
        <v>60</v>
      </c>
      <c r="K570">
        <v>0</v>
      </c>
      <c r="L570">
        <f t="shared" si="25"/>
        <v>60</v>
      </c>
      <c r="M570" s="4">
        <f t="shared" si="26"/>
        <v>8.8888888888888892E-2</v>
      </c>
      <c r="N570">
        <v>675</v>
      </c>
      <c r="O570">
        <v>600</v>
      </c>
      <c r="P570" t="s">
        <v>283</v>
      </c>
      <c r="Q570" t="s">
        <v>320</v>
      </c>
      <c r="R570" t="str">
        <f>IF(COUNTIF(Sheet2!B:B, A570) &gt; 0, "Yes", "No")</f>
        <v>Yes</v>
      </c>
    </row>
    <row r="571" spans="1:18" x14ac:dyDescent="0.25">
      <c r="A571" s="3">
        <v>45135</v>
      </c>
      <c r="B571" t="s">
        <v>285</v>
      </c>
      <c r="C571" t="s">
        <v>79</v>
      </c>
      <c r="D571" t="s">
        <v>20</v>
      </c>
      <c r="E571" t="s">
        <v>21</v>
      </c>
      <c r="F571" t="s">
        <v>30</v>
      </c>
      <c r="G571" t="s">
        <v>31</v>
      </c>
      <c r="H571" t="s">
        <v>172</v>
      </c>
      <c r="I571" s="5">
        <v>0.06</v>
      </c>
      <c r="J571">
        <f t="shared" si="24"/>
        <v>36</v>
      </c>
      <c r="K571">
        <v>0</v>
      </c>
      <c r="L571">
        <f t="shared" si="25"/>
        <v>36</v>
      </c>
      <c r="M571" s="4">
        <f t="shared" si="26"/>
        <v>5.3333333333333337E-2</v>
      </c>
      <c r="N571">
        <v>675</v>
      </c>
      <c r="O571">
        <v>600</v>
      </c>
      <c r="P571" t="s">
        <v>283</v>
      </c>
      <c r="Q571" t="s">
        <v>320</v>
      </c>
      <c r="R571" t="str">
        <f>IF(COUNTIF(Sheet2!B:B, A571) &gt; 0, "Yes", "No")</f>
        <v>Yes</v>
      </c>
    </row>
    <row r="572" spans="1:18" x14ac:dyDescent="0.25">
      <c r="A572" s="3">
        <v>45135</v>
      </c>
      <c r="B572" t="s">
        <v>285</v>
      </c>
      <c r="C572" t="s">
        <v>79</v>
      </c>
      <c r="D572" t="s">
        <v>33</v>
      </c>
      <c r="E572" t="s">
        <v>21</v>
      </c>
      <c r="F572" t="s">
        <v>84</v>
      </c>
      <c r="G572" t="s">
        <v>177</v>
      </c>
      <c r="H572" t="s">
        <v>220</v>
      </c>
      <c r="I572" s="5">
        <v>0.3</v>
      </c>
      <c r="J572">
        <f t="shared" si="24"/>
        <v>108</v>
      </c>
      <c r="K572">
        <v>0</v>
      </c>
      <c r="L572">
        <f t="shared" si="25"/>
        <v>108</v>
      </c>
      <c r="M572" s="4">
        <f t="shared" si="26"/>
        <v>0.26666666666666666</v>
      </c>
      <c r="N572">
        <v>405</v>
      </c>
      <c r="O572">
        <v>360</v>
      </c>
      <c r="P572" t="s">
        <v>283</v>
      </c>
      <c r="Q572" t="s">
        <v>320</v>
      </c>
      <c r="R572" t="str">
        <f>IF(COUNTIF(Sheet2!B:B, A572) &gt; 0, "Yes", "No")</f>
        <v>Yes</v>
      </c>
    </row>
    <row r="573" spans="1:18" x14ac:dyDescent="0.25">
      <c r="A573" s="3">
        <v>45135</v>
      </c>
      <c r="B573" t="s">
        <v>285</v>
      </c>
      <c r="C573" t="s">
        <v>79</v>
      </c>
      <c r="D573" t="s">
        <v>20</v>
      </c>
      <c r="E573" t="s">
        <v>21</v>
      </c>
      <c r="F573" t="s">
        <v>37</v>
      </c>
      <c r="G573" t="s">
        <v>87</v>
      </c>
      <c r="H573" t="s">
        <v>99</v>
      </c>
      <c r="I573" s="5">
        <v>2.5000000000000001E-2</v>
      </c>
      <c r="J573">
        <f t="shared" si="24"/>
        <v>15</v>
      </c>
      <c r="K573">
        <v>2</v>
      </c>
      <c r="L573">
        <f t="shared" si="25"/>
        <v>13</v>
      </c>
      <c r="M573" s="4">
        <f t="shared" si="26"/>
        <v>1.9259259259259261E-2</v>
      </c>
      <c r="N573">
        <v>675</v>
      </c>
      <c r="O573">
        <v>600</v>
      </c>
      <c r="P573" t="s">
        <v>283</v>
      </c>
      <c r="Q573" t="s">
        <v>320</v>
      </c>
      <c r="R573" t="str">
        <f>IF(COUNTIF(Sheet2!B:B, A573) &gt; 0, "Yes", "No")</f>
        <v>Yes</v>
      </c>
    </row>
    <row r="574" spans="1:18" x14ac:dyDescent="0.25">
      <c r="A574" s="3">
        <v>45135</v>
      </c>
      <c r="B574" t="s">
        <v>285</v>
      </c>
      <c r="C574" t="s">
        <v>79</v>
      </c>
      <c r="D574" t="s">
        <v>20</v>
      </c>
      <c r="E574" t="s">
        <v>21</v>
      </c>
      <c r="F574" t="s">
        <v>40</v>
      </c>
      <c r="G574" t="s">
        <v>164</v>
      </c>
      <c r="H574" t="s">
        <v>165</v>
      </c>
      <c r="I574" s="5">
        <v>0.04</v>
      </c>
      <c r="J574">
        <f t="shared" si="24"/>
        <v>24</v>
      </c>
      <c r="K574">
        <v>3</v>
      </c>
      <c r="L574">
        <f t="shared" si="25"/>
        <v>21</v>
      </c>
      <c r="M574" s="4">
        <f t="shared" si="26"/>
        <v>3.111111111111111E-2</v>
      </c>
      <c r="N574">
        <v>675</v>
      </c>
      <c r="O574">
        <v>600</v>
      </c>
      <c r="P574" t="s">
        <v>283</v>
      </c>
      <c r="Q574" t="s">
        <v>320</v>
      </c>
      <c r="R574" t="str">
        <f>IF(COUNTIF(Sheet2!B:B, A574) &gt; 0, "Yes", "No")</f>
        <v>Yes</v>
      </c>
    </row>
    <row r="575" spans="1:18" x14ac:dyDescent="0.25">
      <c r="A575" s="3">
        <v>45135</v>
      </c>
      <c r="B575" t="s">
        <v>285</v>
      </c>
      <c r="C575" t="s">
        <v>79</v>
      </c>
      <c r="D575" t="s">
        <v>20</v>
      </c>
      <c r="E575" t="s">
        <v>21</v>
      </c>
      <c r="F575" t="s">
        <v>43</v>
      </c>
      <c r="G575" t="s">
        <v>139</v>
      </c>
      <c r="H575" t="s">
        <v>321</v>
      </c>
      <c r="I575" s="5">
        <v>7.4999999999999997E-2</v>
      </c>
      <c r="J575">
        <f t="shared" si="24"/>
        <v>45</v>
      </c>
      <c r="K575">
        <v>2</v>
      </c>
      <c r="L575">
        <f t="shared" si="25"/>
        <v>43</v>
      </c>
      <c r="M575" s="4">
        <f t="shared" si="26"/>
        <v>6.3703703703703707E-2</v>
      </c>
      <c r="N575">
        <v>675</v>
      </c>
      <c r="O575">
        <v>600</v>
      </c>
      <c r="P575" t="s">
        <v>283</v>
      </c>
      <c r="Q575" t="s">
        <v>320</v>
      </c>
      <c r="R575" t="str">
        <f>IF(COUNTIF(Sheet2!B:B, A575) &gt; 0, "Yes", "No")</f>
        <v>Yes</v>
      </c>
    </row>
    <row r="576" spans="1:18" x14ac:dyDescent="0.25">
      <c r="A576" s="3">
        <v>45135</v>
      </c>
      <c r="B576" t="s">
        <v>285</v>
      </c>
      <c r="C576" t="s">
        <v>79</v>
      </c>
      <c r="D576" t="s">
        <v>20</v>
      </c>
      <c r="E576" t="s">
        <v>21</v>
      </c>
      <c r="F576" t="s">
        <v>46</v>
      </c>
      <c r="G576" t="s">
        <v>169</v>
      </c>
      <c r="H576" t="s">
        <v>170</v>
      </c>
      <c r="I576" s="5">
        <v>0.06</v>
      </c>
      <c r="J576">
        <f t="shared" si="24"/>
        <v>36</v>
      </c>
      <c r="K576">
        <v>0.5</v>
      </c>
      <c r="L576">
        <f t="shared" si="25"/>
        <v>35.5</v>
      </c>
      <c r="M576" s="4">
        <f t="shared" si="26"/>
        <v>5.2592592592592594E-2</v>
      </c>
      <c r="N576">
        <v>675</v>
      </c>
      <c r="O576">
        <v>600</v>
      </c>
      <c r="P576" t="s">
        <v>283</v>
      </c>
      <c r="Q576" t="s">
        <v>320</v>
      </c>
      <c r="R576" t="str">
        <f>IF(COUNTIF(Sheet2!B:B, A576) &gt; 0, "Yes", "No")</f>
        <v>Yes</v>
      </c>
    </row>
    <row r="577" spans="1:18" x14ac:dyDescent="0.25">
      <c r="A577" s="3">
        <v>45135</v>
      </c>
      <c r="B577" t="s">
        <v>285</v>
      </c>
      <c r="C577" t="s">
        <v>79</v>
      </c>
      <c r="D577" t="s">
        <v>20</v>
      </c>
      <c r="E577" t="s">
        <v>21</v>
      </c>
      <c r="F577" t="s">
        <v>49</v>
      </c>
      <c r="G577" t="s">
        <v>50</v>
      </c>
      <c r="H577" t="s">
        <v>49</v>
      </c>
      <c r="I577" s="5">
        <v>0.04</v>
      </c>
      <c r="J577">
        <f t="shared" si="24"/>
        <v>24</v>
      </c>
      <c r="K577">
        <v>0</v>
      </c>
      <c r="L577">
        <f t="shared" si="25"/>
        <v>24</v>
      </c>
      <c r="M577" s="4">
        <f t="shared" si="26"/>
        <v>3.5555555555555556E-2</v>
      </c>
      <c r="N577">
        <v>675</v>
      </c>
      <c r="O577">
        <v>600</v>
      </c>
      <c r="P577" t="s">
        <v>283</v>
      </c>
      <c r="Q577" t="s">
        <v>320</v>
      </c>
      <c r="R577" t="str">
        <f>IF(COUNTIF(Sheet2!B:B, A577) &gt; 0, "Yes", "No")</f>
        <v>Yes</v>
      </c>
    </row>
    <row r="578" spans="1:18" x14ac:dyDescent="0.25">
      <c r="A578" s="3">
        <v>45138</v>
      </c>
      <c r="B578" t="s">
        <v>285</v>
      </c>
      <c r="C578" t="s">
        <v>19</v>
      </c>
      <c r="D578" t="s">
        <v>20</v>
      </c>
      <c r="E578" t="s">
        <v>21</v>
      </c>
      <c r="F578" t="s">
        <v>22</v>
      </c>
      <c r="G578" t="s">
        <v>52</v>
      </c>
      <c r="H578" t="s">
        <v>148</v>
      </c>
      <c r="I578">
        <v>8.5000000000000006E-2</v>
      </c>
      <c r="J578">
        <f t="shared" si="24"/>
        <v>52.7</v>
      </c>
      <c r="K578">
        <v>3</v>
      </c>
      <c r="L578">
        <f t="shared" si="25"/>
        <v>49.7</v>
      </c>
      <c r="M578" s="4">
        <f t="shared" si="26"/>
        <v>7.646153846153847E-2</v>
      </c>
      <c r="N578">
        <v>650</v>
      </c>
      <c r="O578">
        <v>620</v>
      </c>
      <c r="P578" t="s">
        <v>322</v>
      </c>
      <c r="Q578" t="s">
        <v>320</v>
      </c>
      <c r="R578" t="str">
        <f>IF(COUNTIF(Sheet2!B:B, A578) &gt; 0, "Yes", "No")</f>
        <v>No</v>
      </c>
    </row>
    <row r="579" spans="1:18" x14ac:dyDescent="0.25">
      <c r="A579" s="3">
        <v>45138</v>
      </c>
      <c r="B579" t="s">
        <v>285</v>
      </c>
      <c r="C579" t="s">
        <v>19</v>
      </c>
      <c r="D579" t="s">
        <v>20</v>
      </c>
      <c r="E579" t="s">
        <v>21</v>
      </c>
      <c r="F579" t="s">
        <v>27</v>
      </c>
      <c r="G579" t="s">
        <v>28</v>
      </c>
      <c r="H579" t="s">
        <v>207</v>
      </c>
      <c r="I579">
        <v>0.11</v>
      </c>
      <c r="J579">
        <f t="shared" ref="J579:J642" si="27">I579*O579</f>
        <v>68.2</v>
      </c>
      <c r="K579">
        <v>3</v>
      </c>
      <c r="L579">
        <f t="shared" ref="L579:L642" si="28">J579-K579</f>
        <v>65.2</v>
      </c>
      <c r="M579" s="4">
        <f t="shared" ref="M579:M642" si="29">((I579*O579)-K579)/N579</f>
        <v>0.10030769230769231</v>
      </c>
      <c r="N579">
        <v>650</v>
      </c>
      <c r="O579">
        <v>620</v>
      </c>
      <c r="P579" t="s">
        <v>322</v>
      </c>
      <c r="Q579" t="s">
        <v>320</v>
      </c>
      <c r="R579" t="str">
        <f>IF(COUNTIF(Sheet2!B:B, A579) &gt; 0, "Yes", "No")</f>
        <v>No</v>
      </c>
    </row>
    <row r="580" spans="1:18" x14ac:dyDescent="0.25">
      <c r="A580" s="3">
        <v>45138</v>
      </c>
      <c r="B580" t="s">
        <v>285</v>
      </c>
      <c r="C580" t="s">
        <v>19</v>
      </c>
      <c r="D580" t="s">
        <v>20</v>
      </c>
      <c r="E580" t="s">
        <v>21</v>
      </c>
      <c r="F580" t="s">
        <v>30</v>
      </c>
      <c r="G580" t="s">
        <v>55</v>
      </c>
      <c r="H580" t="s">
        <v>183</v>
      </c>
      <c r="I580">
        <v>0.09</v>
      </c>
      <c r="J580">
        <f t="shared" si="27"/>
        <v>55.8</v>
      </c>
      <c r="K580">
        <v>0</v>
      </c>
      <c r="L580">
        <f t="shared" si="28"/>
        <v>55.8</v>
      </c>
      <c r="M580" s="4">
        <f t="shared" si="29"/>
        <v>8.5846153846153836E-2</v>
      </c>
      <c r="N580">
        <v>650</v>
      </c>
      <c r="O580">
        <v>620</v>
      </c>
      <c r="P580" t="s">
        <v>322</v>
      </c>
      <c r="Q580" t="s">
        <v>320</v>
      </c>
      <c r="R580" t="str">
        <f>IF(COUNTIF(Sheet2!B:B, A580) &gt; 0, "Yes", "No")</f>
        <v>No</v>
      </c>
    </row>
    <row r="581" spans="1:18" x14ac:dyDescent="0.25">
      <c r="A581" s="3">
        <v>45138</v>
      </c>
      <c r="B581" t="s">
        <v>285</v>
      </c>
      <c r="C581" t="s">
        <v>19</v>
      </c>
      <c r="D581" t="s">
        <v>33</v>
      </c>
      <c r="E581" t="s">
        <v>21</v>
      </c>
      <c r="F581" t="s">
        <v>34</v>
      </c>
      <c r="G581" t="s">
        <v>35</v>
      </c>
      <c r="H581" t="s">
        <v>36</v>
      </c>
      <c r="I581">
        <v>0.15</v>
      </c>
      <c r="J581">
        <f t="shared" si="27"/>
        <v>46.5</v>
      </c>
      <c r="K581">
        <v>0</v>
      </c>
      <c r="L581">
        <f t="shared" si="28"/>
        <v>46.5</v>
      </c>
      <c r="M581" s="4">
        <f t="shared" si="29"/>
        <v>0.14307692307692307</v>
      </c>
      <c r="N581">
        <v>325</v>
      </c>
      <c r="O581">
        <v>310</v>
      </c>
      <c r="P581" t="s">
        <v>322</v>
      </c>
      <c r="Q581" t="s">
        <v>320</v>
      </c>
      <c r="R581" t="str">
        <f>IF(COUNTIF(Sheet2!B:B, A581) &gt; 0, "Yes", "No")</f>
        <v>No</v>
      </c>
    </row>
    <row r="582" spans="1:18" x14ac:dyDescent="0.25">
      <c r="A582" s="3">
        <v>45138</v>
      </c>
      <c r="B582" t="s">
        <v>285</v>
      </c>
      <c r="C582" t="s">
        <v>19</v>
      </c>
      <c r="D582" t="s">
        <v>20</v>
      </c>
      <c r="E582" t="s">
        <v>21</v>
      </c>
      <c r="F582" t="s">
        <v>37</v>
      </c>
      <c r="G582" t="s">
        <v>87</v>
      </c>
      <c r="H582" t="s">
        <v>99</v>
      </c>
      <c r="I582">
        <v>0.03</v>
      </c>
      <c r="J582">
        <f t="shared" si="27"/>
        <v>18.599999999999998</v>
      </c>
      <c r="K582">
        <v>3</v>
      </c>
      <c r="L582">
        <f t="shared" si="28"/>
        <v>15.599999999999998</v>
      </c>
      <c r="M582" s="4">
        <f t="shared" si="29"/>
        <v>2.3999999999999997E-2</v>
      </c>
      <c r="N582">
        <v>650</v>
      </c>
      <c r="O582">
        <v>620</v>
      </c>
      <c r="P582" t="s">
        <v>322</v>
      </c>
      <c r="Q582" t="s">
        <v>320</v>
      </c>
      <c r="R582" t="str">
        <f>IF(COUNTIF(Sheet2!B:B, A582) &gt; 0, "Yes", "No")</f>
        <v>No</v>
      </c>
    </row>
    <row r="583" spans="1:18" x14ac:dyDescent="0.25">
      <c r="A583" s="3">
        <v>45138</v>
      </c>
      <c r="B583" t="s">
        <v>285</v>
      </c>
      <c r="C583" t="s">
        <v>19</v>
      </c>
      <c r="D583" t="s">
        <v>20</v>
      </c>
      <c r="E583" t="s">
        <v>21</v>
      </c>
      <c r="F583" t="s">
        <v>40</v>
      </c>
      <c r="G583" t="s">
        <v>41</v>
      </c>
      <c r="H583" t="s">
        <v>42</v>
      </c>
      <c r="I583">
        <v>4.4999999999999998E-2</v>
      </c>
      <c r="J583">
        <f t="shared" si="27"/>
        <v>27.9</v>
      </c>
      <c r="K583">
        <v>2</v>
      </c>
      <c r="L583">
        <f t="shared" si="28"/>
        <v>25.9</v>
      </c>
      <c r="M583" s="4">
        <f t="shared" si="29"/>
        <v>3.9846153846153844E-2</v>
      </c>
      <c r="N583">
        <v>650</v>
      </c>
      <c r="O583">
        <v>620</v>
      </c>
      <c r="P583" t="s">
        <v>322</v>
      </c>
      <c r="Q583" t="s">
        <v>320</v>
      </c>
      <c r="R583" t="str">
        <f>IF(COUNTIF(Sheet2!B:B, A583) &gt; 0, "Yes", "No")</f>
        <v>No</v>
      </c>
    </row>
    <row r="584" spans="1:18" x14ac:dyDescent="0.25">
      <c r="A584" s="3">
        <v>45138</v>
      </c>
      <c r="B584" t="s">
        <v>285</v>
      </c>
      <c r="C584" t="s">
        <v>19</v>
      </c>
      <c r="D584" t="s">
        <v>20</v>
      </c>
      <c r="E584" t="s">
        <v>21</v>
      </c>
      <c r="F584" t="s">
        <v>43</v>
      </c>
      <c r="G584" t="s">
        <v>159</v>
      </c>
      <c r="H584" t="s">
        <v>160</v>
      </c>
      <c r="I584">
        <v>0.11</v>
      </c>
      <c r="J584">
        <f t="shared" si="27"/>
        <v>68.2</v>
      </c>
      <c r="K584">
        <v>2</v>
      </c>
      <c r="L584">
        <f t="shared" si="28"/>
        <v>66.2</v>
      </c>
      <c r="M584" s="4">
        <f t="shared" si="29"/>
        <v>0.10184615384615385</v>
      </c>
      <c r="N584">
        <v>650</v>
      </c>
      <c r="O584">
        <v>620</v>
      </c>
      <c r="P584" t="s">
        <v>322</v>
      </c>
      <c r="Q584" t="s">
        <v>320</v>
      </c>
      <c r="R584" t="str">
        <f>IF(COUNTIF(Sheet2!B:B, A584) &gt; 0, "Yes", "No")</f>
        <v>No</v>
      </c>
    </row>
    <row r="585" spans="1:18" x14ac:dyDescent="0.25">
      <c r="A585" s="3">
        <v>45138</v>
      </c>
      <c r="B585" t="s">
        <v>285</v>
      </c>
      <c r="C585" t="s">
        <v>19</v>
      </c>
      <c r="D585" t="s">
        <v>20</v>
      </c>
      <c r="E585" t="s">
        <v>21</v>
      </c>
      <c r="F585" t="s">
        <v>46</v>
      </c>
      <c r="G585" t="s">
        <v>92</v>
      </c>
      <c r="H585" t="s">
        <v>259</v>
      </c>
      <c r="I585">
        <v>8.5000000000000006E-2</v>
      </c>
      <c r="J585">
        <f t="shared" si="27"/>
        <v>52.7</v>
      </c>
      <c r="K585">
        <v>0</v>
      </c>
      <c r="L585">
        <f t="shared" si="28"/>
        <v>52.7</v>
      </c>
      <c r="M585" s="4">
        <f t="shared" si="29"/>
        <v>8.1076923076923088E-2</v>
      </c>
      <c r="N585">
        <v>650</v>
      </c>
      <c r="O585">
        <v>620</v>
      </c>
      <c r="P585" t="s">
        <v>322</v>
      </c>
      <c r="Q585" t="s">
        <v>320</v>
      </c>
      <c r="R585" t="str">
        <f>IF(COUNTIF(Sheet2!B:B, A585) &gt; 0, "Yes", "No")</f>
        <v>No</v>
      </c>
    </row>
    <row r="586" spans="1:18" x14ac:dyDescent="0.25">
      <c r="A586" s="3">
        <v>45138</v>
      </c>
      <c r="B586" t="s">
        <v>285</v>
      </c>
      <c r="C586" t="s">
        <v>19</v>
      </c>
      <c r="D586" t="s">
        <v>20</v>
      </c>
      <c r="E586" t="s">
        <v>21</v>
      </c>
      <c r="F586" t="s">
        <v>49</v>
      </c>
      <c r="G586" t="s">
        <v>50</v>
      </c>
      <c r="H586" t="s">
        <v>49</v>
      </c>
      <c r="I586">
        <v>0.09</v>
      </c>
      <c r="J586">
        <f t="shared" si="27"/>
        <v>55.8</v>
      </c>
      <c r="K586">
        <v>0.5</v>
      </c>
      <c r="L586">
        <f t="shared" si="28"/>
        <v>55.3</v>
      </c>
      <c r="M586" s="4">
        <f t="shared" si="29"/>
        <v>8.5076923076923078E-2</v>
      </c>
      <c r="N586">
        <v>650</v>
      </c>
      <c r="O586">
        <v>620</v>
      </c>
      <c r="P586" t="s">
        <v>322</v>
      </c>
      <c r="Q586" t="s">
        <v>320</v>
      </c>
      <c r="R586" t="str">
        <f>IF(COUNTIF(Sheet2!B:B, A586) &gt; 0, "Yes", "No")</f>
        <v>No</v>
      </c>
    </row>
    <row r="587" spans="1:18" x14ac:dyDescent="0.25">
      <c r="A587" s="3">
        <v>45141</v>
      </c>
      <c r="B587" t="s">
        <v>323</v>
      </c>
      <c r="C587" t="s">
        <v>66</v>
      </c>
      <c r="D587" t="s">
        <v>20</v>
      </c>
      <c r="E587" t="s">
        <v>67</v>
      </c>
      <c r="F587" t="s">
        <v>22</v>
      </c>
      <c r="G587" t="s">
        <v>23</v>
      </c>
      <c r="H587" t="s">
        <v>80</v>
      </c>
      <c r="I587">
        <v>8.5000000000000006E-2</v>
      </c>
      <c r="J587">
        <f t="shared" si="27"/>
        <v>52.7</v>
      </c>
      <c r="K587">
        <v>0</v>
      </c>
      <c r="L587">
        <f t="shared" si="28"/>
        <v>52.7</v>
      </c>
      <c r="M587" s="4">
        <f t="shared" si="29"/>
        <v>8.1076923076923088E-2</v>
      </c>
      <c r="N587">
        <v>650</v>
      </c>
      <c r="O587">
        <v>620</v>
      </c>
      <c r="P587" t="s">
        <v>25</v>
      </c>
      <c r="Q587" t="s">
        <v>26</v>
      </c>
      <c r="R587" t="str">
        <f>IF(COUNTIF(Sheet2!B:B, A587) &gt; 0, "Yes", "No")</f>
        <v>No</v>
      </c>
    </row>
    <row r="588" spans="1:18" x14ac:dyDescent="0.25">
      <c r="A588" s="3">
        <v>45141</v>
      </c>
      <c r="B588" t="s">
        <v>323</v>
      </c>
      <c r="C588" t="s">
        <v>66</v>
      </c>
      <c r="D588" t="s">
        <v>20</v>
      </c>
      <c r="E588" t="s">
        <v>67</v>
      </c>
      <c r="F588" t="s">
        <v>27</v>
      </c>
      <c r="G588" t="s">
        <v>28</v>
      </c>
      <c r="H588" t="s">
        <v>96</v>
      </c>
      <c r="I588">
        <v>0.11</v>
      </c>
      <c r="J588">
        <f t="shared" si="27"/>
        <v>68.2</v>
      </c>
      <c r="K588">
        <v>0</v>
      </c>
      <c r="L588">
        <f t="shared" si="28"/>
        <v>68.2</v>
      </c>
      <c r="M588" s="4">
        <f t="shared" si="29"/>
        <v>0.10492307692307692</v>
      </c>
      <c r="N588">
        <v>650</v>
      </c>
      <c r="O588">
        <v>620</v>
      </c>
      <c r="P588" t="s">
        <v>25</v>
      </c>
      <c r="Q588" t="s">
        <v>26</v>
      </c>
      <c r="R588" t="str">
        <f>IF(COUNTIF(Sheet2!B:B, A588) &gt; 0, "Yes", "No")</f>
        <v>No</v>
      </c>
    </row>
    <row r="589" spans="1:18" x14ac:dyDescent="0.25">
      <c r="A589" s="3">
        <v>45141</v>
      </c>
      <c r="B589" t="s">
        <v>323</v>
      </c>
      <c r="C589" t="s">
        <v>66</v>
      </c>
      <c r="D589" t="s">
        <v>20</v>
      </c>
      <c r="E589" t="s">
        <v>67</v>
      </c>
      <c r="F589" t="s">
        <v>30</v>
      </c>
      <c r="G589" t="s">
        <v>55</v>
      </c>
      <c r="H589" t="s">
        <v>134</v>
      </c>
      <c r="I589">
        <v>0.09</v>
      </c>
      <c r="J589">
        <f t="shared" si="27"/>
        <v>55.8</v>
      </c>
      <c r="K589">
        <v>0</v>
      </c>
      <c r="L589">
        <f t="shared" si="28"/>
        <v>55.8</v>
      </c>
      <c r="M589" s="4">
        <f t="shared" si="29"/>
        <v>8.5846153846153836E-2</v>
      </c>
      <c r="N589">
        <v>650</v>
      </c>
      <c r="O589">
        <v>620</v>
      </c>
      <c r="P589" t="s">
        <v>25</v>
      </c>
      <c r="Q589" t="s">
        <v>26</v>
      </c>
      <c r="R589" t="str">
        <f>IF(COUNTIF(Sheet2!B:B, A589) &gt; 0, "Yes", "No")</f>
        <v>No</v>
      </c>
    </row>
    <row r="590" spans="1:18" x14ac:dyDescent="0.25">
      <c r="A590" s="3">
        <v>45141</v>
      </c>
      <c r="B590" t="s">
        <v>323</v>
      </c>
      <c r="C590" t="s">
        <v>66</v>
      </c>
      <c r="D590" t="s">
        <v>20</v>
      </c>
      <c r="E590" t="s">
        <v>67</v>
      </c>
      <c r="F590" t="s">
        <v>37</v>
      </c>
      <c r="G590" t="s">
        <v>71</v>
      </c>
      <c r="H590" t="s">
        <v>151</v>
      </c>
      <c r="I590">
        <v>3.5000000000000003E-2</v>
      </c>
      <c r="J590">
        <f t="shared" si="27"/>
        <v>21.700000000000003</v>
      </c>
      <c r="K590">
        <v>0</v>
      </c>
      <c r="L590">
        <f t="shared" si="28"/>
        <v>21.700000000000003</v>
      </c>
      <c r="M590" s="4">
        <f t="shared" si="29"/>
        <v>3.3384615384615388E-2</v>
      </c>
      <c r="N590">
        <v>650</v>
      </c>
      <c r="O590">
        <v>620</v>
      </c>
      <c r="P590" t="s">
        <v>25</v>
      </c>
      <c r="Q590" t="s">
        <v>26</v>
      </c>
      <c r="R590" t="str">
        <f>IF(COUNTIF(Sheet2!B:B, A590) &gt; 0, "Yes", "No")</f>
        <v>No</v>
      </c>
    </row>
    <row r="591" spans="1:18" x14ac:dyDescent="0.25">
      <c r="A591" s="3">
        <v>45141</v>
      </c>
      <c r="B591" t="s">
        <v>323</v>
      </c>
      <c r="C591" t="s">
        <v>66</v>
      </c>
      <c r="D591" t="s">
        <v>20</v>
      </c>
      <c r="E591" t="s">
        <v>67</v>
      </c>
      <c r="F591" t="s">
        <v>40</v>
      </c>
      <c r="G591" t="s">
        <v>73</v>
      </c>
      <c r="H591" t="s">
        <v>74</v>
      </c>
      <c r="I591">
        <v>0.05</v>
      </c>
      <c r="J591">
        <f t="shared" si="27"/>
        <v>31</v>
      </c>
      <c r="K591">
        <v>0</v>
      </c>
      <c r="L591">
        <f t="shared" si="28"/>
        <v>31</v>
      </c>
      <c r="M591" s="4">
        <f t="shared" si="29"/>
        <v>4.7692307692307694E-2</v>
      </c>
      <c r="N591">
        <v>650</v>
      </c>
      <c r="O591">
        <v>620</v>
      </c>
      <c r="P591" t="s">
        <v>25</v>
      </c>
      <c r="Q591" t="s">
        <v>26</v>
      </c>
      <c r="R591" t="str">
        <f>IF(COUNTIF(Sheet2!B:B, A591) &gt; 0, "Yes", "No")</f>
        <v>No</v>
      </c>
    </row>
    <row r="592" spans="1:18" x14ac:dyDescent="0.25">
      <c r="A592" s="3">
        <v>45141</v>
      </c>
      <c r="B592" t="s">
        <v>323</v>
      </c>
      <c r="C592" t="s">
        <v>66</v>
      </c>
      <c r="D592" t="s">
        <v>20</v>
      </c>
      <c r="E592" t="s">
        <v>67</v>
      </c>
      <c r="F592" t="s">
        <v>43</v>
      </c>
      <c r="G592" t="s">
        <v>215</v>
      </c>
      <c r="H592" t="s">
        <v>216</v>
      </c>
      <c r="I592">
        <v>0.11</v>
      </c>
      <c r="J592">
        <f t="shared" si="27"/>
        <v>68.2</v>
      </c>
      <c r="K592">
        <v>1</v>
      </c>
      <c r="L592">
        <f t="shared" si="28"/>
        <v>67.2</v>
      </c>
      <c r="M592" s="4">
        <f t="shared" si="29"/>
        <v>0.10338461538461539</v>
      </c>
      <c r="N592">
        <v>650</v>
      </c>
      <c r="O592">
        <v>620</v>
      </c>
      <c r="P592" t="s">
        <v>25</v>
      </c>
      <c r="Q592" t="s">
        <v>26</v>
      </c>
      <c r="R592" t="str">
        <f>IF(COUNTIF(Sheet2!B:B, A592) &gt; 0, "Yes", "No")</f>
        <v>No</v>
      </c>
    </row>
    <row r="593" spans="1:18" x14ac:dyDescent="0.25">
      <c r="A593" s="3">
        <v>45141</v>
      </c>
      <c r="B593" t="s">
        <v>323</v>
      </c>
      <c r="C593" t="s">
        <v>66</v>
      </c>
      <c r="D593" t="s">
        <v>20</v>
      </c>
      <c r="E593" t="s">
        <v>67</v>
      </c>
      <c r="F593" t="s">
        <v>46</v>
      </c>
      <c r="G593" t="s">
        <v>47</v>
      </c>
      <c r="H593" t="s">
        <v>312</v>
      </c>
      <c r="I593">
        <v>8.5000000000000006E-2</v>
      </c>
      <c r="J593">
        <f t="shared" si="27"/>
        <v>52.7</v>
      </c>
      <c r="K593">
        <v>0</v>
      </c>
      <c r="L593">
        <f t="shared" si="28"/>
        <v>52.7</v>
      </c>
      <c r="M593" s="4">
        <f t="shared" si="29"/>
        <v>8.1076923076923088E-2</v>
      </c>
      <c r="N593">
        <v>650</v>
      </c>
      <c r="O593">
        <v>620</v>
      </c>
      <c r="P593" t="s">
        <v>25</v>
      </c>
      <c r="Q593" t="s">
        <v>26</v>
      </c>
      <c r="R593" t="str">
        <f>IF(COUNTIF(Sheet2!B:B, A593) &gt; 0, "Yes", "No")</f>
        <v>No</v>
      </c>
    </row>
    <row r="594" spans="1:18" x14ac:dyDescent="0.25">
      <c r="A594" s="3">
        <v>45141</v>
      </c>
      <c r="B594" t="s">
        <v>323</v>
      </c>
      <c r="C594" t="s">
        <v>66</v>
      </c>
      <c r="D594" t="s">
        <v>20</v>
      </c>
      <c r="E594" t="s">
        <v>67</v>
      </c>
      <c r="F594" t="s">
        <v>49</v>
      </c>
      <c r="G594" t="s">
        <v>50</v>
      </c>
      <c r="H594" t="s">
        <v>49</v>
      </c>
      <c r="I594">
        <v>0.09</v>
      </c>
      <c r="J594">
        <f t="shared" si="27"/>
        <v>55.8</v>
      </c>
      <c r="K594">
        <v>0</v>
      </c>
      <c r="L594">
        <f t="shared" si="28"/>
        <v>55.8</v>
      </c>
      <c r="M594" s="4">
        <f t="shared" si="29"/>
        <v>8.5846153846153836E-2</v>
      </c>
      <c r="N594">
        <v>650</v>
      </c>
      <c r="O594">
        <v>620</v>
      </c>
      <c r="P594" t="s">
        <v>25</v>
      </c>
      <c r="Q594" t="s">
        <v>26</v>
      </c>
      <c r="R594" t="str">
        <f>IF(COUNTIF(Sheet2!B:B, A594) &gt; 0, "Yes", "No")</f>
        <v>No</v>
      </c>
    </row>
    <row r="595" spans="1:18" x14ac:dyDescent="0.25">
      <c r="A595" s="3">
        <v>45142</v>
      </c>
      <c r="B595" t="s">
        <v>323</v>
      </c>
      <c r="C595" t="s">
        <v>79</v>
      </c>
      <c r="D595" t="s">
        <v>20</v>
      </c>
      <c r="E595" t="s">
        <v>21</v>
      </c>
      <c r="F595" t="s">
        <v>22</v>
      </c>
      <c r="G595" t="s">
        <v>122</v>
      </c>
      <c r="H595" t="s">
        <v>324</v>
      </c>
      <c r="I595" s="5">
        <v>0.06</v>
      </c>
      <c r="J595">
        <f t="shared" si="27"/>
        <v>36</v>
      </c>
      <c r="K595">
        <v>1</v>
      </c>
      <c r="L595">
        <f t="shared" si="28"/>
        <v>35</v>
      </c>
      <c r="M595" s="4">
        <f t="shared" si="29"/>
        <v>5.3846153846153849E-2</v>
      </c>
      <c r="N595">
        <v>650</v>
      </c>
      <c r="O595">
        <v>600</v>
      </c>
      <c r="P595" t="s">
        <v>25</v>
      </c>
      <c r="Q595" t="s">
        <v>26</v>
      </c>
      <c r="R595" t="str">
        <f>IF(COUNTIF(Sheet2!B:B, A595) &gt; 0, "Yes", "No")</f>
        <v>Yes</v>
      </c>
    </row>
    <row r="596" spans="1:18" x14ac:dyDescent="0.25">
      <c r="A596" s="3">
        <v>45142</v>
      </c>
      <c r="B596" t="s">
        <v>323</v>
      </c>
      <c r="C596" t="s">
        <v>79</v>
      </c>
      <c r="D596" t="s">
        <v>20</v>
      </c>
      <c r="E596" t="s">
        <v>21</v>
      </c>
      <c r="F596" t="s">
        <v>27</v>
      </c>
      <c r="G596" t="s">
        <v>81</v>
      </c>
      <c r="H596" t="s">
        <v>133</v>
      </c>
      <c r="I596" s="5">
        <v>0.1</v>
      </c>
      <c r="J596">
        <f t="shared" si="27"/>
        <v>60</v>
      </c>
      <c r="K596">
        <v>0</v>
      </c>
      <c r="L596">
        <f t="shared" si="28"/>
        <v>60</v>
      </c>
      <c r="M596" s="4">
        <f t="shared" si="29"/>
        <v>9.2307692307692313E-2</v>
      </c>
      <c r="N596">
        <v>650</v>
      </c>
      <c r="O596">
        <v>600</v>
      </c>
      <c r="P596" t="s">
        <v>25</v>
      </c>
      <c r="Q596" t="s">
        <v>26</v>
      </c>
      <c r="R596" t="str">
        <f>IF(COUNTIF(Sheet2!B:B, A596) &gt; 0, "Yes", "No")</f>
        <v>Yes</v>
      </c>
    </row>
    <row r="597" spans="1:18" x14ac:dyDescent="0.25">
      <c r="A597" s="3">
        <v>45142</v>
      </c>
      <c r="B597" t="s">
        <v>323</v>
      </c>
      <c r="C597" t="s">
        <v>79</v>
      </c>
      <c r="D597" t="s">
        <v>20</v>
      </c>
      <c r="E597" t="s">
        <v>21</v>
      </c>
      <c r="F597" t="s">
        <v>30</v>
      </c>
      <c r="G597" t="s">
        <v>31</v>
      </c>
      <c r="H597" t="s">
        <v>70</v>
      </c>
      <c r="I597" s="5">
        <v>0.06</v>
      </c>
      <c r="J597">
        <f t="shared" si="27"/>
        <v>36</v>
      </c>
      <c r="K597">
        <v>0</v>
      </c>
      <c r="L597">
        <f t="shared" si="28"/>
        <v>36</v>
      </c>
      <c r="M597" s="4">
        <f t="shared" si="29"/>
        <v>5.5384615384615386E-2</v>
      </c>
      <c r="N597">
        <v>650</v>
      </c>
      <c r="O597">
        <v>600</v>
      </c>
      <c r="P597" t="s">
        <v>25</v>
      </c>
      <c r="Q597" t="s">
        <v>26</v>
      </c>
      <c r="R597" t="str">
        <f>IF(COUNTIF(Sheet2!B:B, A597) &gt; 0, "Yes", "No")</f>
        <v>Yes</v>
      </c>
    </row>
    <row r="598" spans="1:18" x14ac:dyDescent="0.25">
      <c r="A598" s="3">
        <v>45142</v>
      </c>
      <c r="B598" t="s">
        <v>323</v>
      </c>
      <c r="C598" t="s">
        <v>79</v>
      </c>
      <c r="D598" t="s">
        <v>33</v>
      </c>
      <c r="E598" t="s">
        <v>21</v>
      </c>
      <c r="F598" t="s">
        <v>84</v>
      </c>
      <c r="G598" t="s">
        <v>85</v>
      </c>
      <c r="H598" t="s">
        <v>135</v>
      </c>
      <c r="I598" s="5">
        <v>0.3</v>
      </c>
      <c r="J598">
        <f t="shared" si="27"/>
        <v>108</v>
      </c>
      <c r="K598">
        <v>0</v>
      </c>
      <c r="L598">
        <f t="shared" si="28"/>
        <v>108</v>
      </c>
      <c r="M598" s="4">
        <f t="shared" si="29"/>
        <v>0.27692307692307694</v>
      </c>
      <c r="N598">
        <v>390</v>
      </c>
      <c r="O598">
        <v>360</v>
      </c>
      <c r="P598" t="s">
        <v>25</v>
      </c>
      <c r="Q598" t="s">
        <v>26</v>
      </c>
      <c r="R598" t="str">
        <f>IF(COUNTIF(Sheet2!B:B, A598) &gt; 0, "Yes", "No")</f>
        <v>Yes</v>
      </c>
    </row>
    <row r="599" spans="1:18" x14ac:dyDescent="0.25">
      <c r="A599" s="3">
        <v>45142</v>
      </c>
      <c r="B599" t="s">
        <v>323</v>
      </c>
      <c r="C599" t="s">
        <v>79</v>
      </c>
      <c r="D599" t="s">
        <v>20</v>
      </c>
      <c r="E599" t="s">
        <v>21</v>
      </c>
      <c r="F599" t="s">
        <v>37</v>
      </c>
      <c r="G599" t="s">
        <v>87</v>
      </c>
      <c r="H599" t="s">
        <v>88</v>
      </c>
      <c r="I599" s="5">
        <v>2.5000000000000001E-2</v>
      </c>
      <c r="J599">
        <f t="shared" si="27"/>
        <v>15</v>
      </c>
      <c r="K599">
        <v>0</v>
      </c>
      <c r="L599">
        <f t="shared" si="28"/>
        <v>15</v>
      </c>
      <c r="M599" s="4">
        <f t="shared" si="29"/>
        <v>2.3076923076923078E-2</v>
      </c>
      <c r="N599">
        <v>650</v>
      </c>
      <c r="O599">
        <v>600</v>
      </c>
      <c r="P599" t="s">
        <v>25</v>
      </c>
      <c r="Q599" t="s">
        <v>26</v>
      </c>
      <c r="R599" t="str">
        <f>IF(COUNTIF(Sheet2!B:B, A599) &gt; 0, "Yes", "No")</f>
        <v>Yes</v>
      </c>
    </row>
    <row r="600" spans="1:18" x14ac:dyDescent="0.25">
      <c r="A600" s="3">
        <v>45142</v>
      </c>
      <c r="B600" t="s">
        <v>323</v>
      </c>
      <c r="C600" t="s">
        <v>79</v>
      </c>
      <c r="D600" t="s">
        <v>20</v>
      </c>
      <c r="E600" t="s">
        <v>21</v>
      </c>
      <c r="F600" t="s">
        <v>40</v>
      </c>
      <c r="G600" t="s">
        <v>164</v>
      </c>
      <c r="H600" t="s">
        <v>193</v>
      </c>
      <c r="I600" s="5">
        <v>0.04</v>
      </c>
      <c r="J600">
        <f t="shared" si="27"/>
        <v>24</v>
      </c>
      <c r="K600">
        <v>0</v>
      </c>
      <c r="L600">
        <f t="shared" si="28"/>
        <v>24</v>
      </c>
      <c r="M600" s="4">
        <f t="shared" si="29"/>
        <v>3.6923076923076927E-2</v>
      </c>
      <c r="N600">
        <v>650</v>
      </c>
      <c r="O600">
        <v>600</v>
      </c>
      <c r="P600" t="s">
        <v>25</v>
      </c>
      <c r="Q600" t="s">
        <v>26</v>
      </c>
      <c r="R600" t="str">
        <f>IF(COUNTIF(Sheet2!B:B, A600) &gt; 0, "Yes", "No")</f>
        <v>Yes</v>
      </c>
    </row>
    <row r="601" spans="1:18" x14ac:dyDescent="0.25">
      <c r="A601" s="3">
        <v>45142</v>
      </c>
      <c r="B601" t="s">
        <v>323</v>
      </c>
      <c r="C601" t="s">
        <v>79</v>
      </c>
      <c r="D601" t="s">
        <v>20</v>
      </c>
      <c r="E601" t="s">
        <v>21</v>
      </c>
      <c r="F601" t="s">
        <v>43</v>
      </c>
      <c r="G601" t="s">
        <v>111</v>
      </c>
      <c r="H601" t="s">
        <v>325</v>
      </c>
      <c r="I601" s="5">
        <v>0.08</v>
      </c>
      <c r="J601">
        <f t="shared" si="27"/>
        <v>48</v>
      </c>
      <c r="K601">
        <v>0</v>
      </c>
      <c r="L601">
        <f t="shared" si="28"/>
        <v>48</v>
      </c>
      <c r="M601" s="4">
        <f t="shared" si="29"/>
        <v>7.3846153846153853E-2</v>
      </c>
      <c r="N601">
        <v>650</v>
      </c>
      <c r="O601">
        <v>600</v>
      </c>
      <c r="P601" t="s">
        <v>25</v>
      </c>
      <c r="Q601" t="s">
        <v>26</v>
      </c>
      <c r="R601" t="str">
        <f>IF(COUNTIF(Sheet2!B:B, A601) &gt; 0, "Yes", "No")</f>
        <v>Yes</v>
      </c>
    </row>
    <row r="602" spans="1:18" x14ac:dyDescent="0.25">
      <c r="A602" s="3">
        <v>45142</v>
      </c>
      <c r="B602" t="s">
        <v>323</v>
      </c>
      <c r="C602" t="s">
        <v>79</v>
      </c>
      <c r="D602" t="s">
        <v>20</v>
      </c>
      <c r="E602" t="s">
        <v>21</v>
      </c>
      <c r="F602" t="s">
        <v>46</v>
      </c>
      <c r="G602" t="s">
        <v>47</v>
      </c>
      <c r="H602" t="s">
        <v>326</v>
      </c>
      <c r="I602" s="5">
        <v>0.06</v>
      </c>
      <c r="J602">
        <f t="shared" si="27"/>
        <v>36</v>
      </c>
      <c r="K602">
        <v>7</v>
      </c>
      <c r="L602">
        <f t="shared" si="28"/>
        <v>29</v>
      </c>
      <c r="M602" s="4">
        <f t="shared" si="29"/>
        <v>4.4615384615384612E-2</v>
      </c>
      <c r="N602">
        <v>650</v>
      </c>
      <c r="O602">
        <v>600</v>
      </c>
      <c r="P602" t="s">
        <v>25</v>
      </c>
      <c r="Q602" t="s">
        <v>26</v>
      </c>
      <c r="R602" t="str">
        <f>IF(COUNTIF(Sheet2!B:B, A602) &gt; 0, "Yes", "No")</f>
        <v>Yes</v>
      </c>
    </row>
    <row r="603" spans="1:18" x14ac:dyDescent="0.25">
      <c r="A603" s="3">
        <v>45142</v>
      </c>
      <c r="B603" t="s">
        <v>323</v>
      </c>
      <c r="C603" t="s">
        <v>79</v>
      </c>
      <c r="D603" t="s">
        <v>20</v>
      </c>
      <c r="E603" t="s">
        <v>21</v>
      </c>
      <c r="F603" t="s">
        <v>49</v>
      </c>
      <c r="G603" t="s">
        <v>50</v>
      </c>
      <c r="H603" t="s">
        <v>49</v>
      </c>
      <c r="I603" s="5">
        <v>0.04</v>
      </c>
      <c r="J603">
        <f t="shared" si="27"/>
        <v>24</v>
      </c>
      <c r="K603">
        <v>0</v>
      </c>
      <c r="L603">
        <f t="shared" si="28"/>
        <v>24</v>
      </c>
      <c r="M603" s="4">
        <f t="shared" si="29"/>
        <v>3.6923076923076927E-2</v>
      </c>
      <c r="N603">
        <v>650</v>
      </c>
      <c r="O603">
        <v>600</v>
      </c>
      <c r="P603" t="s">
        <v>25</v>
      </c>
      <c r="Q603" t="s">
        <v>26</v>
      </c>
      <c r="R603" t="str">
        <f>IF(COUNTIF(Sheet2!B:B, A603) &gt; 0, "Yes", "No")</f>
        <v>Yes</v>
      </c>
    </row>
    <row r="604" spans="1:18" x14ac:dyDescent="0.25">
      <c r="A604" s="3">
        <v>45145</v>
      </c>
      <c r="B604" t="s">
        <v>323</v>
      </c>
      <c r="C604" t="s">
        <v>19</v>
      </c>
      <c r="D604" t="s">
        <v>20</v>
      </c>
      <c r="E604" t="s">
        <v>21</v>
      </c>
      <c r="F604" t="s">
        <v>22</v>
      </c>
      <c r="G604" t="s">
        <v>94</v>
      </c>
      <c r="H604" t="s">
        <v>95</v>
      </c>
      <c r="I604">
        <v>8.5000000000000006E-2</v>
      </c>
      <c r="J604">
        <f t="shared" si="27"/>
        <v>48.45</v>
      </c>
      <c r="K604">
        <v>2</v>
      </c>
      <c r="L604">
        <f t="shared" si="28"/>
        <v>46.45</v>
      </c>
      <c r="M604" s="4">
        <f t="shared" si="29"/>
        <v>7.7416666666666675E-2</v>
      </c>
      <c r="N604">
        <v>600</v>
      </c>
      <c r="O604">
        <v>570</v>
      </c>
      <c r="P604" t="s">
        <v>25</v>
      </c>
      <c r="Q604" t="s">
        <v>26</v>
      </c>
      <c r="R604" t="str">
        <f>IF(COUNTIF(Sheet2!B:B, A604) &gt; 0, "Yes", "No")</f>
        <v>No</v>
      </c>
    </row>
    <row r="605" spans="1:18" x14ac:dyDescent="0.25">
      <c r="A605" s="3">
        <v>45145</v>
      </c>
      <c r="B605" t="s">
        <v>323</v>
      </c>
      <c r="C605" t="s">
        <v>19</v>
      </c>
      <c r="D605" t="s">
        <v>20</v>
      </c>
      <c r="E605" t="s">
        <v>21</v>
      </c>
      <c r="F605" t="s">
        <v>27</v>
      </c>
      <c r="G605" t="s">
        <v>28</v>
      </c>
      <c r="H605" t="s">
        <v>204</v>
      </c>
      <c r="I605">
        <v>0.11</v>
      </c>
      <c r="J605">
        <f t="shared" si="27"/>
        <v>62.7</v>
      </c>
      <c r="K605">
        <v>0</v>
      </c>
      <c r="L605">
        <f t="shared" si="28"/>
        <v>62.7</v>
      </c>
      <c r="M605" s="4">
        <f t="shared" si="29"/>
        <v>0.10450000000000001</v>
      </c>
      <c r="N605">
        <v>600</v>
      </c>
      <c r="O605">
        <v>570</v>
      </c>
      <c r="P605" t="s">
        <v>25</v>
      </c>
      <c r="Q605" t="s">
        <v>26</v>
      </c>
      <c r="R605" t="str">
        <f>IF(COUNTIF(Sheet2!B:B, A605) &gt; 0, "Yes", "No")</f>
        <v>No</v>
      </c>
    </row>
    <row r="606" spans="1:18" x14ac:dyDescent="0.25">
      <c r="A606" s="3">
        <v>45145</v>
      </c>
      <c r="B606" t="s">
        <v>323</v>
      </c>
      <c r="C606" t="s">
        <v>19</v>
      </c>
      <c r="D606" t="s">
        <v>20</v>
      </c>
      <c r="E606" t="s">
        <v>21</v>
      </c>
      <c r="F606" t="s">
        <v>30</v>
      </c>
      <c r="G606" t="s">
        <v>55</v>
      </c>
      <c r="H606" t="s">
        <v>125</v>
      </c>
      <c r="I606">
        <v>0.09</v>
      </c>
      <c r="J606">
        <f t="shared" si="27"/>
        <v>51.3</v>
      </c>
      <c r="K606">
        <v>0</v>
      </c>
      <c r="L606">
        <f t="shared" si="28"/>
        <v>51.3</v>
      </c>
      <c r="M606" s="4">
        <f t="shared" si="29"/>
        <v>8.5499999999999993E-2</v>
      </c>
      <c r="N606">
        <v>600</v>
      </c>
      <c r="O606">
        <v>570</v>
      </c>
      <c r="P606" t="s">
        <v>25</v>
      </c>
      <c r="Q606" t="s">
        <v>26</v>
      </c>
      <c r="R606" t="str">
        <f>IF(COUNTIF(Sheet2!B:B, A606) &gt; 0, "Yes", "No")</f>
        <v>No</v>
      </c>
    </row>
    <row r="607" spans="1:18" x14ac:dyDescent="0.25">
      <c r="A607" s="3">
        <v>45145</v>
      </c>
      <c r="B607" t="s">
        <v>323</v>
      </c>
      <c r="C607" t="s">
        <v>19</v>
      </c>
      <c r="D607" t="s">
        <v>33</v>
      </c>
      <c r="E607" t="s">
        <v>21</v>
      </c>
      <c r="F607" t="s">
        <v>34</v>
      </c>
      <c r="G607" t="s">
        <v>57</v>
      </c>
      <c r="H607" t="s">
        <v>327</v>
      </c>
      <c r="I607">
        <v>0.15</v>
      </c>
      <c r="J607">
        <f t="shared" si="27"/>
        <v>42.75</v>
      </c>
      <c r="K607">
        <v>0</v>
      </c>
      <c r="L607">
        <f t="shared" si="28"/>
        <v>42.75</v>
      </c>
      <c r="M607" s="4">
        <f t="shared" si="29"/>
        <v>0.14249999999999999</v>
      </c>
      <c r="N607">
        <v>300</v>
      </c>
      <c r="O607">
        <v>285</v>
      </c>
      <c r="P607" t="s">
        <v>25</v>
      </c>
      <c r="Q607" t="s">
        <v>26</v>
      </c>
      <c r="R607" t="str">
        <f>IF(COUNTIF(Sheet2!B:B, A607) &gt; 0, "Yes", "No")</f>
        <v>No</v>
      </c>
    </row>
    <row r="608" spans="1:18" x14ac:dyDescent="0.25">
      <c r="A608" s="3">
        <v>45145</v>
      </c>
      <c r="B608" t="s">
        <v>323</v>
      </c>
      <c r="C608" t="s">
        <v>19</v>
      </c>
      <c r="D608" t="s">
        <v>20</v>
      </c>
      <c r="E608" t="s">
        <v>21</v>
      </c>
      <c r="F608" t="s">
        <v>37</v>
      </c>
      <c r="G608" t="s">
        <v>117</v>
      </c>
      <c r="H608" t="s">
        <v>118</v>
      </c>
      <c r="I608">
        <v>0.03</v>
      </c>
      <c r="J608">
        <f t="shared" si="27"/>
        <v>17.099999999999998</v>
      </c>
      <c r="K608">
        <v>0</v>
      </c>
      <c r="L608">
        <f t="shared" si="28"/>
        <v>17.099999999999998</v>
      </c>
      <c r="M608" s="4">
        <f t="shared" si="29"/>
        <v>2.8499999999999998E-2</v>
      </c>
      <c r="N608">
        <v>600</v>
      </c>
      <c r="O608">
        <v>570</v>
      </c>
      <c r="P608" t="s">
        <v>25</v>
      </c>
      <c r="Q608" t="s">
        <v>26</v>
      </c>
      <c r="R608" t="str">
        <f>IF(COUNTIF(Sheet2!B:B, A608) &gt; 0, "Yes", "No")</f>
        <v>No</v>
      </c>
    </row>
    <row r="609" spans="1:18" x14ac:dyDescent="0.25">
      <c r="A609" s="3">
        <v>45145</v>
      </c>
      <c r="B609" t="s">
        <v>323</v>
      </c>
      <c r="C609" t="s">
        <v>19</v>
      </c>
      <c r="D609" t="s">
        <v>20</v>
      </c>
      <c r="E609" t="s">
        <v>21</v>
      </c>
      <c r="F609" t="s">
        <v>40</v>
      </c>
      <c r="G609" t="s">
        <v>73</v>
      </c>
      <c r="H609" t="s">
        <v>74</v>
      </c>
      <c r="I609">
        <v>4.4999999999999998E-2</v>
      </c>
      <c r="J609">
        <f t="shared" si="27"/>
        <v>25.65</v>
      </c>
      <c r="K609">
        <v>0</v>
      </c>
      <c r="L609">
        <f t="shared" si="28"/>
        <v>25.65</v>
      </c>
      <c r="M609" s="4">
        <f t="shared" si="29"/>
        <v>4.2749999999999996E-2</v>
      </c>
      <c r="N609">
        <v>600</v>
      </c>
      <c r="O609">
        <v>570</v>
      </c>
      <c r="P609" t="s">
        <v>25</v>
      </c>
      <c r="Q609" t="s">
        <v>26</v>
      </c>
      <c r="R609" t="str">
        <f>IF(COUNTIF(Sheet2!B:B, A609) &gt; 0, "Yes", "No")</f>
        <v>No</v>
      </c>
    </row>
    <row r="610" spans="1:18" x14ac:dyDescent="0.25">
      <c r="A610" s="3">
        <v>45145</v>
      </c>
      <c r="B610" t="s">
        <v>323</v>
      </c>
      <c r="C610" t="s">
        <v>19</v>
      </c>
      <c r="D610" t="s">
        <v>20</v>
      </c>
      <c r="E610" t="s">
        <v>21</v>
      </c>
      <c r="F610" t="s">
        <v>43</v>
      </c>
      <c r="G610" t="s">
        <v>44</v>
      </c>
      <c r="H610" t="s">
        <v>264</v>
      </c>
      <c r="I610">
        <v>0.11</v>
      </c>
      <c r="J610">
        <f t="shared" si="27"/>
        <v>62.7</v>
      </c>
      <c r="K610">
        <v>0</v>
      </c>
      <c r="L610">
        <f t="shared" si="28"/>
        <v>62.7</v>
      </c>
      <c r="M610" s="4">
        <f t="shared" si="29"/>
        <v>0.10450000000000001</v>
      </c>
      <c r="N610">
        <v>600</v>
      </c>
      <c r="O610">
        <v>570</v>
      </c>
      <c r="P610" t="s">
        <v>25</v>
      </c>
      <c r="Q610" t="s">
        <v>26</v>
      </c>
      <c r="R610" t="str">
        <f>IF(COUNTIF(Sheet2!B:B, A610) &gt; 0, "Yes", "No")</f>
        <v>No</v>
      </c>
    </row>
    <row r="611" spans="1:18" x14ac:dyDescent="0.25">
      <c r="A611" s="3">
        <v>45145</v>
      </c>
      <c r="B611" t="s">
        <v>323</v>
      </c>
      <c r="C611" t="s">
        <v>19</v>
      </c>
      <c r="D611" t="s">
        <v>20</v>
      </c>
      <c r="E611" t="s">
        <v>21</v>
      </c>
      <c r="F611" t="s">
        <v>46</v>
      </c>
      <c r="G611" t="s">
        <v>77</v>
      </c>
      <c r="H611" t="s">
        <v>245</v>
      </c>
      <c r="I611">
        <v>8.5000000000000006E-2</v>
      </c>
      <c r="J611">
        <f t="shared" si="27"/>
        <v>48.45</v>
      </c>
      <c r="K611">
        <v>6</v>
      </c>
      <c r="L611">
        <f t="shared" si="28"/>
        <v>42.45</v>
      </c>
      <c r="M611" s="4">
        <f t="shared" si="29"/>
        <v>7.0750000000000007E-2</v>
      </c>
      <c r="N611">
        <v>600</v>
      </c>
      <c r="O611">
        <v>570</v>
      </c>
      <c r="P611" t="s">
        <v>25</v>
      </c>
      <c r="Q611" t="s">
        <v>26</v>
      </c>
      <c r="R611" t="str">
        <f>IF(COUNTIF(Sheet2!B:B, A611) &gt; 0, "Yes", "No")</f>
        <v>No</v>
      </c>
    </row>
    <row r="612" spans="1:18" x14ac:dyDescent="0.25">
      <c r="A612" s="3">
        <v>45145</v>
      </c>
      <c r="B612" t="s">
        <v>323</v>
      </c>
      <c r="C612" t="s">
        <v>19</v>
      </c>
      <c r="D612" t="s">
        <v>20</v>
      </c>
      <c r="E612" t="s">
        <v>21</v>
      </c>
      <c r="F612" t="s">
        <v>49</v>
      </c>
      <c r="G612" t="s">
        <v>50</v>
      </c>
      <c r="H612" t="s">
        <v>49</v>
      </c>
      <c r="I612">
        <v>0.09</v>
      </c>
      <c r="J612">
        <f t="shared" si="27"/>
        <v>51.3</v>
      </c>
      <c r="K612">
        <v>0</v>
      </c>
      <c r="L612">
        <f t="shared" si="28"/>
        <v>51.3</v>
      </c>
      <c r="M612" s="4">
        <f t="shared" si="29"/>
        <v>8.5499999999999993E-2</v>
      </c>
      <c r="N612">
        <v>600</v>
      </c>
      <c r="O612">
        <v>570</v>
      </c>
      <c r="P612" t="s">
        <v>25</v>
      </c>
      <c r="Q612" t="s">
        <v>26</v>
      </c>
      <c r="R612" t="str">
        <f>IF(COUNTIF(Sheet2!B:B, A612) &gt; 0, "Yes", "No")</f>
        <v>No</v>
      </c>
    </row>
    <row r="613" spans="1:18" x14ac:dyDescent="0.25">
      <c r="A613" s="3">
        <v>45146</v>
      </c>
      <c r="B613" t="s">
        <v>323</v>
      </c>
      <c r="C613" t="s">
        <v>105</v>
      </c>
      <c r="D613" t="s">
        <v>20</v>
      </c>
      <c r="E613" t="s">
        <v>67</v>
      </c>
      <c r="F613" t="s">
        <v>22</v>
      </c>
      <c r="G613" t="s">
        <v>23</v>
      </c>
      <c r="H613" t="s">
        <v>24</v>
      </c>
      <c r="I613">
        <v>8.5000000000000006E-2</v>
      </c>
      <c r="J613">
        <f t="shared" si="27"/>
        <v>51.000000000000007</v>
      </c>
      <c r="K613">
        <v>0</v>
      </c>
      <c r="L613">
        <f t="shared" si="28"/>
        <v>51.000000000000007</v>
      </c>
      <c r="M613" s="4">
        <f t="shared" si="29"/>
        <v>7.8461538461538471E-2</v>
      </c>
      <c r="N613">
        <v>650</v>
      </c>
      <c r="O613">
        <v>600</v>
      </c>
      <c r="P613" t="s">
        <v>25</v>
      </c>
      <c r="Q613" t="s">
        <v>26</v>
      </c>
      <c r="R613" t="str">
        <f>IF(COUNTIF(Sheet2!B:B, A613) &gt; 0, "Yes", "No")</f>
        <v>No</v>
      </c>
    </row>
    <row r="614" spans="1:18" x14ac:dyDescent="0.25">
      <c r="A614" s="3">
        <v>45146</v>
      </c>
      <c r="B614" t="s">
        <v>323</v>
      </c>
      <c r="C614" t="s">
        <v>105</v>
      </c>
      <c r="D614" t="s">
        <v>20</v>
      </c>
      <c r="E614" t="s">
        <v>67</v>
      </c>
      <c r="F614" t="s">
        <v>27</v>
      </c>
      <c r="G614" t="s">
        <v>28</v>
      </c>
      <c r="H614" t="s">
        <v>317</v>
      </c>
      <c r="I614">
        <v>0.11</v>
      </c>
      <c r="J614">
        <f t="shared" si="27"/>
        <v>66</v>
      </c>
      <c r="K614">
        <v>0</v>
      </c>
      <c r="L614">
        <f t="shared" si="28"/>
        <v>66</v>
      </c>
      <c r="M614" s="4">
        <f t="shared" si="29"/>
        <v>0.10153846153846154</v>
      </c>
      <c r="N614">
        <v>650</v>
      </c>
      <c r="O614">
        <v>600</v>
      </c>
      <c r="P614" t="s">
        <v>25</v>
      </c>
      <c r="Q614" t="s">
        <v>26</v>
      </c>
      <c r="R614" t="str">
        <f>IF(COUNTIF(Sheet2!B:B, A614) &gt; 0, "Yes", "No")</f>
        <v>No</v>
      </c>
    </row>
    <row r="615" spans="1:18" x14ac:dyDescent="0.25">
      <c r="A615" s="3">
        <v>45146</v>
      </c>
      <c r="B615" t="s">
        <v>323</v>
      </c>
      <c r="C615" t="s">
        <v>105</v>
      </c>
      <c r="D615" t="s">
        <v>20</v>
      </c>
      <c r="E615" t="s">
        <v>67</v>
      </c>
      <c r="F615" t="s">
        <v>30</v>
      </c>
      <c r="G615" t="s">
        <v>31</v>
      </c>
      <c r="H615" t="s">
        <v>70</v>
      </c>
      <c r="I615">
        <v>0.09</v>
      </c>
      <c r="J615">
        <f t="shared" si="27"/>
        <v>54</v>
      </c>
      <c r="K615">
        <v>0</v>
      </c>
      <c r="L615">
        <f t="shared" si="28"/>
        <v>54</v>
      </c>
      <c r="M615" s="4">
        <f t="shared" si="29"/>
        <v>8.3076923076923076E-2</v>
      </c>
      <c r="N615">
        <v>650</v>
      </c>
      <c r="O615">
        <v>600</v>
      </c>
      <c r="P615" t="s">
        <v>25</v>
      </c>
      <c r="Q615" t="s">
        <v>26</v>
      </c>
      <c r="R615" t="str">
        <f>IF(COUNTIF(Sheet2!B:B, A615) &gt; 0, "Yes", "No")</f>
        <v>No</v>
      </c>
    </row>
    <row r="616" spans="1:18" x14ac:dyDescent="0.25">
      <c r="A616" s="3">
        <v>45146</v>
      </c>
      <c r="B616" t="s">
        <v>323</v>
      </c>
      <c r="C616" t="s">
        <v>105</v>
      </c>
      <c r="D616" t="s">
        <v>20</v>
      </c>
      <c r="E616" t="s">
        <v>67</v>
      </c>
      <c r="F616" t="s">
        <v>37</v>
      </c>
      <c r="G616" t="s">
        <v>108</v>
      </c>
      <c r="H616" t="s">
        <v>126</v>
      </c>
      <c r="I616">
        <v>3.5000000000000003E-2</v>
      </c>
      <c r="J616">
        <f t="shared" si="27"/>
        <v>21.000000000000004</v>
      </c>
      <c r="K616">
        <v>2</v>
      </c>
      <c r="L616">
        <f t="shared" si="28"/>
        <v>19.000000000000004</v>
      </c>
      <c r="M616" s="4">
        <f t="shared" si="29"/>
        <v>2.9230769230769237E-2</v>
      </c>
      <c r="N616">
        <v>650</v>
      </c>
      <c r="O616">
        <v>600</v>
      </c>
      <c r="P616" t="s">
        <v>25</v>
      </c>
      <c r="Q616" t="s">
        <v>26</v>
      </c>
      <c r="R616" t="str">
        <f>IF(COUNTIF(Sheet2!B:B, A616) &gt; 0, "Yes", "No")</f>
        <v>No</v>
      </c>
    </row>
    <row r="617" spans="1:18" x14ac:dyDescent="0.25">
      <c r="A617" s="3">
        <v>45146</v>
      </c>
      <c r="B617" t="s">
        <v>323</v>
      </c>
      <c r="C617" t="s">
        <v>105</v>
      </c>
      <c r="D617" t="s">
        <v>20</v>
      </c>
      <c r="E617" t="s">
        <v>67</v>
      </c>
      <c r="F617" t="s">
        <v>40</v>
      </c>
      <c r="G617" t="s">
        <v>164</v>
      </c>
      <c r="H617" t="s">
        <v>328</v>
      </c>
      <c r="I617">
        <v>0.05</v>
      </c>
      <c r="J617">
        <f t="shared" si="27"/>
        <v>30</v>
      </c>
      <c r="K617">
        <v>2</v>
      </c>
      <c r="L617">
        <f t="shared" si="28"/>
        <v>28</v>
      </c>
      <c r="M617" s="4">
        <f t="shared" si="29"/>
        <v>4.3076923076923075E-2</v>
      </c>
      <c r="N617">
        <v>650</v>
      </c>
      <c r="O617">
        <v>600</v>
      </c>
      <c r="P617" t="s">
        <v>25</v>
      </c>
      <c r="Q617" t="s">
        <v>26</v>
      </c>
      <c r="R617" t="str">
        <f>IF(COUNTIF(Sheet2!B:B, A617) &gt; 0, "Yes", "No")</f>
        <v>No</v>
      </c>
    </row>
    <row r="618" spans="1:18" x14ac:dyDescent="0.25">
      <c r="A618" s="3">
        <v>45146</v>
      </c>
      <c r="B618" t="s">
        <v>323</v>
      </c>
      <c r="C618" t="s">
        <v>105</v>
      </c>
      <c r="D618" t="s">
        <v>20</v>
      </c>
      <c r="E618" t="s">
        <v>67</v>
      </c>
      <c r="F618" t="s">
        <v>43</v>
      </c>
      <c r="G618" t="s">
        <v>90</v>
      </c>
      <c r="H618" t="s">
        <v>208</v>
      </c>
      <c r="I618">
        <v>0.11</v>
      </c>
      <c r="J618">
        <f t="shared" si="27"/>
        <v>66</v>
      </c>
      <c r="K618">
        <v>0</v>
      </c>
      <c r="L618">
        <f t="shared" si="28"/>
        <v>66</v>
      </c>
      <c r="M618" s="4">
        <f t="shared" si="29"/>
        <v>0.10153846153846154</v>
      </c>
      <c r="N618">
        <v>650</v>
      </c>
      <c r="O618">
        <v>600</v>
      </c>
      <c r="P618" t="s">
        <v>25</v>
      </c>
      <c r="Q618" t="s">
        <v>26</v>
      </c>
      <c r="R618" t="str">
        <f>IF(COUNTIF(Sheet2!B:B, A618) &gt; 0, "Yes", "No")</f>
        <v>No</v>
      </c>
    </row>
    <row r="619" spans="1:18" x14ac:dyDescent="0.25">
      <c r="A619" s="3">
        <v>45146</v>
      </c>
      <c r="B619" t="s">
        <v>323</v>
      </c>
      <c r="C619" t="s">
        <v>105</v>
      </c>
      <c r="D619" t="s">
        <v>20</v>
      </c>
      <c r="E619" t="s">
        <v>67</v>
      </c>
      <c r="F619" t="s">
        <v>46</v>
      </c>
      <c r="G619" t="s">
        <v>92</v>
      </c>
      <c r="H619" t="s">
        <v>311</v>
      </c>
      <c r="I619">
        <v>8.5000000000000006E-2</v>
      </c>
      <c r="J619">
        <f t="shared" si="27"/>
        <v>51.000000000000007</v>
      </c>
      <c r="K619">
        <v>0</v>
      </c>
      <c r="L619">
        <f t="shared" si="28"/>
        <v>51.000000000000007</v>
      </c>
      <c r="M619" s="4">
        <f t="shared" si="29"/>
        <v>7.8461538461538471E-2</v>
      </c>
      <c r="N619">
        <v>650</v>
      </c>
      <c r="O619">
        <v>600</v>
      </c>
      <c r="P619" t="s">
        <v>25</v>
      </c>
      <c r="Q619" t="s">
        <v>26</v>
      </c>
      <c r="R619" t="str">
        <f>IF(COUNTIF(Sheet2!B:B, A619) &gt; 0, "Yes", "No")</f>
        <v>No</v>
      </c>
    </row>
    <row r="620" spans="1:18" x14ac:dyDescent="0.25">
      <c r="A620" s="3">
        <v>45146</v>
      </c>
      <c r="B620" t="s">
        <v>323</v>
      </c>
      <c r="C620" t="s">
        <v>105</v>
      </c>
      <c r="D620" t="s">
        <v>20</v>
      </c>
      <c r="E620" t="s">
        <v>67</v>
      </c>
      <c r="F620" t="s">
        <v>49</v>
      </c>
      <c r="G620" t="s">
        <v>50</v>
      </c>
      <c r="H620" t="s">
        <v>49</v>
      </c>
      <c r="I620">
        <v>0.09</v>
      </c>
      <c r="J620">
        <f t="shared" si="27"/>
        <v>54</v>
      </c>
      <c r="K620">
        <v>0</v>
      </c>
      <c r="L620">
        <f t="shared" si="28"/>
        <v>54</v>
      </c>
      <c r="M620" s="4">
        <f t="shared" si="29"/>
        <v>8.3076923076923076E-2</v>
      </c>
      <c r="N620">
        <v>650</v>
      </c>
      <c r="O620">
        <v>600</v>
      </c>
      <c r="P620" t="s">
        <v>25</v>
      </c>
      <c r="Q620" t="s">
        <v>26</v>
      </c>
      <c r="R620" t="str">
        <f>IF(COUNTIF(Sheet2!B:B, A620) &gt; 0, "Yes", "No")</f>
        <v>No</v>
      </c>
    </row>
    <row r="621" spans="1:18" x14ac:dyDescent="0.25">
      <c r="A621" s="3">
        <v>45147</v>
      </c>
      <c r="B621" t="s">
        <v>323</v>
      </c>
      <c r="C621" t="s">
        <v>51</v>
      </c>
      <c r="D621" t="s">
        <v>20</v>
      </c>
      <c r="E621" t="s">
        <v>21</v>
      </c>
      <c r="F621" t="s">
        <v>22</v>
      </c>
      <c r="G621" t="s">
        <v>52</v>
      </c>
      <c r="H621" t="s">
        <v>218</v>
      </c>
      <c r="I621">
        <v>8.5000000000000006E-2</v>
      </c>
      <c r="J621">
        <f t="shared" si="27"/>
        <v>55.250000000000007</v>
      </c>
      <c r="K621">
        <v>0</v>
      </c>
      <c r="L621">
        <f t="shared" si="28"/>
        <v>55.250000000000007</v>
      </c>
      <c r="M621" s="4">
        <f t="shared" si="29"/>
        <v>7.8928571428571445E-2</v>
      </c>
      <c r="N621">
        <v>700</v>
      </c>
      <c r="O621">
        <v>650</v>
      </c>
      <c r="P621" t="s">
        <v>25</v>
      </c>
      <c r="Q621" t="s">
        <v>26</v>
      </c>
      <c r="R621" t="str">
        <f>IF(COUNTIF(Sheet2!B:B, A621) &gt; 0, "Yes", "No")</f>
        <v>No</v>
      </c>
    </row>
    <row r="622" spans="1:18" x14ac:dyDescent="0.25">
      <c r="A622" s="3">
        <v>45147</v>
      </c>
      <c r="B622" t="s">
        <v>323</v>
      </c>
      <c r="C622" t="s">
        <v>51</v>
      </c>
      <c r="D622" t="s">
        <v>20</v>
      </c>
      <c r="E622" t="s">
        <v>21</v>
      </c>
      <c r="F622" t="s">
        <v>27</v>
      </c>
      <c r="G622" t="s">
        <v>28</v>
      </c>
      <c r="H622" t="s">
        <v>329</v>
      </c>
      <c r="I622">
        <v>0.11</v>
      </c>
      <c r="J622">
        <f t="shared" si="27"/>
        <v>71.5</v>
      </c>
      <c r="K622">
        <v>0</v>
      </c>
      <c r="L622">
        <f t="shared" si="28"/>
        <v>71.5</v>
      </c>
      <c r="M622" s="4">
        <f t="shared" si="29"/>
        <v>0.10214285714285715</v>
      </c>
      <c r="N622">
        <v>700</v>
      </c>
      <c r="O622">
        <v>650</v>
      </c>
      <c r="P622" t="s">
        <v>25</v>
      </c>
      <c r="Q622" t="s">
        <v>26</v>
      </c>
      <c r="R622" t="str">
        <f>IF(COUNTIF(Sheet2!B:B, A622) &gt; 0, "Yes", "No")</f>
        <v>No</v>
      </c>
    </row>
    <row r="623" spans="1:18" x14ac:dyDescent="0.25">
      <c r="A623" s="3">
        <v>45147</v>
      </c>
      <c r="B623" t="s">
        <v>323</v>
      </c>
      <c r="C623" t="s">
        <v>51</v>
      </c>
      <c r="D623" t="s">
        <v>20</v>
      </c>
      <c r="E623" t="s">
        <v>21</v>
      </c>
      <c r="F623" t="s">
        <v>30</v>
      </c>
      <c r="G623" t="s">
        <v>31</v>
      </c>
      <c r="H623" t="s">
        <v>31</v>
      </c>
      <c r="I623">
        <v>0.09</v>
      </c>
      <c r="J623">
        <f t="shared" si="27"/>
        <v>58.5</v>
      </c>
      <c r="K623">
        <v>0</v>
      </c>
      <c r="L623">
        <f t="shared" si="28"/>
        <v>58.5</v>
      </c>
      <c r="M623" s="4">
        <f t="shared" si="29"/>
        <v>8.3571428571428574E-2</v>
      </c>
      <c r="N623">
        <v>700</v>
      </c>
      <c r="O623">
        <v>650</v>
      </c>
      <c r="P623" t="s">
        <v>25</v>
      </c>
      <c r="Q623" t="s">
        <v>26</v>
      </c>
      <c r="R623" t="str">
        <f>IF(COUNTIF(Sheet2!B:B, A623) &gt; 0, "Yes", "No")</f>
        <v>No</v>
      </c>
    </row>
    <row r="624" spans="1:18" x14ac:dyDescent="0.25">
      <c r="A624" s="3">
        <v>45147</v>
      </c>
      <c r="B624" t="s">
        <v>323</v>
      </c>
      <c r="C624" t="s">
        <v>51</v>
      </c>
      <c r="D624" t="s">
        <v>33</v>
      </c>
      <c r="E624" t="s">
        <v>21</v>
      </c>
      <c r="F624" t="s">
        <v>34</v>
      </c>
      <c r="G624" t="s">
        <v>35</v>
      </c>
      <c r="H624" t="s">
        <v>330</v>
      </c>
      <c r="I624">
        <v>0.15</v>
      </c>
      <c r="J624">
        <f t="shared" si="27"/>
        <v>48.75</v>
      </c>
      <c r="K624">
        <v>0</v>
      </c>
      <c r="L624">
        <f t="shared" si="28"/>
        <v>48.75</v>
      </c>
      <c r="M624" s="4">
        <f t="shared" si="29"/>
        <v>0.13928571428571429</v>
      </c>
      <c r="N624">
        <v>350</v>
      </c>
      <c r="O624">
        <v>325</v>
      </c>
      <c r="P624" t="s">
        <v>25</v>
      </c>
      <c r="Q624" t="s">
        <v>26</v>
      </c>
      <c r="R624" t="str">
        <f>IF(COUNTIF(Sheet2!B:B, A624) &gt; 0, "Yes", "No")</f>
        <v>No</v>
      </c>
    </row>
    <row r="625" spans="1:18" x14ac:dyDescent="0.25">
      <c r="A625" s="3">
        <v>45147</v>
      </c>
      <c r="B625" t="s">
        <v>323</v>
      </c>
      <c r="C625" t="s">
        <v>51</v>
      </c>
      <c r="D625" t="s">
        <v>20</v>
      </c>
      <c r="E625" t="s">
        <v>21</v>
      </c>
      <c r="F625" t="s">
        <v>37</v>
      </c>
      <c r="G625" t="s">
        <v>87</v>
      </c>
      <c r="H625" t="s">
        <v>99</v>
      </c>
      <c r="I625">
        <v>0.03</v>
      </c>
      <c r="J625">
        <f t="shared" si="27"/>
        <v>19.5</v>
      </c>
      <c r="K625">
        <v>0</v>
      </c>
      <c r="L625">
        <f t="shared" si="28"/>
        <v>19.5</v>
      </c>
      <c r="M625" s="4">
        <f t="shared" si="29"/>
        <v>2.7857142857142858E-2</v>
      </c>
      <c r="N625">
        <v>700</v>
      </c>
      <c r="O625">
        <v>650</v>
      </c>
      <c r="P625" t="s">
        <v>25</v>
      </c>
      <c r="Q625" t="s">
        <v>26</v>
      </c>
      <c r="R625" t="str">
        <f>IF(COUNTIF(Sheet2!B:B, A625) &gt; 0, "Yes", "No")</f>
        <v>No</v>
      </c>
    </row>
    <row r="626" spans="1:18" x14ac:dyDescent="0.25">
      <c r="A626" s="3">
        <v>45147</v>
      </c>
      <c r="B626" t="s">
        <v>323</v>
      </c>
      <c r="C626" t="s">
        <v>51</v>
      </c>
      <c r="D626" t="s">
        <v>20</v>
      </c>
      <c r="E626" t="s">
        <v>21</v>
      </c>
      <c r="F626" t="s">
        <v>40</v>
      </c>
      <c r="G626" t="s">
        <v>127</v>
      </c>
      <c r="H626" t="s">
        <v>127</v>
      </c>
      <c r="I626">
        <v>4.4999999999999998E-2</v>
      </c>
      <c r="J626">
        <f t="shared" si="27"/>
        <v>29.25</v>
      </c>
      <c r="K626">
        <v>0</v>
      </c>
      <c r="L626">
        <f t="shared" si="28"/>
        <v>29.25</v>
      </c>
      <c r="M626" s="4">
        <f t="shared" si="29"/>
        <v>4.1785714285714287E-2</v>
      </c>
      <c r="N626">
        <v>700</v>
      </c>
      <c r="O626">
        <v>650</v>
      </c>
      <c r="P626" t="s">
        <v>25</v>
      </c>
      <c r="Q626" t="s">
        <v>26</v>
      </c>
      <c r="R626" t="str">
        <f>IF(COUNTIF(Sheet2!B:B, A626) &gt; 0, "Yes", "No")</f>
        <v>No</v>
      </c>
    </row>
    <row r="627" spans="1:18" x14ac:dyDescent="0.25">
      <c r="A627" s="3">
        <v>45147</v>
      </c>
      <c r="B627" t="s">
        <v>323</v>
      </c>
      <c r="C627" t="s">
        <v>51</v>
      </c>
      <c r="D627" t="s">
        <v>20</v>
      </c>
      <c r="E627" t="s">
        <v>21</v>
      </c>
      <c r="F627" t="s">
        <v>43</v>
      </c>
      <c r="G627" t="s">
        <v>139</v>
      </c>
      <c r="H627" t="s">
        <v>318</v>
      </c>
      <c r="I627">
        <v>0.11</v>
      </c>
      <c r="J627">
        <f t="shared" si="27"/>
        <v>71.5</v>
      </c>
      <c r="K627">
        <v>0</v>
      </c>
      <c r="L627">
        <f t="shared" si="28"/>
        <v>71.5</v>
      </c>
      <c r="M627" s="4">
        <f t="shared" si="29"/>
        <v>0.10214285714285715</v>
      </c>
      <c r="N627">
        <v>700</v>
      </c>
      <c r="O627">
        <v>650</v>
      </c>
      <c r="P627" t="s">
        <v>25</v>
      </c>
      <c r="Q627" t="s">
        <v>26</v>
      </c>
      <c r="R627" t="str">
        <f>IF(COUNTIF(Sheet2!B:B, A627) &gt; 0, "Yes", "No")</f>
        <v>No</v>
      </c>
    </row>
    <row r="628" spans="1:18" x14ac:dyDescent="0.25">
      <c r="A628" s="3">
        <v>45147</v>
      </c>
      <c r="B628" t="s">
        <v>323</v>
      </c>
      <c r="C628" t="s">
        <v>51</v>
      </c>
      <c r="D628" t="s">
        <v>20</v>
      </c>
      <c r="E628" t="s">
        <v>21</v>
      </c>
      <c r="F628" t="s">
        <v>46</v>
      </c>
      <c r="G628" t="s">
        <v>130</v>
      </c>
      <c r="H628" t="s">
        <v>147</v>
      </c>
      <c r="I628">
        <v>8.5000000000000006E-2</v>
      </c>
      <c r="J628">
        <f t="shared" si="27"/>
        <v>55.250000000000007</v>
      </c>
      <c r="K628">
        <v>4</v>
      </c>
      <c r="L628">
        <f t="shared" si="28"/>
        <v>51.250000000000007</v>
      </c>
      <c r="M628" s="4">
        <f t="shared" si="29"/>
        <v>7.3214285714285718E-2</v>
      </c>
      <c r="N628">
        <v>700</v>
      </c>
      <c r="O628">
        <v>650</v>
      </c>
      <c r="P628" t="s">
        <v>25</v>
      </c>
      <c r="Q628" t="s">
        <v>26</v>
      </c>
      <c r="R628" t="str">
        <f>IF(COUNTIF(Sheet2!B:B, A628) &gt; 0, "Yes", "No")</f>
        <v>No</v>
      </c>
    </row>
    <row r="629" spans="1:18" x14ac:dyDescent="0.25">
      <c r="A629" s="3">
        <v>45147</v>
      </c>
      <c r="B629" t="s">
        <v>323</v>
      </c>
      <c r="C629" t="s">
        <v>51</v>
      </c>
      <c r="D629" t="s">
        <v>20</v>
      </c>
      <c r="E629" t="s">
        <v>21</v>
      </c>
      <c r="F629" t="s">
        <v>49</v>
      </c>
      <c r="G629" t="s">
        <v>50</v>
      </c>
      <c r="H629" t="s">
        <v>49</v>
      </c>
      <c r="I629">
        <v>0.09</v>
      </c>
      <c r="J629">
        <f t="shared" si="27"/>
        <v>58.5</v>
      </c>
      <c r="K629">
        <v>0</v>
      </c>
      <c r="L629">
        <f t="shared" si="28"/>
        <v>58.5</v>
      </c>
      <c r="M629" s="4">
        <f t="shared" si="29"/>
        <v>8.3571428571428574E-2</v>
      </c>
      <c r="N629">
        <v>700</v>
      </c>
      <c r="O629">
        <v>650</v>
      </c>
      <c r="P629" t="s">
        <v>25</v>
      </c>
      <c r="Q629" t="s">
        <v>26</v>
      </c>
      <c r="R629" t="str">
        <f>IF(COUNTIF(Sheet2!B:B, A629) &gt; 0, "Yes", "No")</f>
        <v>No</v>
      </c>
    </row>
    <row r="630" spans="1:18" x14ac:dyDescent="0.25">
      <c r="A630" s="3">
        <v>45148</v>
      </c>
      <c r="B630" t="s">
        <v>323</v>
      </c>
      <c r="C630" t="s">
        <v>66</v>
      </c>
      <c r="D630" t="s">
        <v>20</v>
      </c>
      <c r="E630" t="s">
        <v>67</v>
      </c>
      <c r="F630" t="s">
        <v>22</v>
      </c>
      <c r="G630" t="s">
        <v>94</v>
      </c>
      <c r="H630" t="s">
        <v>199</v>
      </c>
      <c r="I630">
        <v>8.5000000000000006E-2</v>
      </c>
      <c r="J630">
        <f t="shared" si="27"/>
        <v>56.95</v>
      </c>
      <c r="K630">
        <v>2</v>
      </c>
      <c r="L630">
        <f t="shared" si="28"/>
        <v>54.95</v>
      </c>
      <c r="M630" s="4">
        <f t="shared" si="29"/>
        <v>7.3266666666666674E-2</v>
      </c>
      <c r="N630">
        <v>750</v>
      </c>
      <c r="O630">
        <v>670</v>
      </c>
      <c r="P630" t="s">
        <v>25</v>
      </c>
      <c r="Q630" t="s">
        <v>26</v>
      </c>
      <c r="R630" t="str">
        <f>IF(COUNTIF(Sheet2!B:B, A630) &gt; 0, "Yes", "No")</f>
        <v>No</v>
      </c>
    </row>
    <row r="631" spans="1:18" x14ac:dyDescent="0.25">
      <c r="A631" s="3">
        <v>45148</v>
      </c>
      <c r="B631" t="s">
        <v>323</v>
      </c>
      <c r="C631" t="s">
        <v>66</v>
      </c>
      <c r="D631" t="s">
        <v>20</v>
      </c>
      <c r="E631" t="s">
        <v>67</v>
      </c>
      <c r="F631" t="s">
        <v>27</v>
      </c>
      <c r="G631" t="s">
        <v>28</v>
      </c>
      <c r="H631" t="s">
        <v>156</v>
      </c>
      <c r="I631">
        <v>0.11</v>
      </c>
      <c r="J631">
        <f t="shared" si="27"/>
        <v>73.7</v>
      </c>
      <c r="K631">
        <v>7</v>
      </c>
      <c r="L631">
        <f t="shared" si="28"/>
        <v>66.7</v>
      </c>
      <c r="M631" s="4">
        <f t="shared" si="29"/>
        <v>8.8933333333333336E-2</v>
      </c>
      <c r="N631">
        <v>750</v>
      </c>
      <c r="O631">
        <v>670</v>
      </c>
      <c r="P631" t="s">
        <v>25</v>
      </c>
      <c r="Q631" t="s">
        <v>26</v>
      </c>
      <c r="R631" t="str">
        <f>IF(COUNTIF(Sheet2!B:B, A631) &gt; 0, "Yes", "No")</f>
        <v>No</v>
      </c>
    </row>
    <row r="632" spans="1:18" x14ac:dyDescent="0.25">
      <c r="A632" s="3">
        <v>45148</v>
      </c>
      <c r="B632" t="s">
        <v>323</v>
      </c>
      <c r="C632" t="s">
        <v>66</v>
      </c>
      <c r="D632" t="s">
        <v>20</v>
      </c>
      <c r="E632" t="s">
        <v>67</v>
      </c>
      <c r="F632" t="s">
        <v>30</v>
      </c>
      <c r="G632" t="s">
        <v>55</v>
      </c>
      <c r="H632" t="s">
        <v>97</v>
      </c>
      <c r="I632">
        <v>0.09</v>
      </c>
      <c r="J632">
        <f t="shared" si="27"/>
        <v>60.3</v>
      </c>
      <c r="K632">
        <v>2</v>
      </c>
      <c r="L632">
        <f t="shared" si="28"/>
        <v>58.3</v>
      </c>
      <c r="M632" s="4">
        <f t="shared" si="29"/>
        <v>7.7733333333333335E-2</v>
      </c>
      <c r="N632">
        <v>750</v>
      </c>
      <c r="O632">
        <v>670</v>
      </c>
      <c r="P632" t="s">
        <v>25</v>
      </c>
      <c r="Q632" t="s">
        <v>26</v>
      </c>
      <c r="R632" t="str">
        <f>IF(COUNTIF(Sheet2!B:B, A632) &gt; 0, "Yes", "No")</f>
        <v>No</v>
      </c>
    </row>
    <row r="633" spans="1:18" x14ac:dyDescent="0.25">
      <c r="A633" s="3">
        <v>45148</v>
      </c>
      <c r="B633" t="s">
        <v>323</v>
      </c>
      <c r="C633" t="s">
        <v>66</v>
      </c>
      <c r="D633" t="s">
        <v>20</v>
      </c>
      <c r="E633" t="s">
        <v>67</v>
      </c>
      <c r="F633" t="s">
        <v>37</v>
      </c>
      <c r="G633" t="s">
        <v>87</v>
      </c>
      <c r="H633" t="s">
        <v>136</v>
      </c>
      <c r="I633">
        <v>3.5000000000000003E-2</v>
      </c>
      <c r="J633">
        <f t="shared" si="27"/>
        <v>23.450000000000003</v>
      </c>
      <c r="K633">
        <v>2</v>
      </c>
      <c r="L633">
        <f t="shared" si="28"/>
        <v>21.450000000000003</v>
      </c>
      <c r="M633" s="4">
        <f t="shared" si="29"/>
        <v>2.8600000000000004E-2</v>
      </c>
      <c r="N633">
        <v>750</v>
      </c>
      <c r="O633">
        <v>670</v>
      </c>
      <c r="P633" t="s">
        <v>25</v>
      </c>
      <c r="Q633" t="s">
        <v>26</v>
      </c>
      <c r="R633" t="str">
        <f>IF(COUNTIF(Sheet2!B:B, A633) &gt; 0, "Yes", "No")</f>
        <v>No</v>
      </c>
    </row>
    <row r="634" spans="1:18" x14ac:dyDescent="0.25">
      <c r="A634" s="3">
        <v>45148</v>
      </c>
      <c r="B634" t="s">
        <v>323</v>
      </c>
      <c r="C634" t="s">
        <v>66</v>
      </c>
      <c r="D634" t="s">
        <v>20</v>
      </c>
      <c r="E634" t="s">
        <v>67</v>
      </c>
      <c r="F634" t="s">
        <v>40</v>
      </c>
      <c r="G634" t="s">
        <v>137</v>
      </c>
      <c r="H634" t="s">
        <v>152</v>
      </c>
      <c r="I634">
        <v>0.05</v>
      </c>
      <c r="J634">
        <f t="shared" si="27"/>
        <v>33.5</v>
      </c>
      <c r="K634">
        <v>1</v>
      </c>
      <c r="L634">
        <f t="shared" si="28"/>
        <v>32.5</v>
      </c>
      <c r="M634" s="4">
        <f t="shared" si="29"/>
        <v>4.3333333333333335E-2</v>
      </c>
      <c r="N634">
        <v>750</v>
      </c>
      <c r="O634">
        <v>670</v>
      </c>
      <c r="P634" t="s">
        <v>25</v>
      </c>
      <c r="Q634" t="s">
        <v>26</v>
      </c>
      <c r="R634" t="str">
        <f>IF(COUNTIF(Sheet2!B:B, A634) &gt; 0, "Yes", "No")</f>
        <v>No</v>
      </c>
    </row>
    <row r="635" spans="1:18" x14ac:dyDescent="0.25">
      <c r="A635" s="3">
        <v>45148</v>
      </c>
      <c r="B635" t="s">
        <v>323</v>
      </c>
      <c r="C635" t="s">
        <v>66</v>
      </c>
      <c r="D635" t="s">
        <v>20</v>
      </c>
      <c r="E635" t="s">
        <v>67</v>
      </c>
      <c r="F635" t="s">
        <v>43</v>
      </c>
      <c r="G635" t="s">
        <v>111</v>
      </c>
      <c r="H635" t="s">
        <v>112</v>
      </c>
      <c r="I635">
        <v>0.11</v>
      </c>
      <c r="J635">
        <f t="shared" si="27"/>
        <v>73.7</v>
      </c>
      <c r="K635">
        <v>2</v>
      </c>
      <c r="L635">
        <f t="shared" si="28"/>
        <v>71.7</v>
      </c>
      <c r="M635" s="4">
        <f t="shared" si="29"/>
        <v>9.5600000000000004E-2</v>
      </c>
      <c r="N635">
        <v>750</v>
      </c>
      <c r="O635">
        <v>670</v>
      </c>
      <c r="P635" t="s">
        <v>25</v>
      </c>
      <c r="Q635" t="s">
        <v>26</v>
      </c>
      <c r="R635" t="str">
        <f>IF(COUNTIF(Sheet2!B:B, A635) &gt; 0, "Yes", "No")</f>
        <v>No</v>
      </c>
    </row>
    <row r="636" spans="1:18" x14ac:dyDescent="0.25">
      <c r="A636" s="3">
        <v>45148</v>
      </c>
      <c r="B636" t="s">
        <v>323</v>
      </c>
      <c r="C636" t="s">
        <v>66</v>
      </c>
      <c r="D636" t="s">
        <v>20</v>
      </c>
      <c r="E636" t="s">
        <v>67</v>
      </c>
      <c r="F636" t="s">
        <v>46</v>
      </c>
      <c r="G636" t="s">
        <v>47</v>
      </c>
      <c r="H636" t="s">
        <v>65</v>
      </c>
      <c r="I636">
        <v>8.5000000000000006E-2</v>
      </c>
      <c r="J636">
        <f t="shared" si="27"/>
        <v>56.95</v>
      </c>
      <c r="K636">
        <v>5</v>
      </c>
      <c r="L636">
        <f t="shared" si="28"/>
        <v>51.95</v>
      </c>
      <c r="M636" s="4">
        <f t="shared" si="29"/>
        <v>6.9266666666666671E-2</v>
      </c>
      <c r="N636">
        <v>750</v>
      </c>
      <c r="O636">
        <v>670</v>
      </c>
      <c r="P636" t="s">
        <v>25</v>
      </c>
      <c r="Q636" t="s">
        <v>26</v>
      </c>
      <c r="R636" t="str">
        <f>IF(COUNTIF(Sheet2!B:B, A636) &gt; 0, "Yes", "No")</f>
        <v>No</v>
      </c>
    </row>
    <row r="637" spans="1:18" x14ac:dyDescent="0.25">
      <c r="A637" s="3">
        <v>45148</v>
      </c>
      <c r="B637" t="s">
        <v>323</v>
      </c>
      <c r="C637" t="s">
        <v>66</v>
      </c>
      <c r="D637" t="s">
        <v>20</v>
      </c>
      <c r="E637" t="s">
        <v>67</v>
      </c>
      <c r="F637" t="s">
        <v>49</v>
      </c>
      <c r="G637" t="s">
        <v>50</v>
      </c>
      <c r="H637" t="s">
        <v>49</v>
      </c>
      <c r="I637">
        <v>0.09</v>
      </c>
      <c r="J637">
        <f t="shared" si="27"/>
        <v>60.3</v>
      </c>
      <c r="K637">
        <v>0</v>
      </c>
      <c r="L637">
        <f t="shared" si="28"/>
        <v>60.3</v>
      </c>
      <c r="M637" s="4">
        <f t="shared" si="29"/>
        <v>8.0399999999999999E-2</v>
      </c>
      <c r="N637">
        <v>750</v>
      </c>
      <c r="O637">
        <v>670</v>
      </c>
      <c r="P637" t="s">
        <v>25</v>
      </c>
      <c r="Q637" t="s">
        <v>26</v>
      </c>
      <c r="R637" t="str">
        <f>IF(COUNTIF(Sheet2!B:B, A637) &gt; 0, "Yes", "No")</f>
        <v>No</v>
      </c>
    </row>
    <row r="638" spans="1:18" x14ac:dyDescent="0.25">
      <c r="A638" s="3">
        <v>45149</v>
      </c>
      <c r="B638" t="s">
        <v>323</v>
      </c>
      <c r="C638" t="s">
        <v>79</v>
      </c>
      <c r="D638" t="s">
        <v>20</v>
      </c>
      <c r="E638" t="s">
        <v>21</v>
      </c>
      <c r="F638" t="s">
        <v>22</v>
      </c>
      <c r="G638" t="s">
        <v>122</v>
      </c>
      <c r="H638" t="s">
        <v>240</v>
      </c>
      <c r="I638" s="5">
        <v>0.06</v>
      </c>
      <c r="J638">
        <f t="shared" si="27"/>
        <v>34.199999999999996</v>
      </c>
      <c r="K638">
        <v>5</v>
      </c>
      <c r="L638">
        <f t="shared" si="28"/>
        <v>29.199999999999996</v>
      </c>
      <c r="M638" s="4">
        <f t="shared" si="29"/>
        <v>4.492307692307692E-2</v>
      </c>
      <c r="N638">
        <v>650</v>
      </c>
      <c r="O638">
        <v>570</v>
      </c>
      <c r="P638" t="s">
        <v>25</v>
      </c>
      <c r="Q638" t="s">
        <v>26</v>
      </c>
      <c r="R638" t="str">
        <f>IF(COUNTIF(Sheet2!B:B, A638) &gt; 0, "Yes", "No")</f>
        <v>Yes</v>
      </c>
    </row>
    <row r="639" spans="1:18" x14ac:dyDescent="0.25">
      <c r="A639" s="3">
        <v>45149</v>
      </c>
      <c r="B639" t="s">
        <v>323</v>
      </c>
      <c r="C639" t="s">
        <v>79</v>
      </c>
      <c r="D639" t="s">
        <v>20</v>
      </c>
      <c r="E639" t="s">
        <v>21</v>
      </c>
      <c r="F639" t="s">
        <v>27</v>
      </c>
      <c r="G639" t="s">
        <v>81</v>
      </c>
      <c r="H639" t="s">
        <v>297</v>
      </c>
      <c r="I639" s="5">
        <v>0.1</v>
      </c>
      <c r="J639">
        <f t="shared" si="27"/>
        <v>57</v>
      </c>
      <c r="K639">
        <v>6</v>
      </c>
      <c r="L639">
        <f t="shared" si="28"/>
        <v>51</v>
      </c>
      <c r="M639" s="4">
        <f t="shared" si="29"/>
        <v>7.8461538461538458E-2</v>
      </c>
      <c r="N639">
        <v>650</v>
      </c>
      <c r="O639">
        <v>570</v>
      </c>
      <c r="P639" t="s">
        <v>25</v>
      </c>
      <c r="Q639" t="s">
        <v>26</v>
      </c>
      <c r="R639" t="str">
        <f>IF(COUNTIF(Sheet2!B:B, A639) &gt; 0, "Yes", "No")</f>
        <v>Yes</v>
      </c>
    </row>
    <row r="640" spans="1:18" x14ac:dyDescent="0.25">
      <c r="A640" s="3">
        <v>45149</v>
      </c>
      <c r="B640" t="s">
        <v>323</v>
      </c>
      <c r="C640" t="s">
        <v>79</v>
      </c>
      <c r="D640" t="s">
        <v>20</v>
      </c>
      <c r="E640" t="s">
        <v>21</v>
      </c>
      <c r="F640" t="s">
        <v>30</v>
      </c>
      <c r="G640" t="s">
        <v>55</v>
      </c>
      <c r="H640" t="s">
        <v>183</v>
      </c>
      <c r="I640" s="5">
        <v>0.06</v>
      </c>
      <c r="J640">
        <f t="shared" si="27"/>
        <v>34.199999999999996</v>
      </c>
      <c r="K640">
        <v>4</v>
      </c>
      <c r="L640">
        <f t="shared" si="28"/>
        <v>30.199999999999996</v>
      </c>
      <c r="M640" s="4">
        <f t="shared" si="29"/>
        <v>4.6461538461538457E-2</v>
      </c>
      <c r="N640">
        <v>650</v>
      </c>
      <c r="O640">
        <v>570</v>
      </c>
      <c r="P640" t="s">
        <v>25</v>
      </c>
      <c r="Q640" t="s">
        <v>26</v>
      </c>
      <c r="R640" t="str">
        <f>IF(COUNTIF(Sheet2!B:B, A640) &gt; 0, "Yes", "No")</f>
        <v>Yes</v>
      </c>
    </row>
    <row r="641" spans="1:18" x14ac:dyDescent="0.25">
      <c r="A641" s="3">
        <v>45149</v>
      </c>
      <c r="B641" t="s">
        <v>323</v>
      </c>
      <c r="C641" t="s">
        <v>79</v>
      </c>
      <c r="D641" t="s">
        <v>33</v>
      </c>
      <c r="E641" t="s">
        <v>21</v>
      </c>
      <c r="F641" t="s">
        <v>84</v>
      </c>
      <c r="G641" t="s">
        <v>177</v>
      </c>
      <c r="H641" t="s">
        <v>280</v>
      </c>
      <c r="I641" s="5">
        <v>0.3</v>
      </c>
      <c r="J641">
        <f t="shared" si="27"/>
        <v>102.6</v>
      </c>
      <c r="K641">
        <v>0</v>
      </c>
      <c r="L641">
        <f t="shared" si="28"/>
        <v>102.6</v>
      </c>
      <c r="M641" s="4">
        <f t="shared" si="29"/>
        <v>0.26307692307692304</v>
      </c>
      <c r="N641">
        <v>390</v>
      </c>
      <c r="O641">
        <v>342</v>
      </c>
      <c r="P641" t="s">
        <v>25</v>
      </c>
      <c r="Q641" t="s">
        <v>26</v>
      </c>
      <c r="R641" t="str">
        <f>IF(COUNTIF(Sheet2!B:B, A641) &gt; 0, "Yes", "No")</f>
        <v>Yes</v>
      </c>
    </row>
    <row r="642" spans="1:18" x14ac:dyDescent="0.25">
      <c r="A642" s="3">
        <v>45149</v>
      </c>
      <c r="B642" t="s">
        <v>323</v>
      </c>
      <c r="C642" t="s">
        <v>79</v>
      </c>
      <c r="D642" t="s">
        <v>20</v>
      </c>
      <c r="E642" t="s">
        <v>21</v>
      </c>
      <c r="F642" t="s">
        <v>37</v>
      </c>
      <c r="G642" t="s">
        <v>87</v>
      </c>
      <c r="H642" t="s">
        <v>99</v>
      </c>
      <c r="I642" s="5">
        <v>2.5000000000000001E-2</v>
      </c>
      <c r="J642">
        <f t="shared" si="27"/>
        <v>14.25</v>
      </c>
      <c r="K642">
        <v>4</v>
      </c>
      <c r="L642">
        <f t="shared" si="28"/>
        <v>10.25</v>
      </c>
      <c r="M642" s="4">
        <f t="shared" si="29"/>
        <v>1.5769230769230768E-2</v>
      </c>
      <c r="N642">
        <v>650</v>
      </c>
      <c r="O642">
        <v>570</v>
      </c>
      <c r="P642" t="s">
        <v>25</v>
      </c>
      <c r="Q642" t="s">
        <v>26</v>
      </c>
      <c r="R642" t="str">
        <f>IF(COUNTIF(Sheet2!B:B, A642) &gt; 0, "Yes", "No")</f>
        <v>Yes</v>
      </c>
    </row>
    <row r="643" spans="1:18" x14ac:dyDescent="0.25">
      <c r="A643" s="3">
        <v>45149</v>
      </c>
      <c r="B643" t="s">
        <v>323</v>
      </c>
      <c r="C643" t="s">
        <v>79</v>
      </c>
      <c r="D643" t="s">
        <v>20</v>
      </c>
      <c r="E643" t="s">
        <v>21</v>
      </c>
      <c r="F643" t="s">
        <v>40</v>
      </c>
      <c r="G643" t="s">
        <v>61</v>
      </c>
      <c r="H643" t="s">
        <v>62</v>
      </c>
      <c r="I643" s="5">
        <v>0.04</v>
      </c>
      <c r="J643">
        <f t="shared" ref="J643:J706" si="30">I643*O643</f>
        <v>22.8</v>
      </c>
      <c r="K643">
        <v>3</v>
      </c>
      <c r="L643">
        <f t="shared" ref="L643:L706" si="31">J643-K643</f>
        <v>19.8</v>
      </c>
      <c r="M643" s="4">
        <f t="shared" ref="M643:M706" si="32">((I643*O643)-K643)/N643</f>
        <v>3.0461538461538464E-2</v>
      </c>
      <c r="N643">
        <v>650</v>
      </c>
      <c r="O643">
        <v>570</v>
      </c>
      <c r="P643" t="s">
        <v>25</v>
      </c>
      <c r="Q643" t="s">
        <v>26</v>
      </c>
      <c r="R643" t="str">
        <f>IF(COUNTIF(Sheet2!B:B, A643) &gt; 0, "Yes", "No")</f>
        <v>Yes</v>
      </c>
    </row>
    <row r="644" spans="1:18" x14ac:dyDescent="0.25">
      <c r="A644" s="3">
        <v>45149</v>
      </c>
      <c r="B644" t="s">
        <v>323</v>
      </c>
      <c r="C644" t="s">
        <v>79</v>
      </c>
      <c r="D644" t="s">
        <v>20</v>
      </c>
      <c r="E644" t="s">
        <v>21</v>
      </c>
      <c r="F644" t="s">
        <v>43</v>
      </c>
      <c r="G644" t="s">
        <v>90</v>
      </c>
      <c r="H644" t="s">
        <v>281</v>
      </c>
      <c r="I644" s="5">
        <v>7.4999999999999997E-2</v>
      </c>
      <c r="J644">
        <f t="shared" si="30"/>
        <v>42.75</v>
      </c>
      <c r="K644">
        <v>7</v>
      </c>
      <c r="L644">
        <f t="shared" si="31"/>
        <v>35.75</v>
      </c>
      <c r="M644" s="4">
        <f t="shared" si="32"/>
        <v>5.5E-2</v>
      </c>
      <c r="N644">
        <v>650</v>
      </c>
      <c r="O644">
        <v>570</v>
      </c>
      <c r="P644" t="s">
        <v>25</v>
      </c>
      <c r="Q644" t="s">
        <v>26</v>
      </c>
      <c r="R644" t="str">
        <f>IF(COUNTIF(Sheet2!B:B, A644) &gt; 0, "Yes", "No")</f>
        <v>Yes</v>
      </c>
    </row>
    <row r="645" spans="1:18" x14ac:dyDescent="0.25">
      <c r="A645" s="3">
        <v>45149</v>
      </c>
      <c r="B645" t="s">
        <v>323</v>
      </c>
      <c r="C645" t="s">
        <v>79</v>
      </c>
      <c r="D645" t="s">
        <v>20</v>
      </c>
      <c r="E645" t="s">
        <v>21</v>
      </c>
      <c r="F645" t="s">
        <v>46</v>
      </c>
      <c r="G645" t="s">
        <v>331</v>
      </c>
      <c r="H645" t="s">
        <v>332</v>
      </c>
      <c r="I645" s="5">
        <v>0.06</v>
      </c>
      <c r="J645">
        <f t="shared" si="30"/>
        <v>34.199999999999996</v>
      </c>
      <c r="K645">
        <v>7</v>
      </c>
      <c r="L645">
        <f t="shared" si="31"/>
        <v>27.199999999999996</v>
      </c>
      <c r="M645" s="4">
        <f t="shared" si="32"/>
        <v>4.1846153846153838E-2</v>
      </c>
      <c r="N645">
        <v>650</v>
      </c>
      <c r="O645">
        <v>570</v>
      </c>
      <c r="P645" t="s">
        <v>25</v>
      </c>
      <c r="Q645" t="s">
        <v>26</v>
      </c>
      <c r="R645" t="str">
        <f>IF(COUNTIF(Sheet2!B:B, A645) &gt; 0, "Yes", "No")</f>
        <v>Yes</v>
      </c>
    </row>
    <row r="646" spans="1:18" x14ac:dyDescent="0.25">
      <c r="A646" s="3">
        <v>45149</v>
      </c>
      <c r="B646" t="s">
        <v>323</v>
      </c>
      <c r="C646" t="s">
        <v>79</v>
      </c>
      <c r="D646" t="s">
        <v>20</v>
      </c>
      <c r="E646" t="s">
        <v>21</v>
      </c>
      <c r="F646" t="s">
        <v>49</v>
      </c>
      <c r="G646" t="s">
        <v>50</v>
      </c>
      <c r="H646" t="s">
        <v>49</v>
      </c>
      <c r="I646" s="5">
        <v>0.04</v>
      </c>
      <c r="J646">
        <f t="shared" si="30"/>
        <v>22.8</v>
      </c>
      <c r="K646">
        <v>3</v>
      </c>
      <c r="L646">
        <f t="shared" si="31"/>
        <v>19.8</v>
      </c>
      <c r="M646" s="4">
        <f t="shared" si="32"/>
        <v>3.0461538461538464E-2</v>
      </c>
      <c r="N646">
        <v>650</v>
      </c>
      <c r="O646">
        <v>570</v>
      </c>
      <c r="P646" t="s">
        <v>25</v>
      </c>
      <c r="Q646" t="s">
        <v>26</v>
      </c>
      <c r="R646" t="str">
        <f>IF(COUNTIF(Sheet2!B:B, A646) &gt; 0, "Yes", "No")</f>
        <v>Yes</v>
      </c>
    </row>
    <row r="647" spans="1:18" x14ac:dyDescent="0.25">
      <c r="A647" s="3">
        <v>45152</v>
      </c>
      <c r="B647" t="s">
        <v>323</v>
      </c>
      <c r="C647" t="s">
        <v>19</v>
      </c>
      <c r="D647" t="s">
        <v>20</v>
      </c>
      <c r="E647" t="s">
        <v>21</v>
      </c>
      <c r="F647" t="s">
        <v>22</v>
      </c>
      <c r="G647" t="s">
        <v>52</v>
      </c>
      <c r="H647" t="s">
        <v>53</v>
      </c>
      <c r="I647">
        <v>8.5000000000000006E-2</v>
      </c>
      <c r="J647">
        <f t="shared" si="30"/>
        <v>46.75</v>
      </c>
      <c r="K647">
        <v>6</v>
      </c>
      <c r="L647">
        <f t="shared" si="31"/>
        <v>40.75</v>
      </c>
      <c r="M647" s="4">
        <f t="shared" si="32"/>
        <v>6.7916666666666667E-2</v>
      </c>
      <c r="N647">
        <v>600</v>
      </c>
      <c r="O647">
        <v>550</v>
      </c>
      <c r="P647" t="s">
        <v>283</v>
      </c>
      <c r="Q647" t="s">
        <v>333</v>
      </c>
      <c r="R647" t="str">
        <f>IF(COUNTIF(Sheet2!B:B, A647) &gt; 0, "Yes", "No")</f>
        <v>No</v>
      </c>
    </row>
    <row r="648" spans="1:18" x14ac:dyDescent="0.25">
      <c r="A648" s="3">
        <v>45152</v>
      </c>
      <c r="B648" t="s">
        <v>323</v>
      </c>
      <c r="C648" t="s">
        <v>19</v>
      </c>
      <c r="D648" t="s">
        <v>20</v>
      </c>
      <c r="E648" t="s">
        <v>21</v>
      </c>
      <c r="F648" t="s">
        <v>27</v>
      </c>
      <c r="G648" t="s">
        <v>115</v>
      </c>
      <c r="H648" t="s">
        <v>115</v>
      </c>
      <c r="I648">
        <v>0.11</v>
      </c>
      <c r="J648">
        <f t="shared" si="30"/>
        <v>60.5</v>
      </c>
      <c r="K648">
        <v>9</v>
      </c>
      <c r="L648">
        <f t="shared" si="31"/>
        <v>51.5</v>
      </c>
      <c r="M648" s="4">
        <f t="shared" si="32"/>
        <v>8.5833333333333331E-2</v>
      </c>
      <c r="N648">
        <v>600</v>
      </c>
      <c r="O648">
        <v>550</v>
      </c>
      <c r="P648" t="s">
        <v>283</v>
      </c>
      <c r="Q648" t="s">
        <v>333</v>
      </c>
      <c r="R648" t="str">
        <f>IF(COUNTIF(Sheet2!B:B, A648) &gt; 0, "Yes", "No")</f>
        <v>No</v>
      </c>
    </row>
    <row r="649" spans="1:18" x14ac:dyDescent="0.25">
      <c r="A649" s="3">
        <v>45152</v>
      </c>
      <c r="B649" t="s">
        <v>323</v>
      </c>
      <c r="C649" t="s">
        <v>19</v>
      </c>
      <c r="D649" t="s">
        <v>20</v>
      </c>
      <c r="E649" t="s">
        <v>21</v>
      </c>
      <c r="F649" t="s">
        <v>30</v>
      </c>
      <c r="G649" t="s">
        <v>55</v>
      </c>
      <c r="H649" t="s">
        <v>183</v>
      </c>
      <c r="I649">
        <v>0.09</v>
      </c>
      <c r="J649">
        <f t="shared" si="30"/>
        <v>49.5</v>
      </c>
      <c r="K649">
        <v>3</v>
      </c>
      <c r="L649">
        <f t="shared" si="31"/>
        <v>46.5</v>
      </c>
      <c r="M649" s="4">
        <f t="shared" si="32"/>
        <v>7.7499999999999999E-2</v>
      </c>
      <c r="N649">
        <v>600</v>
      </c>
      <c r="O649">
        <v>550</v>
      </c>
      <c r="P649" t="s">
        <v>283</v>
      </c>
      <c r="Q649" t="s">
        <v>333</v>
      </c>
      <c r="R649" t="str">
        <f>IF(COUNTIF(Sheet2!B:B, A649) &gt; 0, "Yes", "No")</f>
        <v>No</v>
      </c>
    </row>
    <row r="650" spans="1:18" x14ac:dyDescent="0.25">
      <c r="A650" s="3">
        <v>45152</v>
      </c>
      <c r="B650" t="s">
        <v>323</v>
      </c>
      <c r="C650" t="s">
        <v>19</v>
      </c>
      <c r="D650" t="s">
        <v>33</v>
      </c>
      <c r="E650" t="s">
        <v>21</v>
      </c>
      <c r="F650" t="s">
        <v>34</v>
      </c>
      <c r="G650" t="s">
        <v>57</v>
      </c>
      <c r="H650" t="s">
        <v>224</v>
      </c>
      <c r="I650">
        <v>0.15</v>
      </c>
      <c r="J650">
        <f t="shared" si="30"/>
        <v>41.25</v>
      </c>
      <c r="K650">
        <v>4</v>
      </c>
      <c r="L650">
        <f t="shared" si="31"/>
        <v>37.25</v>
      </c>
      <c r="M650" s="4">
        <f t="shared" si="32"/>
        <v>0.12416666666666666</v>
      </c>
      <c r="N650">
        <v>300</v>
      </c>
      <c r="O650">
        <v>275</v>
      </c>
      <c r="P650" t="s">
        <v>283</v>
      </c>
      <c r="Q650" t="s">
        <v>333</v>
      </c>
      <c r="R650" t="str">
        <f>IF(COUNTIF(Sheet2!B:B, A650) &gt; 0, "Yes", "No")</f>
        <v>No</v>
      </c>
    </row>
    <row r="651" spans="1:18" x14ac:dyDescent="0.25">
      <c r="A651" s="3">
        <v>45152</v>
      </c>
      <c r="B651" t="s">
        <v>323</v>
      </c>
      <c r="C651" t="s">
        <v>19</v>
      </c>
      <c r="D651" t="s">
        <v>20</v>
      </c>
      <c r="E651" t="s">
        <v>21</v>
      </c>
      <c r="F651" t="s">
        <v>37</v>
      </c>
      <c r="G651" t="s">
        <v>38</v>
      </c>
      <c r="H651" t="s">
        <v>39</v>
      </c>
      <c r="I651">
        <v>0.03</v>
      </c>
      <c r="J651">
        <f t="shared" si="30"/>
        <v>16.5</v>
      </c>
      <c r="K651">
        <v>5</v>
      </c>
      <c r="L651">
        <f t="shared" si="31"/>
        <v>11.5</v>
      </c>
      <c r="M651" s="4">
        <f t="shared" si="32"/>
        <v>1.9166666666666665E-2</v>
      </c>
      <c r="N651">
        <v>600</v>
      </c>
      <c r="O651">
        <v>550</v>
      </c>
      <c r="P651" t="s">
        <v>283</v>
      </c>
      <c r="Q651" t="s">
        <v>333</v>
      </c>
      <c r="R651" t="str">
        <f>IF(COUNTIF(Sheet2!B:B, A651) &gt; 0, "Yes", "No")</f>
        <v>No</v>
      </c>
    </row>
    <row r="652" spans="1:18" x14ac:dyDescent="0.25">
      <c r="A652" s="3">
        <v>45152</v>
      </c>
      <c r="B652" t="s">
        <v>323</v>
      </c>
      <c r="C652" t="s">
        <v>19</v>
      </c>
      <c r="D652" t="s">
        <v>20</v>
      </c>
      <c r="E652" t="s">
        <v>21</v>
      </c>
      <c r="F652" t="s">
        <v>40</v>
      </c>
      <c r="G652" t="s">
        <v>41</v>
      </c>
      <c r="H652" t="s">
        <v>42</v>
      </c>
      <c r="I652">
        <v>4.4999999999999998E-2</v>
      </c>
      <c r="J652">
        <f t="shared" si="30"/>
        <v>24.75</v>
      </c>
      <c r="K652">
        <v>5</v>
      </c>
      <c r="L652">
        <f t="shared" si="31"/>
        <v>19.75</v>
      </c>
      <c r="M652" s="4">
        <f t="shared" si="32"/>
        <v>3.2916666666666664E-2</v>
      </c>
      <c r="N652">
        <v>600</v>
      </c>
      <c r="O652">
        <v>550</v>
      </c>
      <c r="P652" t="s">
        <v>283</v>
      </c>
      <c r="Q652" t="s">
        <v>333</v>
      </c>
      <c r="R652" t="str">
        <f>IF(COUNTIF(Sheet2!B:B, A652) &gt; 0, "Yes", "No")</f>
        <v>No</v>
      </c>
    </row>
    <row r="653" spans="1:18" x14ac:dyDescent="0.25">
      <c r="A653" s="3">
        <v>45152</v>
      </c>
      <c r="B653" t="s">
        <v>323</v>
      </c>
      <c r="C653" t="s">
        <v>19</v>
      </c>
      <c r="D653" t="s">
        <v>20</v>
      </c>
      <c r="E653" t="s">
        <v>21</v>
      </c>
      <c r="F653" t="s">
        <v>43</v>
      </c>
      <c r="G653" t="s">
        <v>44</v>
      </c>
      <c r="H653" t="s">
        <v>334</v>
      </c>
      <c r="I653">
        <v>0.11</v>
      </c>
      <c r="J653">
        <f t="shared" si="30"/>
        <v>60.5</v>
      </c>
      <c r="K653">
        <v>7</v>
      </c>
      <c r="L653">
        <f t="shared" si="31"/>
        <v>53.5</v>
      </c>
      <c r="M653" s="4">
        <f t="shared" si="32"/>
        <v>8.9166666666666672E-2</v>
      </c>
      <c r="N653">
        <v>600</v>
      </c>
      <c r="O653">
        <v>550</v>
      </c>
      <c r="P653" t="s">
        <v>283</v>
      </c>
      <c r="Q653" t="s">
        <v>333</v>
      </c>
      <c r="R653" t="str">
        <f>IF(COUNTIF(Sheet2!B:B, A653) &gt; 0, "Yes", "No")</f>
        <v>No</v>
      </c>
    </row>
    <row r="654" spans="1:18" x14ac:dyDescent="0.25">
      <c r="A654" s="3">
        <v>45152</v>
      </c>
      <c r="B654" t="s">
        <v>323</v>
      </c>
      <c r="C654" t="s">
        <v>19</v>
      </c>
      <c r="D654" t="s">
        <v>20</v>
      </c>
      <c r="E654" t="s">
        <v>21</v>
      </c>
      <c r="F654" t="s">
        <v>46</v>
      </c>
      <c r="G654" t="s">
        <v>92</v>
      </c>
      <c r="H654" t="s">
        <v>93</v>
      </c>
      <c r="I654">
        <v>8.5000000000000006E-2</v>
      </c>
      <c r="J654">
        <f t="shared" si="30"/>
        <v>46.75</v>
      </c>
      <c r="K654">
        <v>7</v>
      </c>
      <c r="L654">
        <f t="shared" si="31"/>
        <v>39.75</v>
      </c>
      <c r="M654" s="4">
        <f t="shared" si="32"/>
        <v>6.6250000000000003E-2</v>
      </c>
      <c r="N654">
        <v>600</v>
      </c>
      <c r="O654">
        <v>550</v>
      </c>
      <c r="P654" t="s">
        <v>283</v>
      </c>
      <c r="Q654" t="s">
        <v>333</v>
      </c>
      <c r="R654" t="str">
        <f>IF(COUNTIF(Sheet2!B:B, A654) &gt; 0, "Yes", "No")</f>
        <v>No</v>
      </c>
    </row>
    <row r="655" spans="1:18" x14ac:dyDescent="0.25">
      <c r="A655" s="3">
        <v>45152</v>
      </c>
      <c r="B655" t="s">
        <v>323</v>
      </c>
      <c r="C655" t="s">
        <v>19</v>
      </c>
      <c r="D655" t="s">
        <v>20</v>
      </c>
      <c r="E655" t="s">
        <v>21</v>
      </c>
      <c r="F655" t="s">
        <v>49</v>
      </c>
      <c r="G655" t="s">
        <v>50</v>
      </c>
      <c r="H655" t="s">
        <v>49</v>
      </c>
      <c r="I655">
        <v>0.09</v>
      </c>
      <c r="J655">
        <f t="shared" si="30"/>
        <v>49.5</v>
      </c>
      <c r="K655">
        <v>7</v>
      </c>
      <c r="L655">
        <f t="shared" si="31"/>
        <v>42.5</v>
      </c>
      <c r="M655" s="4">
        <f t="shared" si="32"/>
        <v>7.0833333333333331E-2</v>
      </c>
      <c r="N655">
        <v>600</v>
      </c>
      <c r="O655">
        <v>550</v>
      </c>
      <c r="P655" t="s">
        <v>283</v>
      </c>
      <c r="Q655" t="s">
        <v>333</v>
      </c>
      <c r="R655" t="str">
        <f>IF(COUNTIF(Sheet2!B:B, A655) &gt; 0, "Yes", "No")</f>
        <v>No</v>
      </c>
    </row>
    <row r="656" spans="1:18" x14ac:dyDescent="0.25">
      <c r="A656" s="3">
        <v>45155</v>
      </c>
      <c r="B656" t="s">
        <v>323</v>
      </c>
      <c r="C656" t="s">
        <v>66</v>
      </c>
      <c r="D656" t="s">
        <v>20</v>
      </c>
      <c r="E656" t="s">
        <v>67</v>
      </c>
      <c r="F656" t="s">
        <v>22</v>
      </c>
      <c r="G656" t="s">
        <v>122</v>
      </c>
      <c r="H656" t="s">
        <v>155</v>
      </c>
      <c r="I656">
        <v>8.5000000000000006E-2</v>
      </c>
      <c r="J656">
        <f t="shared" si="30"/>
        <v>55.250000000000007</v>
      </c>
      <c r="K656">
        <v>0.5</v>
      </c>
      <c r="L656">
        <f t="shared" si="31"/>
        <v>54.750000000000007</v>
      </c>
      <c r="M656" s="4">
        <f t="shared" si="32"/>
        <v>7.8214285714285722E-2</v>
      </c>
      <c r="N656">
        <v>700</v>
      </c>
      <c r="O656">
        <v>650</v>
      </c>
      <c r="P656" t="s">
        <v>25</v>
      </c>
      <c r="Q656" t="s">
        <v>26</v>
      </c>
      <c r="R656" t="str">
        <f>IF(COUNTIF(Sheet2!B:B, A656) &gt; 0, "Yes", "No")</f>
        <v>No</v>
      </c>
    </row>
    <row r="657" spans="1:18" x14ac:dyDescent="0.25">
      <c r="A657" s="3">
        <v>45155</v>
      </c>
      <c r="B657" t="s">
        <v>323</v>
      </c>
      <c r="C657" t="s">
        <v>66</v>
      </c>
      <c r="D657" t="s">
        <v>20</v>
      </c>
      <c r="E657" t="s">
        <v>67</v>
      </c>
      <c r="F657" t="s">
        <v>27</v>
      </c>
      <c r="G657" t="s">
        <v>144</v>
      </c>
      <c r="H657" t="s">
        <v>145</v>
      </c>
      <c r="I657">
        <v>0.11</v>
      </c>
      <c r="J657">
        <f t="shared" si="30"/>
        <v>71.5</v>
      </c>
      <c r="K657">
        <v>0.5</v>
      </c>
      <c r="L657">
        <f t="shared" si="31"/>
        <v>71</v>
      </c>
      <c r="M657" s="4">
        <f t="shared" si="32"/>
        <v>0.10142857142857142</v>
      </c>
      <c r="N657">
        <v>700</v>
      </c>
      <c r="O657">
        <v>650</v>
      </c>
      <c r="P657" t="s">
        <v>25</v>
      </c>
      <c r="Q657" t="s">
        <v>26</v>
      </c>
      <c r="R657" t="str">
        <f>IF(COUNTIF(Sheet2!B:B, A657) &gt; 0, "Yes", "No")</f>
        <v>No</v>
      </c>
    </row>
    <row r="658" spans="1:18" x14ac:dyDescent="0.25">
      <c r="A658" s="3">
        <v>45155</v>
      </c>
      <c r="B658" t="s">
        <v>323</v>
      </c>
      <c r="C658" t="s">
        <v>66</v>
      </c>
      <c r="D658" t="s">
        <v>20</v>
      </c>
      <c r="E658" t="s">
        <v>67</v>
      </c>
      <c r="F658" t="s">
        <v>30</v>
      </c>
      <c r="G658" t="s">
        <v>31</v>
      </c>
      <c r="H658" t="s">
        <v>70</v>
      </c>
      <c r="I658">
        <v>0.09</v>
      </c>
      <c r="J658">
        <f t="shared" si="30"/>
        <v>58.5</v>
      </c>
      <c r="K658">
        <v>1.5</v>
      </c>
      <c r="L658">
        <f t="shared" si="31"/>
        <v>57</v>
      </c>
      <c r="M658" s="4">
        <f t="shared" si="32"/>
        <v>8.1428571428571433E-2</v>
      </c>
      <c r="N658">
        <v>700</v>
      </c>
      <c r="O658">
        <v>650</v>
      </c>
      <c r="P658" t="s">
        <v>25</v>
      </c>
      <c r="Q658" t="s">
        <v>26</v>
      </c>
      <c r="R658" t="str">
        <f>IF(COUNTIF(Sheet2!B:B, A658) &gt; 0, "Yes", "No")</f>
        <v>No</v>
      </c>
    </row>
    <row r="659" spans="1:18" x14ac:dyDescent="0.25">
      <c r="A659" s="3">
        <v>45155</v>
      </c>
      <c r="B659" t="s">
        <v>323</v>
      </c>
      <c r="C659" t="s">
        <v>66</v>
      </c>
      <c r="D659" t="s">
        <v>20</v>
      </c>
      <c r="E659" t="s">
        <v>67</v>
      </c>
      <c r="F659" t="s">
        <v>37</v>
      </c>
      <c r="G659" t="s">
        <v>38</v>
      </c>
      <c r="H659" t="s">
        <v>39</v>
      </c>
      <c r="I659">
        <v>3.5000000000000003E-2</v>
      </c>
      <c r="J659">
        <f t="shared" si="30"/>
        <v>22.750000000000004</v>
      </c>
      <c r="K659">
        <v>0</v>
      </c>
      <c r="L659">
        <f t="shared" si="31"/>
        <v>22.750000000000004</v>
      </c>
      <c r="M659" s="4">
        <f t="shared" si="32"/>
        <v>3.2500000000000008E-2</v>
      </c>
      <c r="N659">
        <v>700</v>
      </c>
      <c r="O659">
        <v>650</v>
      </c>
      <c r="P659" t="s">
        <v>25</v>
      </c>
      <c r="Q659" t="s">
        <v>26</v>
      </c>
      <c r="R659" t="str">
        <f>IF(COUNTIF(Sheet2!B:B, A659) &gt; 0, "Yes", "No")</f>
        <v>No</v>
      </c>
    </row>
    <row r="660" spans="1:18" x14ac:dyDescent="0.25">
      <c r="A660" s="3">
        <v>45155</v>
      </c>
      <c r="B660" t="s">
        <v>323</v>
      </c>
      <c r="C660" t="s">
        <v>66</v>
      </c>
      <c r="D660" t="s">
        <v>20</v>
      </c>
      <c r="E660" t="s">
        <v>67</v>
      </c>
      <c r="F660" t="s">
        <v>40</v>
      </c>
      <c r="G660" t="s">
        <v>157</v>
      </c>
      <c r="H660" t="s">
        <v>158</v>
      </c>
      <c r="I660">
        <v>0.05</v>
      </c>
      <c r="J660">
        <f t="shared" si="30"/>
        <v>32.5</v>
      </c>
      <c r="K660">
        <v>0</v>
      </c>
      <c r="L660">
        <f t="shared" si="31"/>
        <v>32.5</v>
      </c>
      <c r="M660" s="4">
        <f t="shared" si="32"/>
        <v>4.642857142857143E-2</v>
      </c>
      <c r="N660">
        <v>700</v>
      </c>
      <c r="O660">
        <v>650</v>
      </c>
      <c r="P660" t="s">
        <v>25</v>
      </c>
      <c r="Q660" t="s">
        <v>26</v>
      </c>
      <c r="R660" t="str">
        <f>IF(COUNTIF(Sheet2!B:B, A660) &gt; 0, "Yes", "No")</f>
        <v>No</v>
      </c>
    </row>
    <row r="661" spans="1:18" x14ac:dyDescent="0.25">
      <c r="A661" s="3">
        <v>45155</v>
      </c>
      <c r="B661" t="s">
        <v>323</v>
      </c>
      <c r="C661" t="s">
        <v>66</v>
      </c>
      <c r="D661" t="s">
        <v>20</v>
      </c>
      <c r="E661" t="s">
        <v>67</v>
      </c>
      <c r="F661" t="s">
        <v>43</v>
      </c>
      <c r="G661" t="s">
        <v>288</v>
      </c>
      <c r="H661" t="s">
        <v>289</v>
      </c>
      <c r="I661">
        <v>0.11</v>
      </c>
      <c r="J661">
        <f t="shared" si="30"/>
        <v>71.5</v>
      </c>
      <c r="K661">
        <v>1</v>
      </c>
      <c r="L661">
        <f t="shared" si="31"/>
        <v>70.5</v>
      </c>
      <c r="M661" s="4">
        <f t="shared" si="32"/>
        <v>0.10071428571428571</v>
      </c>
      <c r="N661">
        <v>700</v>
      </c>
      <c r="O661">
        <v>650</v>
      </c>
      <c r="P661" t="s">
        <v>25</v>
      </c>
      <c r="Q661" t="s">
        <v>26</v>
      </c>
      <c r="R661" t="str">
        <f>IF(COUNTIF(Sheet2!B:B, A661) &gt; 0, "Yes", "No")</f>
        <v>No</v>
      </c>
    </row>
    <row r="662" spans="1:18" x14ac:dyDescent="0.25">
      <c r="A662" s="3">
        <v>45155</v>
      </c>
      <c r="B662" t="s">
        <v>323</v>
      </c>
      <c r="C662" t="s">
        <v>66</v>
      </c>
      <c r="D662" t="s">
        <v>20</v>
      </c>
      <c r="E662" t="s">
        <v>67</v>
      </c>
      <c r="F662" t="s">
        <v>46</v>
      </c>
      <c r="G662" t="s">
        <v>130</v>
      </c>
      <c r="H662" t="s">
        <v>237</v>
      </c>
      <c r="I662">
        <v>8.5000000000000006E-2</v>
      </c>
      <c r="J662">
        <f t="shared" si="30"/>
        <v>55.250000000000007</v>
      </c>
      <c r="K662">
        <v>0.5</v>
      </c>
      <c r="L662">
        <f t="shared" si="31"/>
        <v>54.750000000000007</v>
      </c>
      <c r="M662" s="4">
        <f t="shared" si="32"/>
        <v>7.8214285714285722E-2</v>
      </c>
      <c r="N662">
        <v>700</v>
      </c>
      <c r="O662">
        <v>650</v>
      </c>
      <c r="P662" t="s">
        <v>25</v>
      </c>
      <c r="Q662" t="s">
        <v>26</v>
      </c>
      <c r="R662" t="str">
        <f>IF(COUNTIF(Sheet2!B:B, A662) &gt; 0, "Yes", "No")</f>
        <v>No</v>
      </c>
    </row>
    <row r="663" spans="1:18" x14ac:dyDescent="0.25">
      <c r="A663" s="3">
        <v>45155</v>
      </c>
      <c r="B663" t="s">
        <v>323</v>
      </c>
      <c r="C663" t="s">
        <v>66</v>
      </c>
      <c r="D663" t="s">
        <v>20</v>
      </c>
      <c r="E663" t="s">
        <v>67</v>
      </c>
      <c r="F663" t="s">
        <v>49</v>
      </c>
      <c r="G663" t="s">
        <v>50</v>
      </c>
      <c r="H663" t="s">
        <v>49</v>
      </c>
      <c r="I663">
        <v>0.09</v>
      </c>
      <c r="J663">
        <f t="shared" si="30"/>
        <v>58.5</v>
      </c>
      <c r="K663">
        <v>1.5</v>
      </c>
      <c r="L663">
        <f t="shared" si="31"/>
        <v>57</v>
      </c>
      <c r="M663" s="4">
        <f t="shared" si="32"/>
        <v>8.1428571428571433E-2</v>
      </c>
      <c r="N663">
        <v>700</v>
      </c>
      <c r="O663">
        <v>650</v>
      </c>
      <c r="P663" t="s">
        <v>25</v>
      </c>
      <c r="Q663" t="s">
        <v>26</v>
      </c>
      <c r="R663" t="str">
        <f>IF(COUNTIF(Sheet2!B:B, A663) &gt; 0, "Yes", "No")</f>
        <v>No</v>
      </c>
    </row>
    <row r="664" spans="1:18" x14ac:dyDescent="0.25">
      <c r="A664" s="3">
        <v>45156</v>
      </c>
      <c r="B664" t="s">
        <v>323</v>
      </c>
      <c r="C664" t="s">
        <v>79</v>
      </c>
      <c r="D664" t="s">
        <v>20</v>
      </c>
      <c r="E664" t="s">
        <v>21</v>
      </c>
      <c r="F664" t="s">
        <v>22</v>
      </c>
      <c r="G664" t="s">
        <v>94</v>
      </c>
      <c r="H664" t="s">
        <v>226</v>
      </c>
      <c r="I664" s="5">
        <v>0.06</v>
      </c>
      <c r="J664">
        <f t="shared" si="30"/>
        <v>34.199999999999996</v>
      </c>
      <c r="K664">
        <v>4</v>
      </c>
      <c r="L664">
        <f t="shared" si="31"/>
        <v>30.199999999999996</v>
      </c>
      <c r="M664" s="4">
        <f t="shared" si="32"/>
        <v>4.6461538461538457E-2</v>
      </c>
      <c r="N664">
        <v>650</v>
      </c>
      <c r="O664">
        <v>570</v>
      </c>
      <c r="P664" t="s">
        <v>25</v>
      </c>
      <c r="Q664" t="s">
        <v>26</v>
      </c>
      <c r="R664" t="str">
        <f>IF(COUNTIF(Sheet2!B:B, A664) &gt; 0, "Yes", "No")</f>
        <v>Yes</v>
      </c>
    </row>
    <row r="665" spans="1:18" x14ac:dyDescent="0.25">
      <c r="A665" s="3">
        <v>45156</v>
      </c>
      <c r="B665" t="s">
        <v>323</v>
      </c>
      <c r="C665" t="s">
        <v>79</v>
      </c>
      <c r="D665" t="s">
        <v>20</v>
      </c>
      <c r="E665" t="s">
        <v>21</v>
      </c>
      <c r="F665" t="s">
        <v>27</v>
      </c>
      <c r="G665" t="s">
        <v>81</v>
      </c>
      <c r="H665" t="s">
        <v>335</v>
      </c>
      <c r="I665" s="5">
        <v>0.1</v>
      </c>
      <c r="J665">
        <f t="shared" si="30"/>
        <v>57</v>
      </c>
      <c r="K665">
        <v>1.5</v>
      </c>
      <c r="L665">
        <f t="shared" si="31"/>
        <v>55.5</v>
      </c>
      <c r="M665" s="4">
        <f t="shared" si="32"/>
        <v>8.5384615384615378E-2</v>
      </c>
      <c r="N665">
        <v>650</v>
      </c>
      <c r="O665">
        <v>570</v>
      </c>
      <c r="P665" t="s">
        <v>25</v>
      </c>
      <c r="Q665" t="s">
        <v>26</v>
      </c>
      <c r="R665" t="str">
        <f>IF(COUNTIF(Sheet2!B:B, A665) &gt; 0, "Yes", "No")</f>
        <v>Yes</v>
      </c>
    </row>
    <row r="666" spans="1:18" x14ac:dyDescent="0.25">
      <c r="A666" s="3">
        <v>45156</v>
      </c>
      <c r="B666" t="s">
        <v>323</v>
      </c>
      <c r="C666" t="s">
        <v>79</v>
      </c>
      <c r="D666" t="s">
        <v>20</v>
      </c>
      <c r="E666" t="s">
        <v>21</v>
      </c>
      <c r="F666" t="s">
        <v>30</v>
      </c>
      <c r="G666" t="s">
        <v>55</v>
      </c>
      <c r="H666" t="s">
        <v>56</v>
      </c>
      <c r="I666" s="5">
        <v>0.06</v>
      </c>
      <c r="J666">
        <f t="shared" si="30"/>
        <v>34.199999999999996</v>
      </c>
      <c r="K666">
        <v>1.5</v>
      </c>
      <c r="L666">
        <f t="shared" si="31"/>
        <v>32.699999999999996</v>
      </c>
      <c r="M666" s="4">
        <f t="shared" si="32"/>
        <v>5.0307692307692303E-2</v>
      </c>
      <c r="N666">
        <v>650</v>
      </c>
      <c r="O666">
        <v>570</v>
      </c>
      <c r="P666" t="s">
        <v>25</v>
      </c>
      <c r="Q666" t="s">
        <v>26</v>
      </c>
      <c r="R666" t="str">
        <f>IF(COUNTIF(Sheet2!B:B, A666) &gt; 0, "Yes", "No")</f>
        <v>Yes</v>
      </c>
    </row>
    <row r="667" spans="1:18" x14ac:dyDescent="0.25">
      <c r="A667" s="3">
        <v>45156</v>
      </c>
      <c r="B667" t="s">
        <v>323</v>
      </c>
      <c r="C667" t="s">
        <v>79</v>
      </c>
      <c r="D667" t="s">
        <v>33</v>
      </c>
      <c r="E667" t="s">
        <v>21</v>
      </c>
      <c r="F667" t="s">
        <v>84</v>
      </c>
      <c r="G667" t="s">
        <v>85</v>
      </c>
      <c r="H667" t="s">
        <v>86</v>
      </c>
      <c r="I667" s="5">
        <v>0.3</v>
      </c>
      <c r="J667">
        <f t="shared" si="30"/>
        <v>102.6</v>
      </c>
      <c r="K667">
        <v>0</v>
      </c>
      <c r="L667">
        <f t="shared" si="31"/>
        <v>102.6</v>
      </c>
      <c r="M667" s="4">
        <f t="shared" si="32"/>
        <v>0.26307692307692304</v>
      </c>
      <c r="N667">
        <v>390</v>
      </c>
      <c r="O667">
        <v>342</v>
      </c>
      <c r="P667" t="s">
        <v>25</v>
      </c>
      <c r="Q667" t="s">
        <v>26</v>
      </c>
      <c r="R667" t="str">
        <f>IF(COUNTIF(Sheet2!B:B, A667) &gt; 0, "Yes", "No")</f>
        <v>Yes</v>
      </c>
    </row>
    <row r="668" spans="1:18" x14ac:dyDescent="0.25">
      <c r="A668" s="3">
        <v>45156</v>
      </c>
      <c r="B668" t="s">
        <v>323</v>
      </c>
      <c r="C668" t="s">
        <v>79</v>
      </c>
      <c r="D668" t="s">
        <v>20</v>
      </c>
      <c r="E668" t="s">
        <v>21</v>
      </c>
      <c r="F668" t="s">
        <v>37</v>
      </c>
      <c r="G668" t="s">
        <v>59</v>
      </c>
      <c r="H668" t="s">
        <v>60</v>
      </c>
      <c r="I668" s="5">
        <v>2.5000000000000001E-2</v>
      </c>
      <c r="J668">
        <f t="shared" si="30"/>
        <v>14.25</v>
      </c>
      <c r="K668">
        <v>0</v>
      </c>
      <c r="L668">
        <f t="shared" si="31"/>
        <v>14.25</v>
      </c>
      <c r="M668" s="4">
        <f t="shared" si="32"/>
        <v>2.1923076923076924E-2</v>
      </c>
      <c r="N668">
        <v>650</v>
      </c>
      <c r="O668">
        <v>570</v>
      </c>
      <c r="P668" t="s">
        <v>25</v>
      </c>
      <c r="Q668" t="s">
        <v>26</v>
      </c>
      <c r="R668" t="str">
        <f>IF(COUNTIF(Sheet2!B:B, A668) &gt; 0, "Yes", "No")</f>
        <v>Yes</v>
      </c>
    </row>
    <row r="669" spans="1:18" x14ac:dyDescent="0.25">
      <c r="A669" s="3">
        <v>45156</v>
      </c>
      <c r="B669" t="s">
        <v>323</v>
      </c>
      <c r="C669" t="s">
        <v>79</v>
      </c>
      <c r="D669" t="s">
        <v>20</v>
      </c>
      <c r="E669" t="s">
        <v>21</v>
      </c>
      <c r="F669" t="s">
        <v>40</v>
      </c>
      <c r="G669" t="s">
        <v>61</v>
      </c>
      <c r="H669" t="s">
        <v>119</v>
      </c>
      <c r="I669" s="5">
        <v>0.04</v>
      </c>
      <c r="J669">
        <f t="shared" si="30"/>
        <v>22.8</v>
      </c>
      <c r="K669">
        <v>0</v>
      </c>
      <c r="L669">
        <f t="shared" si="31"/>
        <v>22.8</v>
      </c>
      <c r="M669" s="4">
        <f t="shared" si="32"/>
        <v>3.5076923076923075E-2</v>
      </c>
      <c r="N669">
        <v>650</v>
      </c>
      <c r="O669">
        <v>570</v>
      </c>
      <c r="P669" t="s">
        <v>25</v>
      </c>
      <c r="Q669" t="s">
        <v>26</v>
      </c>
      <c r="R669" t="str">
        <f>IF(COUNTIF(Sheet2!B:B, A669) &gt; 0, "Yes", "No")</f>
        <v>Yes</v>
      </c>
    </row>
    <row r="670" spans="1:18" x14ac:dyDescent="0.25">
      <c r="A670" s="3">
        <v>45156</v>
      </c>
      <c r="B670" t="s">
        <v>323</v>
      </c>
      <c r="C670" t="s">
        <v>79</v>
      </c>
      <c r="D670" t="s">
        <v>20</v>
      </c>
      <c r="E670" t="s">
        <v>21</v>
      </c>
      <c r="F670" t="s">
        <v>43</v>
      </c>
      <c r="G670" t="s">
        <v>159</v>
      </c>
      <c r="H670" t="s">
        <v>160</v>
      </c>
      <c r="I670" s="5">
        <v>0.08</v>
      </c>
      <c r="J670">
        <f t="shared" si="30"/>
        <v>45.6</v>
      </c>
      <c r="K670">
        <v>3</v>
      </c>
      <c r="L670">
        <f t="shared" si="31"/>
        <v>42.6</v>
      </c>
      <c r="M670" s="4">
        <f t="shared" si="32"/>
        <v>6.5538461538461545E-2</v>
      </c>
      <c r="N670">
        <v>650</v>
      </c>
      <c r="O670">
        <v>570</v>
      </c>
      <c r="P670" t="s">
        <v>25</v>
      </c>
      <c r="Q670" t="s">
        <v>26</v>
      </c>
      <c r="R670" t="str">
        <f>IF(COUNTIF(Sheet2!B:B, A670) &gt; 0, "Yes", "No")</f>
        <v>Yes</v>
      </c>
    </row>
    <row r="671" spans="1:18" x14ac:dyDescent="0.25">
      <c r="A671" s="3">
        <v>45156</v>
      </c>
      <c r="B671" t="s">
        <v>323</v>
      </c>
      <c r="C671" t="s">
        <v>79</v>
      </c>
      <c r="D671" t="s">
        <v>20</v>
      </c>
      <c r="E671" t="s">
        <v>21</v>
      </c>
      <c r="F671" t="s">
        <v>46</v>
      </c>
      <c r="G671" t="s">
        <v>103</v>
      </c>
      <c r="H671" t="s">
        <v>336</v>
      </c>
      <c r="I671" s="5">
        <v>0.06</v>
      </c>
      <c r="J671">
        <f t="shared" si="30"/>
        <v>34.199999999999996</v>
      </c>
      <c r="K671">
        <v>6</v>
      </c>
      <c r="L671">
        <f t="shared" si="31"/>
        <v>28.199999999999996</v>
      </c>
      <c r="M671" s="4">
        <f t="shared" si="32"/>
        <v>4.3384615384615376E-2</v>
      </c>
      <c r="N671">
        <v>650</v>
      </c>
      <c r="O671">
        <v>570</v>
      </c>
      <c r="P671" t="s">
        <v>25</v>
      </c>
      <c r="Q671" t="s">
        <v>26</v>
      </c>
      <c r="R671" t="str">
        <f>IF(COUNTIF(Sheet2!B:B, A671) &gt; 0, "Yes", "No")</f>
        <v>Yes</v>
      </c>
    </row>
    <row r="672" spans="1:18" x14ac:dyDescent="0.25">
      <c r="A672" s="3">
        <v>45156</v>
      </c>
      <c r="B672" t="s">
        <v>323</v>
      </c>
      <c r="C672" t="s">
        <v>79</v>
      </c>
      <c r="D672" t="s">
        <v>20</v>
      </c>
      <c r="E672" t="s">
        <v>21</v>
      </c>
      <c r="F672" t="s">
        <v>49</v>
      </c>
      <c r="G672" t="s">
        <v>50</v>
      </c>
      <c r="H672" t="s">
        <v>49</v>
      </c>
      <c r="I672" s="5">
        <v>0.04</v>
      </c>
      <c r="J672">
        <f t="shared" si="30"/>
        <v>22.8</v>
      </c>
      <c r="K672">
        <v>0</v>
      </c>
      <c r="L672">
        <f t="shared" si="31"/>
        <v>22.8</v>
      </c>
      <c r="M672" s="4">
        <f t="shared" si="32"/>
        <v>3.5076923076923075E-2</v>
      </c>
      <c r="N672">
        <v>650</v>
      </c>
      <c r="O672">
        <v>570</v>
      </c>
      <c r="P672" t="s">
        <v>25</v>
      </c>
      <c r="Q672" t="s">
        <v>26</v>
      </c>
      <c r="R672" t="str">
        <f>IF(COUNTIF(Sheet2!B:B, A672) &gt; 0, "Yes", "No")</f>
        <v>Yes</v>
      </c>
    </row>
    <row r="673" spans="1:18" x14ac:dyDescent="0.25">
      <c r="A673" s="3">
        <v>45159</v>
      </c>
      <c r="B673" t="s">
        <v>323</v>
      </c>
      <c r="C673" t="s">
        <v>19</v>
      </c>
      <c r="D673" t="s">
        <v>20</v>
      </c>
      <c r="E673" t="s">
        <v>21</v>
      </c>
      <c r="F673" t="s">
        <v>22</v>
      </c>
      <c r="G673" t="s">
        <v>52</v>
      </c>
      <c r="H673" t="s">
        <v>53</v>
      </c>
      <c r="I673">
        <v>0.06</v>
      </c>
      <c r="J673">
        <f t="shared" si="30"/>
        <v>39</v>
      </c>
      <c r="K673">
        <v>2</v>
      </c>
      <c r="L673">
        <f t="shared" si="31"/>
        <v>37</v>
      </c>
      <c r="M673" s="4">
        <f t="shared" si="32"/>
        <v>5.2857142857142859E-2</v>
      </c>
      <c r="N673">
        <v>700</v>
      </c>
      <c r="O673">
        <v>650</v>
      </c>
      <c r="P673" t="s">
        <v>25</v>
      </c>
      <c r="Q673" t="s">
        <v>26</v>
      </c>
      <c r="R673" t="str">
        <f>IF(COUNTIF(Sheet2!B:B, A673) &gt; 0, "Yes", "No")</f>
        <v>No</v>
      </c>
    </row>
    <row r="674" spans="1:18" x14ac:dyDescent="0.25">
      <c r="A674" s="3">
        <v>45159</v>
      </c>
      <c r="B674" t="s">
        <v>323</v>
      </c>
      <c r="C674" t="s">
        <v>19</v>
      </c>
      <c r="D674" t="s">
        <v>20</v>
      </c>
      <c r="E674" t="s">
        <v>21</v>
      </c>
      <c r="F674" t="s">
        <v>27</v>
      </c>
      <c r="G674" t="s">
        <v>28</v>
      </c>
      <c r="H674" t="s">
        <v>54</v>
      </c>
      <c r="I674">
        <v>0.1</v>
      </c>
      <c r="J674">
        <f t="shared" si="30"/>
        <v>65</v>
      </c>
      <c r="K674">
        <v>3</v>
      </c>
      <c r="L674">
        <f t="shared" si="31"/>
        <v>62</v>
      </c>
      <c r="M674" s="4">
        <f t="shared" si="32"/>
        <v>8.8571428571428565E-2</v>
      </c>
      <c r="N674">
        <v>700</v>
      </c>
      <c r="O674">
        <v>650</v>
      </c>
      <c r="P674" t="s">
        <v>25</v>
      </c>
      <c r="Q674" t="s">
        <v>26</v>
      </c>
      <c r="R674" t="str">
        <f>IF(COUNTIF(Sheet2!B:B, A674) &gt; 0, "Yes", "No")</f>
        <v>No</v>
      </c>
    </row>
    <row r="675" spans="1:18" x14ac:dyDescent="0.25">
      <c r="A675" s="3">
        <v>45159</v>
      </c>
      <c r="B675" t="s">
        <v>323</v>
      </c>
      <c r="C675" t="s">
        <v>19</v>
      </c>
      <c r="D675" t="s">
        <v>20</v>
      </c>
      <c r="E675" t="s">
        <v>21</v>
      </c>
      <c r="F675" t="s">
        <v>30</v>
      </c>
      <c r="G675" t="s">
        <v>55</v>
      </c>
      <c r="H675" t="s">
        <v>183</v>
      </c>
      <c r="I675">
        <v>0.06</v>
      </c>
      <c r="J675">
        <f t="shared" si="30"/>
        <v>39</v>
      </c>
      <c r="K675">
        <v>0</v>
      </c>
      <c r="L675">
        <f t="shared" si="31"/>
        <v>39</v>
      </c>
      <c r="M675" s="4">
        <f t="shared" si="32"/>
        <v>5.5714285714285716E-2</v>
      </c>
      <c r="N675">
        <v>700</v>
      </c>
      <c r="O675">
        <v>650</v>
      </c>
      <c r="P675" t="s">
        <v>25</v>
      </c>
      <c r="Q675" t="s">
        <v>26</v>
      </c>
      <c r="R675" t="str">
        <f>IF(COUNTIF(Sheet2!B:B, A675) &gt; 0, "Yes", "No")</f>
        <v>No</v>
      </c>
    </row>
    <row r="676" spans="1:18" x14ac:dyDescent="0.25">
      <c r="A676" s="3">
        <v>45159</v>
      </c>
      <c r="B676" t="s">
        <v>323</v>
      </c>
      <c r="C676" t="s">
        <v>19</v>
      </c>
      <c r="D676" t="s">
        <v>33</v>
      </c>
      <c r="E676" t="s">
        <v>21</v>
      </c>
      <c r="F676" t="s">
        <v>34</v>
      </c>
      <c r="G676" t="s">
        <v>57</v>
      </c>
      <c r="H676" t="s">
        <v>192</v>
      </c>
      <c r="I676">
        <v>0.3</v>
      </c>
      <c r="J676">
        <f t="shared" si="30"/>
        <v>97.5</v>
      </c>
      <c r="K676">
        <v>3.5</v>
      </c>
      <c r="L676">
        <f t="shared" si="31"/>
        <v>94</v>
      </c>
      <c r="M676" s="4">
        <f t="shared" si="32"/>
        <v>0.26857142857142857</v>
      </c>
      <c r="N676">
        <v>350</v>
      </c>
      <c r="O676">
        <v>325</v>
      </c>
      <c r="P676" t="s">
        <v>25</v>
      </c>
      <c r="Q676" t="s">
        <v>26</v>
      </c>
      <c r="R676" t="str">
        <f>IF(COUNTIF(Sheet2!B:B, A676) &gt; 0, "Yes", "No")</f>
        <v>No</v>
      </c>
    </row>
    <row r="677" spans="1:18" x14ac:dyDescent="0.25">
      <c r="A677" s="3">
        <v>45159</v>
      </c>
      <c r="B677" t="s">
        <v>323</v>
      </c>
      <c r="C677" t="s">
        <v>19</v>
      </c>
      <c r="D677" t="s">
        <v>20</v>
      </c>
      <c r="E677" t="s">
        <v>21</v>
      </c>
      <c r="F677" t="s">
        <v>37</v>
      </c>
      <c r="G677" t="s">
        <v>59</v>
      </c>
      <c r="H677" t="s">
        <v>60</v>
      </c>
      <c r="I677">
        <v>0.03</v>
      </c>
      <c r="J677">
        <f t="shared" si="30"/>
        <v>19.5</v>
      </c>
      <c r="K677">
        <v>1</v>
      </c>
      <c r="L677">
        <f t="shared" si="31"/>
        <v>18.5</v>
      </c>
      <c r="M677" s="4">
        <f t="shared" si="32"/>
        <v>2.642857142857143E-2</v>
      </c>
      <c r="N677">
        <v>700</v>
      </c>
      <c r="O677">
        <v>650</v>
      </c>
      <c r="P677" t="s">
        <v>25</v>
      </c>
      <c r="Q677" t="s">
        <v>26</v>
      </c>
      <c r="R677" t="str">
        <f>IF(COUNTIF(Sheet2!B:B, A677) &gt; 0, "Yes", "No")</f>
        <v>No</v>
      </c>
    </row>
    <row r="678" spans="1:18" x14ac:dyDescent="0.25">
      <c r="A678" s="3">
        <v>45159</v>
      </c>
      <c r="B678" t="s">
        <v>323</v>
      </c>
      <c r="C678" t="s">
        <v>19</v>
      </c>
      <c r="D678" t="s">
        <v>20</v>
      </c>
      <c r="E678" t="s">
        <v>21</v>
      </c>
      <c r="F678" t="s">
        <v>40</v>
      </c>
      <c r="G678" t="s">
        <v>164</v>
      </c>
      <c r="H678" t="s">
        <v>202</v>
      </c>
      <c r="I678">
        <v>4.4999999999999998E-2</v>
      </c>
      <c r="J678">
        <f t="shared" si="30"/>
        <v>29.25</v>
      </c>
      <c r="K678">
        <v>1</v>
      </c>
      <c r="L678">
        <f t="shared" si="31"/>
        <v>28.25</v>
      </c>
      <c r="M678" s="4">
        <f t="shared" si="32"/>
        <v>4.0357142857142855E-2</v>
      </c>
      <c r="N678">
        <v>700</v>
      </c>
      <c r="O678">
        <v>650</v>
      </c>
      <c r="P678" t="s">
        <v>25</v>
      </c>
      <c r="Q678" t="s">
        <v>26</v>
      </c>
      <c r="R678" t="str">
        <f>IF(COUNTIF(Sheet2!B:B, A678) &gt; 0, "Yes", "No")</f>
        <v>No</v>
      </c>
    </row>
    <row r="679" spans="1:18" x14ac:dyDescent="0.25">
      <c r="A679" s="3">
        <v>45159</v>
      </c>
      <c r="B679" t="s">
        <v>323</v>
      </c>
      <c r="C679" t="s">
        <v>19</v>
      </c>
      <c r="D679" t="s">
        <v>20</v>
      </c>
      <c r="E679" t="s">
        <v>21</v>
      </c>
      <c r="F679" t="s">
        <v>43</v>
      </c>
      <c r="G679" t="s">
        <v>90</v>
      </c>
      <c r="H679" t="s">
        <v>337</v>
      </c>
      <c r="I679">
        <v>0.11</v>
      </c>
      <c r="J679">
        <f t="shared" si="30"/>
        <v>71.5</v>
      </c>
      <c r="K679">
        <v>2.5</v>
      </c>
      <c r="L679">
        <f t="shared" si="31"/>
        <v>69</v>
      </c>
      <c r="M679" s="4">
        <f t="shared" si="32"/>
        <v>9.8571428571428574E-2</v>
      </c>
      <c r="N679">
        <v>700</v>
      </c>
      <c r="O679">
        <v>650</v>
      </c>
      <c r="P679" t="s">
        <v>25</v>
      </c>
      <c r="Q679" t="s">
        <v>26</v>
      </c>
      <c r="R679" t="str">
        <f>IF(COUNTIF(Sheet2!B:B, A679) &gt; 0, "Yes", "No")</f>
        <v>No</v>
      </c>
    </row>
    <row r="680" spans="1:18" x14ac:dyDescent="0.25">
      <c r="A680" s="3">
        <v>45159</v>
      </c>
      <c r="B680" t="s">
        <v>323</v>
      </c>
      <c r="C680" t="s">
        <v>19</v>
      </c>
      <c r="D680" t="s">
        <v>20</v>
      </c>
      <c r="E680" t="s">
        <v>21</v>
      </c>
      <c r="F680" t="s">
        <v>46</v>
      </c>
      <c r="G680" t="s">
        <v>92</v>
      </c>
      <c r="H680" t="s">
        <v>275</v>
      </c>
      <c r="I680">
        <v>8.5000000000000006E-2</v>
      </c>
      <c r="J680">
        <f t="shared" si="30"/>
        <v>55.250000000000007</v>
      </c>
      <c r="K680">
        <v>2</v>
      </c>
      <c r="L680">
        <f t="shared" si="31"/>
        <v>53.250000000000007</v>
      </c>
      <c r="M680" s="4">
        <f t="shared" si="32"/>
        <v>7.6071428571428581E-2</v>
      </c>
      <c r="N680">
        <v>700</v>
      </c>
      <c r="O680">
        <v>650</v>
      </c>
      <c r="P680" t="s">
        <v>25</v>
      </c>
      <c r="Q680" t="s">
        <v>26</v>
      </c>
      <c r="R680" t="str">
        <f>IF(COUNTIF(Sheet2!B:B, A680) &gt; 0, "Yes", "No")</f>
        <v>No</v>
      </c>
    </row>
    <row r="681" spans="1:18" x14ac:dyDescent="0.25">
      <c r="A681" s="3">
        <v>45159</v>
      </c>
      <c r="B681" t="s">
        <v>323</v>
      </c>
      <c r="C681" t="s">
        <v>19</v>
      </c>
      <c r="D681" t="s">
        <v>20</v>
      </c>
      <c r="E681" t="s">
        <v>21</v>
      </c>
      <c r="F681" t="s">
        <v>49</v>
      </c>
      <c r="G681" t="s">
        <v>50</v>
      </c>
      <c r="H681" t="s">
        <v>49</v>
      </c>
      <c r="I681">
        <v>0.09</v>
      </c>
      <c r="J681">
        <f t="shared" si="30"/>
        <v>58.5</v>
      </c>
      <c r="K681">
        <v>0</v>
      </c>
      <c r="L681">
        <f t="shared" si="31"/>
        <v>58.5</v>
      </c>
      <c r="M681" s="4">
        <f t="shared" si="32"/>
        <v>8.3571428571428574E-2</v>
      </c>
      <c r="N681">
        <v>700</v>
      </c>
      <c r="O681">
        <v>650</v>
      </c>
      <c r="P681" t="s">
        <v>25</v>
      </c>
      <c r="Q681" t="s">
        <v>26</v>
      </c>
      <c r="R681" t="str">
        <f>IF(COUNTIF(Sheet2!B:B, A681) &gt; 0, "Yes", "No")</f>
        <v>No</v>
      </c>
    </row>
    <row r="682" spans="1:18" x14ac:dyDescent="0.25">
      <c r="A682" s="3">
        <v>45160</v>
      </c>
      <c r="B682" t="s">
        <v>323</v>
      </c>
      <c r="C682" t="s">
        <v>105</v>
      </c>
      <c r="D682" t="s">
        <v>20</v>
      </c>
      <c r="E682" t="s">
        <v>67</v>
      </c>
      <c r="F682" t="s">
        <v>22</v>
      </c>
      <c r="G682" t="s">
        <v>122</v>
      </c>
      <c r="H682" t="s">
        <v>324</v>
      </c>
      <c r="I682">
        <v>8.5000000000000006E-2</v>
      </c>
      <c r="J682">
        <f t="shared" si="30"/>
        <v>56.95</v>
      </c>
      <c r="K682">
        <v>0</v>
      </c>
      <c r="L682">
        <f t="shared" si="31"/>
        <v>56.95</v>
      </c>
      <c r="M682" s="4">
        <f t="shared" si="32"/>
        <v>7.5933333333333339E-2</v>
      </c>
      <c r="N682">
        <v>750</v>
      </c>
      <c r="O682">
        <v>670</v>
      </c>
      <c r="P682" t="s">
        <v>25</v>
      </c>
      <c r="Q682" t="s">
        <v>26</v>
      </c>
      <c r="R682" t="str">
        <f>IF(COUNTIF(Sheet2!B:B, A682) &gt; 0, "Yes", "No")</f>
        <v>No</v>
      </c>
    </row>
    <row r="683" spans="1:18" x14ac:dyDescent="0.25">
      <c r="A683" s="3">
        <v>45160</v>
      </c>
      <c r="B683" t="s">
        <v>323</v>
      </c>
      <c r="C683" t="s">
        <v>105</v>
      </c>
      <c r="D683" t="s">
        <v>20</v>
      </c>
      <c r="E683" t="s">
        <v>67</v>
      </c>
      <c r="F683" t="s">
        <v>27</v>
      </c>
      <c r="G683" t="s">
        <v>28</v>
      </c>
      <c r="H683" t="s">
        <v>273</v>
      </c>
      <c r="I683">
        <v>0.11</v>
      </c>
      <c r="J683">
        <f t="shared" si="30"/>
        <v>73.7</v>
      </c>
      <c r="K683">
        <v>0.5</v>
      </c>
      <c r="L683">
        <f t="shared" si="31"/>
        <v>73.2</v>
      </c>
      <c r="M683" s="4">
        <f t="shared" si="32"/>
        <v>9.7600000000000006E-2</v>
      </c>
      <c r="N683">
        <v>750</v>
      </c>
      <c r="O683">
        <v>670</v>
      </c>
      <c r="P683" t="s">
        <v>25</v>
      </c>
      <c r="Q683" t="s">
        <v>26</v>
      </c>
      <c r="R683" t="str">
        <f>IF(COUNTIF(Sheet2!B:B, A683) &gt; 0, "Yes", "No")</f>
        <v>No</v>
      </c>
    </row>
    <row r="684" spans="1:18" x14ac:dyDescent="0.25">
      <c r="A684" s="3">
        <v>45160</v>
      </c>
      <c r="B684" t="s">
        <v>323</v>
      </c>
      <c r="C684" t="s">
        <v>105</v>
      </c>
      <c r="D684" t="s">
        <v>20</v>
      </c>
      <c r="E684" t="s">
        <v>67</v>
      </c>
      <c r="F684" t="s">
        <v>30</v>
      </c>
      <c r="G684" t="s">
        <v>31</v>
      </c>
      <c r="H684" t="s">
        <v>31</v>
      </c>
      <c r="I684">
        <v>0.09</v>
      </c>
      <c r="J684">
        <f t="shared" si="30"/>
        <v>60.3</v>
      </c>
      <c r="K684">
        <v>0</v>
      </c>
      <c r="L684">
        <f t="shared" si="31"/>
        <v>60.3</v>
      </c>
      <c r="M684" s="4">
        <f t="shared" si="32"/>
        <v>8.0399999999999999E-2</v>
      </c>
      <c r="N684">
        <v>750</v>
      </c>
      <c r="O684">
        <v>670</v>
      </c>
      <c r="P684" t="s">
        <v>25</v>
      </c>
      <c r="Q684" t="s">
        <v>26</v>
      </c>
      <c r="R684" t="str">
        <f>IF(COUNTIF(Sheet2!B:B, A684) &gt; 0, "Yes", "No")</f>
        <v>No</v>
      </c>
    </row>
    <row r="685" spans="1:18" x14ac:dyDescent="0.25">
      <c r="A685" s="3">
        <v>45160</v>
      </c>
      <c r="B685" t="s">
        <v>323</v>
      </c>
      <c r="C685" t="s">
        <v>105</v>
      </c>
      <c r="D685" t="s">
        <v>20</v>
      </c>
      <c r="E685" t="s">
        <v>67</v>
      </c>
      <c r="F685" t="s">
        <v>37</v>
      </c>
      <c r="G685" t="s">
        <v>117</v>
      </c>
      <c r="H685" t="s">
        <v>118</v>
      </c>
      <c r="I685">
        <v>3.5000000000000003E-2</v>
      </c>
      <c r="J685">
        <f t="shared" si="30"/>
        <v>23.450000000000003</v>
      </c>
      <c r="K685">
        <v>0</v>
      </c>
      <c r="L685">
        <f t="shared" si="31"/>
        <v>23.450000000000003</v>
      </c>
      <c r="M685" s="4">
        <f t="shared" si="32"/>
        <v>3.1266666666666672E-2</v>
      </c>
      <c r="N685">
        <v>750</v>
      </c>
      <c r="O685">
        <v>670</v>
      </c>
      <c r="P685" t="s">
        <v>25</v>
      </c>
      <c r="Q685" t="s">
        <v>26</v>
      </c>
      <c r="R685" t="str">
        <f>IF(COUNTIF(Sheet2!B:B, A685) &gt; 0, "Yes", "No")</f>
        <v>No</v>
      </c>
    </row>
    <row r="686" spans="1:18" x14ac:dyDescent="0.25">
      <c r="A686" s="3">
        <v>45160</v>
      </c>
      <c r="B686" t="s">
        <v>323</v>
      </c>
      <c r="C686" t="s">
        <v>105</v>
      </c>
      <c r="D686" t="s">
        <v>20</v>
      </c>
      <c r="E686" t="s">
        <v>67</v>
      </c>
      <c r="F686" t="s">
        <v>40</v>
      </c>
      <c r="G686" t="s">
        <v>73</v>
      </c>
      <c r="H686" t="s">
        <v>74</v>
      </c>
      <c r="I686">
        <v>0.05</v>
      </c>
      <c r="J686">
        <f t="shared" si="30"/>
        <v>33.5</v>
      </c>
      <c r="K686">
        <v>0</v>
      </c>
      <c r="L686">
        <f t="shared" si="31"/>
        <v>33.5</v>
      </c>
      <c r="M686" s="4">
        <f t="shared" si="32"/>
        <v>4.4666666666666667E-2</v>
      </c>
      <c r="N686">
        <v>750</v>
      </c>
      <c r="O686">
        <v>670</v>
      </c>
      <c r="P686" t="s">
        <v>25</v>
      </c>
      <c r="Q686" t="s">
        <v>26</v>
      </c>
      <c r="R686" t="str">
        <f>IF(COUNTIF(Sheet2!B:B, A686) &gt; 0, "Yes", "No")</f>
        <v>No</v>
      </c>
    </row>
    <row r="687" spans="1:18" x14ac:dyDescent="0.25">
      <c r="A687" s="3">
        <v>45160</v>
      </c>
      <c r="B687" t="s">
        <v>323</v>
      </c>
      <c r="C687" t="s">
        <v>105</v>
      </c>
      <c r="D687" t="s">
        <v>20</v>
      </c>
      <c r="E687" t="s">
        <v>67</v>
      </c>
      <c r="F687" t="s">
        <v>43</v>
      </c>
      <c r="G687" t="s">
        <v>215</v>
      </c>
      <c r="H687" t="s">
        <v>216</v>
      </c>
      <c r="I687">
        <v>0.11</v>
      </c>
      <c r="J687">
        <f t="shared" si="30"/>
        <v>73.7</v>
      </c>
      <c r="K687">
        <v>2</v>
      </c>
      <c r="L687">
        <f t="shared" si="31"/>
        <v>71.7</v>
      </c>
      <c r="M687" s="4">
        <f t="shared" si="32"/>
        <v>9.5600000000000004E-2</v>
      </c>
      <c r="N687">
        <v>750</v>
      </c>
      <c r="O687">
        <v>670</v>
      </c>
      <c r="P687" t="s">
        <v>25</v>
      </c>
      <c r="Q687" t="s">
        <v>26</v>
      </c>
      <c r="R687" t="str">
        <f>IF(COUNTIF(Sheet2!B:B, A687) &gt; 0, "Yes", "No")</f>
        <v>No</v>
      </c>
    </row>
    <row r="688" spans="1:18" x14ac:dyDescent="0.25">
      <c r="A688" s="3">
        <v>45160</v>
      </c>
      <c r="B688" t="s">
        <v>323</v>
      </c>
      <c r="C688" t="s">
        <v>105</v>
      </c>
      <c r="D688" t="s">
        <v>20</v>
      </c>
      <c r="E688" t="s">
        <v>67</v>
      </c>
      <c r="F688" t="s">
        <v>46</v>
      </c>
      <c r="G688" t="s">
        <v>331</v>
      </c>
      <c r="H688" t="s">
        <v>338</v>
      </c>
      <c r="I688">
        <v>8.5000000000000006E-2</v>
      </c>
      <c r="J688">
        <f t="shared" si="30"/>
        <v>56.95</v>
      </c>
      <c r="K688">
        <v>1</v>
      </c>
      <c r="L688">
        <f t="shared" si="31"/>
        <v>55.95</v>
      </c>
      <c r="M688" s="4">
        <f t="shared" si="32"/>
        <v>7.46E-2</v>
      </c>
      <c r="N688">
        <v>750</v>
      </c>
      <c r="O688">
        <v>670</v>
      </c>
      <c r="P688" t="s">
        <v>25</v>
      </c>
      <c r="Q688" t="s">
        <v>26</v>
      </c>
      <c r="R688" t="str">
        <f>IF(COUNTIF(Sheet2!B:B, A688) &gt; 0, "Yes", "No")</f>
        <v>No</v>
      </c>
    </row>
    <row r="689" spans="1:18" x14ac:dyDescent="0.25">
      <c r="A689" s="3">
        <v>45160</v>
      </c>
      <c r="B689" t="s">
        <v>323</v>
      </c>
      <c r="C689" t="s">
        <v>105</v>
      </c>
      <c r="D689" t="s">
        <v>20</v>
      </c>
      <c r="E689" t="s">
        <v>67</v>
      </c>
      <c r="F689" t="s">
        <v>49</v>
      </c>
      <c r="G689" t="s">
        <v>50</v>
      </c>
      <c r="H689" t="s">
        <v>49</v>
      </c>
      <c r="I689">
        <v>0.09</v>
      </c>
      <c r="J689">
        <f t="shared" si="30"/>
        <v>60.3</v>
      </c>
      <c r="K689">
        <v>0.5</v>
      </c>
      <c r="L689">
        <f t="shared" si="31"/>
        <v>59.8</v>
      </c>
      <c r="M689" s="4">
        <f t="shared" si="32"/>
        <v>7.9733333333333323E-2</v>
      </c>
      <c r="N689">
        <v>750</v>
      </c>
      <c r="O689">
        <v>670</v>
      </c>
      <c r="P689" t="s">
        <v>25</v>
      </c>
      <c r="Q689" t="s">
        <v>26</v>
      </c>
      <c r="R689" t="str">
        <f>IF(COUNTIF(Sheet2!B:B, A689) &gt; 0, "Yes", "No")</f>
        <v>No</v>
      </c>
    </row>
    <row r="690" spans="1:18" x14ac:dyDescent="0.25">
      <c r="A690" s="3">
        <v>45162</v>
      </c>
      <c r="B690" t="s">
        <v>323</v>
      </c>
      <c r="C690" t="s">
        <v>66</v>
      </c>
      <c r="D690" t="s">
        <v>20</v>
      </c>
      <c r="E690" t="s">
        <v>67</v>
      </c>
      <c r="F690" t="s">
        <v>22</v>
      </c>
      <c r="G690" t="s">
        <v>52</v>
      </c>
      <c r="H690" t="s">
        <v>148</v>
      </c>
      <c r="I690">
        <v>8.5000000000000006E-2</v>
      </c>
      <c r="J690">
        <f t="shared" si="30"/>
        <v>57.800000000000004</v>
      </c>
      <c r="K690">
        <v>2</v>
      </c>
      <c r="L690">
        <f t="shared" si="31"/>
        <v>55.800000000000004</v>
      </c>
      <c r="M690" s="4">
        <f t="shared" si="32"/>
        <v>7.4400000000000008E-2</v>
      </c>
      <c r="N690">
        <v>750</v>
      </c>
      <c r="O690">
        <v>680</v>
      </c>
      <c r="P690" t="s">
        <v>25</v>
      </c>
      <c r="Q690" t="s">
        <v>26</v>
      </c>
      <c r="R690" t="str">
        <f>IF(COUNTIF(Sheet2!B:B, A690) &gt; 0, "Yes", "No")</f>
        <v>No</v>
      </c>
    </row>
    <row r="691" spans="1:18" x14ac:dyDescent="0.25">
      <c r="A691" s="3">
        <v>45162</v>
      </c>
      <c r="B691" t="s">
        <v>323</v>
      </c>
      <c r="C691" t="s">
        <v>66</v>
      </c>
      <c r="D691" t="s">
        <v>20</v>
      </c>
      <c r="E691" t="s">
        <v>67</v>
      </c>
      <c r="F691" t="s">
        <v>27</v>
      </c>
      <c r="G691" t="s">
        <v>28</v>
      </c>
      <c r="H691" t="s">
        <v>279</v>
      </c>
      <c r="I691">
        <v>0.11</v>
      </c>
      <c r="J691">
        <f t="shared" si="30"/>
        <v>74.8</v>
      </c>
      <c r="K691">
        <v>9</v>
      </c>
      <c r="L691">
        <f t="shared" si="31"/>
        <v>65.8</v>
      </c>
      <c r="M691" s="4">
        <f t="shared" si="32"/>
        <v>8.773333333333333E-2</v>
      </c>
      <c r="N691">
        <v>750</v>
      </c>
      <c r="O691">
        <v>680</v>
      </c>
      <c r="P691" t="s">
        <v>25</v>
      </c>
      <c r="Q691" t="s">
        <v>26</v>
      </c>
      <c r="R691" t="str">
        <f>IF(COUNTIF(Sheet2!B:B, A691) &gt; 0, "Yes", "No")</f>
        <v>No</v>
      </c>
    </row>
    <row r="692" spans="1:18" x14ac:dyDescent="0.25">
      <c r="A692" s="3">
        <v>45162</v>
      </c>
      <c r="B692" t="s">
        <v>323</v>
      </c>
      <c r="C692" t="s">
        <v>66</v>
      </c>
      <c r="D692" t="s">
        <v>20</v>
      </c>
      <c r="E692" t="s">
        <v>67</v>
      </c>
      <c r="F692" t="s">
        <v>30</v>
      </c>
      <c r="G692" t="s">
        <v>55</v>
      </c>
      <c r="H692" t="s">
        <v>134</v>
      </c>
      <c r="I692">
        <v>0.09</v>
      </c>
      <c r="J692">
        <f t="shared" si="30"/>
        <v>61.199999999999996</v>
      </c>
      <c r="K692">
        <v>1</v>
      </c>
      <c r="L692">
        <f t="shared" si="31"/>
        <v>60.199999999999996</v>
      </c>
      <c r="M692" s="4">
        <f t="shared" si="32"/>
        <v>8.0266666666666667E-2</v>
      </c>
      <c r="N692">
        <v>750</v>
      </c>
      <c r="O692">
        <v>680</v>
      </c>
      <c r="P692" t="s">
        <v>25</v>
      </c>
      <c r="Q692" t="s">
        <v>26</v>
      </c>
      <c r="R692" t="str">
        <f>IF(COUNTIF(Sheet2!B:B, A692) &gt; 0, "Yes", "No")</f>
        <v>No</v>
      </c>
    </row>
    <row r="693" spans="1:18" x14ac:dyDescent="0.25">
      <c r="A693" s="3">
        <v>45162</v>
      </c>
      <c r="B693" t="s">
        <v>323</v>
      </c>
      <c r="C693" t="s">
        <v>66</v>
      </c>
      <c r="D693" t="s">
        <v>20</v>
      </c>
      <c r="E693" t="s">
        <v>67</v>
      </c>
      <c r="F693" t="s">
        <v>37</v>
      </c>
      <c r="G693" t="s">
        <v>108</v>
      </c>
      <c r="H693" t="s">
        <v>126</v>
      </c>
      <c r="I693">
        <v>3.5000000000000003E-2</v>
      </c>
      <c r="J693">
        <f t="shared" si="30"/>
        <v>23.8</v>
      </c>
      <c r="K693">
        <v>1</v>
      </c>
      <c r="L693">
        <f t="shared" si="31"/>
        <v>22.8</v>
      </c>
      <c r="M693" s="4">
        <f t="shared" si="32"/>
        <v>3.04E-2</v>
      </c>
      <c r="N693">
        <v>750</v>
      </c>
      <c r="O693">
        <v>680</v>
      </c>
      <c r="P693" t="s">
        <v>25</v>
      </c>
      <c r="Q693" t="s">
        <v>26</v>
      </c>
      <c r="R693" t="str">
        <f>IF(COUNTIF(Sheet2!B:B, A693) &gt; 0, "Yes", "No")</f>
        <v>No</v>
      </c>
    </row>
    <row r="694" spans="1:18" x14ac:dyDescent="0.25">
      <c r="A694" s="3">
        <v>45162</v>
      </c>
      <c r="B694" t="s">
        <v>323</v>
      </c>
      <c r="C694" t="s">
        <v>66</v>
      </c>
      <c r="D694" t="s">
        <v>20</v>
      </c>
      <c r="E694" t="s">
        <v>67</v>
      </c>
      <c r="F694" t="s">
        <v>40</v>
      </c>
      <c r="G694" t="s">
        <v>61</v>
      </c>
      <c r="H694" t="s">
        <v>62</v>
      </c>
      <c r="I694">
        <v>0.05</v>
      </c>
      <c r="J694">
        <f t="shared" si="30"/>
        <v>34</v>
      </c>
      <c r="K694">
        <v>1</v>
      </c>
      <c r="L694">
        <f t="shared" si="31"/>
        <v>33</v>
      </c>
      <c r="M694" s="4">
        <f t="shared" si="32"/>
        <v>4.3999999999999997E-2</v>
      </c>
      <c r="N694">
        <v>750</v>
      </c>
      <c r="O694">
        <v>680</v>
      </c>
      <c r="P694" t="s">
        <v>25</v>
      </c>
      <c r="Q694" t="s">
        <v>26</v>
      </c>
      <c r="R694" t="str">
        <f>IF(COUNTIF(Sheet2!B:B, A694) &gt; 0, "Yes", "No")</f>
        <v>No</v>
      </c>
    </row>
    <row r="695" spans="1:18" x14ac:dyDescent="0.25">
      <c r="A695" s="3">
        <v>45162</v>
      </c>
      <c r="B695" t="s">
        <v>323</v>
      </c>
      <c r="C695" t="s">
        <v>66</v>
      </c>
      <c r="D695" t="s">
        <v>20</v>
      </c>
      <c r="E695" t="s">
        <v>67</v>
      </c>
      <c r="F695" t="s">
        <v>43</v>
      </c>
      <c r="G695" t="s">
        <v>75</v>
      </c>
      <c r="H695" t="s">
        <v>75</v>
      </c>
      <c r="I695">
        <v>0.11</v>
      </c>
      <c r="J695">
        <f t="shared" si="30"/>
        <v>74.8</v>
      </c>
      <c r="K695">
        <v>2</v>
      </c>
      <c r="L695">
        <f t="shared" si="31"/>
        <v>72.8</v>
      </c>
      <c r="M695" s="4">
        <f t="shared" si="32"/>
        <v>9.7066666666666662E-2</v>
      </c>
      <c r="N695">
        <v>750</v>
      </c>
      <c r="O695">
        <v>680</v>
      </c>
      <c r="P695" t="s">
        <v>25</v>
      </c>
      <c r="Q695" t="s">
        <v>26</v>
      </c>
      <c r="R695" t="str">
        <f>IF(COUNTIF(Sheet2!B:B, A695) &gt; 0, "Yes", "No")</f>
        <v>No</v>
      </c>
    </row>
    <row r="696" spans="1:18" x14ac:dyDescent="0.25">
      <c r="A696" s="3">
        <v>45162</v>
      </c>
      <c r="B696" t="s">
        <v>323</v>
      </c>
      <c r="C696" t="s">
        <v>66</v>
      </c>
      <c r="D696" t="s">
        <v>20</v>
      </c>
      <c r="E696" t="s">
        <v>67</v>
      </c>
      <c r="F696" t="s">
        <v>46</v>
      </c>
      <c r="G696" t="s">
        <v>130</v>
      </c>
      <c r="H696" t="s">
        <v>131</v>
      </c>
      <c r="I696">
        <v>8.5000000000000006E-2</v>
      </c>
      <c r="J696">
        <f t="shared" si="30"/>
        <v>57.800000000000004</v>
      </c>
      <c r="K696">
        <v>3</v>
      </c>
      <c r="L696">
        <f t="shared" si="31"/>
        <v>54.800000000000004</v>
      </c>
      <c r="M696" s="4">
        <f t="shared" si="32"/>
        <v>7.3066666666666669E-2</v>
      </c>
      <c r="N696">
        <v>750</v>
      </c>
      <c r="O696">
        <v>680</v>
      </c>
      <c r="P696" t="s">
        <v>25</v>
      </c>
      <c r="Q696" t="s">
        <v>26</v>
      </c>
      <c r="R696" t="str">
        <f>IF(COUNTIF(Sheet2!B:B, A696) &gt; 0, "Yes", "No")</f>
        <v>No</v>
      </c>
    </row>
    <row r="697" spans="1:18" x14ac:dyDescent="0.25">
      <c r="A697" s="3">
        <v>45162</v>
      </c>
      <c r="B697" t="s">
        <v>323</v>
      </c>
      <c r="C697" t="s">
        <v>66</v>
      </c>
      <c r="D697" t="s">
        <v>20</v>
      </c>
      <c r="E697" t="s">
        <v>67</v>
      </c>
      <c r="F697" t="s">
        <v>49</v>
      </c>
      <c r="G697" t="s">
        <v>50</v>
      </c>
      <c r="H697" t="s">
        <v>49</v>
      </c>
      <c r="I697">
        <v>0.09</v>
      </c>
      <c r="J697">
        <f t="shared" si="30"/>
        <v>61.199999999999996</v>
      </c>
      <c r="K697">
        <v>2</v>
      </c>
      <c r="L697">
        <f t="shared" si="31"/>
        <v>59.199999999999996</v>
      </c>
      <c r="M697" s="4">
        <f t="shared" si="32"/>
        <v>7.8933333333333328E-2</v>
      </c>
      <c r="N697">
        <v>750</v>
      </c>
      <c r="O697">
        <v>680</v>
      </c>
      <c r="P697" t="s">
        <v>25</v>
      </c>
      <c r="Q697" t="s">
        <v>26</v>
      </c>
      <c r="R697" t="str">
        <f>IF(COUNTIF(Sheet2!B:B, A697) &gt; 0, "Yes", "No")</f>
        <v>No</v>
      </c>
    </row>
    <row r="698" spans="1:18" x14ac:dyDescent="0.25">
      <c r="A698" s="3">
        <v>45163</v>
      </c>
      <c r="B698" t="s">
        <v>323</v>
      </c>
      <c r="C698" t="s">
        <v>79</v>
      </c>
      <c r="D698" t="s">
        <v>20</v>
      </c>
      <c r="E698" t="s">
        <v>21</v>
      </c>
      <c r="F698" t="s">
        <v>22</v>
      </c>
      <c r="G698" t="s">
        <v>23</v>
      </c>
      <c r="H698" t="s">
        <v>196</v>
      </c>
      <c r="I698" s="5">
        <v>0.06</v>
      </c>
      <c r="J698">
        <f t="shared" si="30"/>
        <v>34.799999999999997</v>
      </c>
      <c r="K698">
        <v>4</v>
      </c>
      <c r="L698">
        <f t="shared" si="31"/>
        <v>30.799999999999997</v>
      </c>
      <c r="M698" s="4">
        <f t="shared" si="32"/>
        <v>4.7384615384615379E-2</v>
      </c>
      <c r="N698">
        <v>650</v>
      </c>
      <c r="O698">
        <v>580</v>
      </c>
      <c r="P698" t="s">
        <v>25</v>
      </c>
      <c r="Q698" t="s">
        <v>26</v>
      </c>
      <c r="R698" t="str">
        <f>IF(COUNTIF(Sheet2!B:B, A698) &gt; 0, "Yes", "No")</f>
        <v>Yes</v>
      </c>
    </row>
    <row r="699" spans="1:18" x14ac:dyDescent="0.25">
      <c r="A699" s="3">
        <v>45163</v>
      </c>
      <c r="B699" t="s">
        <v>323</v>
      </c>
      <c r="C699" t="s">
        <v>79</v>
      </c>
      <c r="D699" t="s">
        <v>20</v>
      </c>
      <c r="E699" t="s">
        <v>21</v>
      </c>
      <c r="F699" t="s">
        <v>27</v>
      </c>
      <c r="G699" t="s">
        <v>81</v>
      </c>
      <c r="H699" t="s">
        <v>219</v>
      </c>
      <c r="I699" s="5">
        <v>0.1</v>
      </c>
      <c r="J699">
        <f t="shared" si="30"/>
        <v>58</v>
      </c>
      <c r="K699">
        <v>8</v>
      </c>
      <c r="L699">
        <f t="shared" si="31"/>
        <v>50</v>
      </c>
      <c r="M699" s="4">
        <f t="shared" si="32"/>
        <v>7.6923076923076927E-2</v>
      </c>
      <c r="N699">
        <v>650</v>
      </c>
      <c r="O699">
        <v>580</v>
      </c>
      <c r="P699" t="s">
        <v>25</v>
      </c>
      <c r="Q699" t="s">
        <v>26</v>
      </c>
      <c r="R699" t="str">
        <f>IF(COUNTIF(Sheet2!B:B, A699) &gt; 0, "Yes", "No")</f>
        <v>Yes</v>
      </c>
    </row>
    <row r="700" spans="1:18" x14ac:dyDescent="0.25">
      <c r="A700" s="3">
        <v>45163</v>
      </c>
      <c r="B700" t="s">
        <v>323</v>
      </c>
      <c r="C700" t="s">
        <v>79</v>
      </c>
      <c r="D700" t="s">
        <v>20</v>
      </c>
      <c r="E700" t="s">
        <v>21</v>
      </c>
      <c r="F700" t="s">
        <v>30</v>
      </c>
      <c r="G700" t="s">
        <v>31</v>
      </c>
      <c r="H700" t="s">
        <v>31</v>
      </c>
      <c r="I700" s="5">
        <v>0.06</v>
      </c>
      <c r="J700">
        <f t="shared" si="30"/>
        <v>34.799999999999997</v>
      </c>
      <c r="K700">
        <v>2</v>
      </c>
      <c r="L700">
        <f t="shared" si="31"/>
        <v>32.799999999999997</v>
      </c>
      <c r="M700" s="4">
        <f t="shared" si="32"/>
        <v>5.046153846153846E-2</v>
      </c>
      <c r="N700">
        <v>650</v>
      </c>
      <c r="O700">
        <v>580</v>
      </c>
      <c r="P700" t="s">
        <v>25</v>
      </c>
      <c r="Q700" t="s">
        <v>26</v>
      </c>
      <c r="R700" t="str">
        <f>IF(COUNTIF(Sheet2!B:B, A700) &gt; 0, "Yes", "No")</f>
        <v>Yes</v>
      </c>
    </row>
    <row r="701" spans="1:18" x14ac:dyDescent="0.25">
      <c r="A701" s="3">
        <v>45163</v>
      </c>
      <c r="B701" t="s">
        <v>323</v>
      </c>
      <c r="C701" t="s">
        <v>79</v>
      </c>
      <c r="D701" t="s">
        <v>33</v>
      </c>
      <c r="E701" t="s">
        <v>21</v>
      </c>
      <c r="F701" t="s">
        <v>84</v>
      </c>
      <c r="G701" t="s">
        <v>177</v>
      </c>
      <c r="H701" t="s">
        <v>220</v>
      </c>
      <c r="I701" s="5">
        <v>0.3</v>
      </c>
      <c r="J701">
        <f t="shared" si="30"/>
        <v>104.39999999999999</v>
      </c>
      <c r="K701">
        <v>0</v>
      </c>
      <c r="L701">
        <f t="shared" si="31"/>
        <v>104.39999999999999</v>
      </c>
      <c r="M701" s="4">
        <f t="shared" si="32"/>
        <v>0.26769230769230767</v>
      </c>
      <c r="N701">
        <v>390</v>
      </c>
      <c r="O701">
        <v>348</v>
      </c>
      <c r="P701" t="s">
        <v>25</v>
      </c>
      <c r="Q701" t="s">
        <v>26</v>
      </c>
      <c r="R701" t="str">
        <f>IF(COUNTIF(Sheet2!B:B, A701) &gt; 0, "Yes", "No")</f>
        <v>Yes</v>
      </c>
    </row>
    <row r="702" spans="1:18" x14ac:dyDescent="0.25">
      <c r="A702" s="3">
        <v>45163</v>
      </c>
      <c r="B702" t="s">
        <v>323</v>
      </c>
      <c r="C702" t="s">
        <v>79</v>
      </c>
      <c r="D702" t="s">
        <v>20</v>
      </c>
      <c r="E702" t="s">
        <v>21</v>
      </c>
      <c r="F702" t="s">
        <v>37</v>
      </c>
      <c r="G702" t="s">
        <v>87</v>
      </c>
      <c r="H702" t="s">
        <v>88</v>
      </c>
      <c r="I702" s="5">
        <v>2.5000000000000001E-2</v>
      </c>
      <c r="J702">
        <f t="shared" si="30"/>
        <v>14.5</v>
      </c>
      <c r="K702">
        <v>1</v>
      </c>
      <c r="L702">
        <f t="shared" si="31"/>
        <v>13.5</v>
      </c>
      <c r="M702" s="4">
        <f t="shared" si="32"/>
        <v>2.0769230769230769E-2</v>
      </c>
      <c r="N702">
        <v>650</v>
      </c>
      <c r="O702">
        <v>580</v>
      </c>
      <c r="P702" t="s">
        <v>25</v>
      </c>
      <c r="Q702" t="s">
        <v>26</v>
      </c>
      <c r="R702" t="str">
        <f>IF(COUNTIF(Sheet2!B:B, A702) &gt; 0, "Yes", "No")</f>
        <v>Yes</v>
      </c>
    </row>
    <row r="703" spans="1:18" x14ac:dyDescent="0.25">
      <c r="A703" s="3">
        <v>45163</v>
      </c>
      <c r="B703" t="s">
        <v>323</v>
      </c>
      <c r="C703" t="s">
        <v>79</v>
      </c>
      <c r="D703" t="s">
        <v>20</v>
      </c>
      <c r="E703" t="s">
        <v>21</v>
      </c>
      <c r="F703" t="s">
        <v>40</v>
      </c>
      <c r="G703" t="s">
        <v>41</v>
      </c>
      <c r="H703" t="s">
        <v>42</v>
      </c>
      <c r="I703" s="5">
        <v>0.04</v>
      </c>
      <c r="J703">
        <f t="shared" si="30"/>
        <v>23.2</v>
      </c>
      <c r="K703">
        <v>2</v>
      </c>
      <c r="L703">
        <f t="shared" si="31"/>
        <v>21.2</v>
      </c>
      <c r="M703" s="4">
        <f t="shared" si="32"/>
        <v>3.2615384615384616E-2</v>
      </c>
      <c r="N703">
        <v>650</v>
      </c>
      <c r="O703">
        <v>580</v>
      </c>
      <c r="P703" t="s">
        <v>25</v>
      </c>
      <c r="Q703" t="s">
        <v>26</v>
      </c>
      <c r="R703" t="str">
        <f>IF(COUNTIF(Sheet2!B:B, A703) &gt; 0, "Yes", "No")</f>
        <v>Yes</v>
      </c>
    </row>
    <row r="704" spans="1:18" x14ac:dyDescent="0.25">
      <c r="A704" s="3">
        <v>45163</v>
      </c>
      <c r="B704" t="s">
        <v>323</v>
      </c>
      <c r="C704" t="s">
        <v>79</v>
      </c>
      <c r="D704" t="s">
        <v>20</v>
      </c>
      <c r="E704" t="s">
        <v>21</v>
      </c>
      <c r="F704" t="s">
        <v>43</v>
      </c>
      <c r="G704" t="s">
        <v>90</v>
      </c>
      <c r="H704" t="s">
        <v>339</v>
      </c>
      <c r="I704" s="5">
        <v>7.4999999999999997E-2</v>
      </c>
      <c r="J704">
        <f t="shared" si="30"/>
        <v>43.5</v>
      </c>
      <c r="K704">
        <v>8</v>
      </c>
      <c r="L704">
        <f t="shared" si="31"/>
        <v>35.5</v>
      </c>
      <c r="M704" s="4">
        <f t="shared" si="32"/>
        <v>5.4615384615384614E-2</v>
      </c>
      <c r="N704">
        <v>650</v>
      </c>
      <c r="O704">
        <v>580</v>
      </c>
      <c r="P704" t="s">
        <v>25</v>
      </c>
      <c r="Q704" t="s">
        <v>26</v>
      </c>
      <c r="R704" t="str">
        <f>IF(COUNTIF(Sheet2!B:B, A704) &gt; 0, "Yes", "No")</f>
        <v>Yes</v>
      </c>
    </row>
    <row r="705" spans="1:18" x14ac:dyDescent="0.25">
      <c r="A705" s="3">
        <v>45163</v>
      </c>
      <c r="B705" t="s">
        <v>323</v>
      </c>
      <c r="C705" t="s">
        <v>79</v>
      </c>
      <c r="D705" t="s">
        <v>20</v>
      </c>
      <c r="E705" t="s">
        <v>21</v>
      </c>
      <c r="F705" t="s">
        <v>46</v>
      </c>
      <c r="G705" t="s">
        <v>47</v>
      </c>
      <c r="H705" t="s">
        <v>154</v>
      </c>
      <c r="I705" s="5">
        <v>0.06</v>
      </c>
      <c r="J705">
        <f t="shared" si="30"/>
        <v>34.799999999999997</v>
      </c>
      <c r="K705">
        <v>6</v>
      </c>
      <c r="L705">
        <f t="shared" si="31"/>
        <v>28.799999999999997</v>
      </c>
      <c r="M705" s="4">
        <f t="shared" si="32"/>
        <v>4.4307692307692305E-2</v>
      </c>
      <c r="N705">
        <v>650</v>
      </c>
      <c r="O705">
        <v>580</v>
      </c>
      <c r="P705" t="s">
        <v>25</v>
      </c>
      <c r="Q705" t="s">
        <v>26</v>
      </c>
      <c r="R705" t="str">
        <f>IF(COUNTIF(Sheet2!B:B, A705) &gt; 0, "Yes", "No")</f>
        <v>Yes</v>
      </c>
    </row>
    <row r="706" spans="1:18" x14ac:dyDescent="0.25">
      <c r="A706" s="3">
        <v>45163</v>
      </c>
      <c r="B706" t="s">
        <v>323</v>
      </c>
      <c r="C706" t="s">
        <v>79</v>
      </c>
      <c r="D706" t="s">
        <v>20</v>
      </c>
      <c r="E706" t="s">
        <v>21</v>
      </c>
      <c r="F706" t="s">
        <v>49</v>
      </c>
      <c r="G706" t="s">
        <v>50</v>
      </c>
      <c r="H706" t="s">
        <v>49</v>
      </c>
      <c r="I706" s="5">
        <v>0.04</v>
      </c>
      <c r="J706">
        <f t="shared" si="30"/>
        <v>23.2</v>
      </c>
      <c r="K706">
        <v>3</v>
      </c>
      <c r="L706">
        <f t="shared" si="31"/>
        <v>20.2</v>
      </c>
      <c r="M706" s="4">
        <f t="shared" si="32"/>
        <v>3.1076923076923075E-2</v>
      </c>
      <c r="N706">
        <v>650</v>
      </c>
      <c r="O706">
        <v>580</v>
      </c>
      <c r="P706" t="s">
        <v>25</v>
      </c>
      <c r="Q706" t="s">
        <v>26</v>
      </c>
      <c r="R706" t="str">
        <f>IF(COUNTIF(Sheet2!B:B, A706) &gt; 0, "Yes", "No")</f>
        <v>Yes</v>
      </c>
    </row>
    <row r="707" spans="1:18" x14ac:dyDescent="0.25">
      <c r="A707" s="3">
        <v>45166</v>
      </c>
      <c r="B707" t="s">
        <v>323</v>
      </c>
      <c r="C707" t="s">
        <v>19</v>
      </c>
      <c r="D707" t="s">
        <v>20</v>
      </c>
      <c r="E707" t="s">
        <v>21</v>
      </c>
      <c r="F707" t="s">
        <v>22</v>
      </c>
      <c r="G707" t="s">
        <v>94</v>
      </c>
      <c r="H707" t="s">
        <v>168</v>
      </c>
      <c r="I707">
        <v>8.5000000000000006E-2</v>
      </c>
      <c r="J707">
        <f t="shared" ref="J707:J770" si="33">I707*O707</f>
        <v>49.300000000000004</v>
      </c>
      <c r="K707">
        <v>2</v>
      </c>
      <c r="L707">
        <f t="shared" ref="L707:L770" si="34">J707-K707</f>
        <v>47.300000000000004</v>
      </c>
      <c r="M707" s="4">
        <f t="shared" ref="M707:M770" si="35">((I707*O707)-K707)/N707</f>
        <v>8.1551724137931048E-2</v>
      </c>
      <c r="N707">
        <v>580</v>
      </c>
      <c r="O707">
        <v>580</v>
      </c>
      <c r="P707" t="s">
        <v>283</v>
      </c>
      <c r="Q707" t="s">
        <v>320</v>
      </c>
      <c r="R707" t="str">
        <f>IF(COUNTIF(Sheet2!B:B, A707) &gt; 0, "Yes", "No")</f>
        <v>No</v>
      </c>
    </row>
    <row r="708" spans="1:18" x14ac:dyDescent="0.25">
      <c r="A708" s="3">
        <v>45166</v>
      </c>
      <c r="B708" t="s">
        <v>323</v>
      </c>
      <c r="C708" t="s">
        <v>19</v>
      </c>
      <c r="D708" t="s">
        <v>20</v>
      </c>
      <c r="E708" t="s">
        <v>21</v>
      </c>
      <c r="F708" t="s">
        <v>27</v>
      </c>
      <c r="G708" t="s">
        <v>28</v>
      </c>
      <c r="H708" t="s">
        <v>54</v>
      </c>
      <c r="I708">
        <v>0.11</v>
      </c>
      <c r="J708">
        <f t="shared" si="33"/>
        <v>63.8</v>
      </c>
      <c r="K708">
        <v>4</v>
      </c>
      <c r="L708">
        <f t="shared" si="34"/>
        <v>59.8</v>
      </c>
      <c r="M708" s="4">
        <f t="shared" si="35"/>
        <v>0.10310344827586207</v>
      </c>
      <c r="N708">
        <v>580</v>
      </c>
      <c r="O708">
        <v>580</v>
      </c>
      <c r="P708" t="s">
        <v>283</v>
      </c>
      <c r="Q708" t="s">
        <v>320</v>
      </c>
      <c r="R708" t="str">
        <f>IF(COUNTIF(Sheet2!B:B, A708) &gt; 0, "Yes", "No")</f>
        <v>No</v>
      </c>
    </row>
    <row r="709" spans="1:18" x14ac:dyDescent="0.25">
      <c r="A709" s="3">
        <v>45166</v>
      </c>
      <c r="B709" t="s">
        <v>323</v>
      </c>
      <c r="C709" t="s">
        <v>19</v>
      </c>
      <c r="D709" t="s">
        <v>20</v>
      </c>
      <c r="E709" t="s">
        <v>21</v>
      </c>
      <c r="F709" t="s">
        <v>30</v>
      </c>
      <c r="G709" t="s">
        <v>31</v>
      </c>
      <c r="H709" t="s">
        <v>31</v>
      </c>
      <c r="I709">
        <v>0.09</v>
      </c>
      <c r="J709">
        <f t="shared" si="33"/>
        <v>52.199999999999996</v>
      </c>
      <c r="K709">
        <v>0</v>
      </c>
      <c r="L709">
        <f t="shared" si="34"/>
        <v>52.199999999999996</v>
      </c>
      <c r="M709" s="4">
        <f t="shared" si="35"/>
        <v>0.09</v>
      </c>
      <c r="N709">
        <v>580</v>
      </c>
      <c r="O709">
        <v>580</v>
      </c>
      <c r="P709" t="s">
        <v>283</v>
      </c>
      <c r="Q709" t="s">
        <v>320</v>
      </c>
      <c r="R709" t="str">
        <f>IF(COUNTIF(Sheet2!B:B, A709) &gt; 0, "Yes", "No")</f>
        <v>No</v>
      </c>
    </row>
    <row r="710" spans="1:18" x14ac:dyDescent="0.25">
      <c r="A710" s="3">
        <v>45166</v>
      </c>
      <c r="B710" t="s">
        <v>323</v>
      </c>
      <c r="C710" t="s">
        <v>19</v>
      </c>
      <c r="D710" t="s">
        <v>33</v>
      </c>
      <c r="E710" t="s">
        <v>21</v>
      </c>
      <c r="F710" t="s">
        <v>34</v>
      </c>
      <c r="G710" t="s">
        <v>57</v>
      </c>
      <c r="H710" t="s">
        <v>340</v>
      </c>
      <c r="I710">
        <v>0.15</v>
      </c>
      <c r="J710">
        <f t="shared" si="33"/>
        <v>43.5</v>
      </c>
      <c r="K710">
        <v>0</v>
      </c>
      <c r="L710">
        <f t="shared" si="34"/>
        <v>43.5</v>
      </c>
      <c r="M710" s="4">
        <f t="shared" si="35"/>
        <v>0.15</v>
      </c>
      <c r="N710">
        <v>290</v>
      </c>
      <c r="O710">
        <v>290</v>
      </c>
      <c r="P710" t="s">
        <v>283</v>
      </c>
      <c r="Q710" t="s">
        <v>320</v>
      </c>
      <c r="R710" t="str">
        <f>IF(COUNTIF(Sheet2!B:B, A710) &gt; 0, "Yes", "No")</f>
        <v>No</v>
      </c>
    </row>
    <row r="711" spans="1:18" x14ac:dyDescent="0.25">
      <c r="A711" s="3">
        <v>45166</v>
      </c>
      <c r="B711" t="s">
        <v>323</v>
      </c>
      <c r="C711" t="s">
        <v>19</v>
      </c>
      <c r="D711" t="s">
        <v>20</v>
      </c>
      <c r="E711" t="s">
        <v>21</v>
      </c>
      <c r="F711" t="s">
        <v>37</v>
      </c>
      <c r="G711" t="s">
        <v>87</v>
      </c>
      <c r="H711" t="s">
        <v>99</v>
      </c>
      <c r="I711">
        <v>0.03</v>
      </c>
      <c r="J711">
        <f t="shared" si="33"/>
        <v>17.399999999999999</v>
      </c>
      <c r="K711">
        <v>1</v>
      </c>
      <c r="L711">
        <f t="shared" si="34"/>
        <v>16.399999999999999</v>
      </c>
      <c r="M711" s="4">
        <f t="shared" si="35"/>
        <v>2.8275862068965516E-2</v>
      </c>
      <c r="N711">
        <v>580</v>
      </c>
      <c r="O711">
        <v>580</v>
      </c>
      <c r="P711" t="s">
        <v>283</v>
      </c>
      <c r="Q711" t="s">
        <v>320</v>
      </c>
      <c r="R711" t="str">
        <f>IF(COUNTIF(Sheet2!B:B, A711) &gt; 0, "Yes", "No")</f>
        <v>No</v>
      </c>
    </row>
    <row r="712" spans="1:18" x14ac:dyDescent="0.25">
      <c r="A712" s="3">
        <v>45166</v>
      </c>
      <c r="B712" t="s">
        <v>323</v>
      </c>
      <c r="C712" t="s">
        <v>19</v>
      </c>
      <c r="D712" t="s">
        <v>20</v>
      </c>
      <c r="E712" t="s">
        <v>21</v>
      </c>
      <c r="F712" t="s">
        <v>40</v>
      </c>
      <c r="G712" t="s">
        <v>127</v>
      </c>
      <c r="H712" t="s">
        <v>127</v>
      </c>
      <c r="I712">
        <v>4.4999999999999998E-2</v>
      </c>
      <c r="J712">
        <f t="shared" si="33"/>
        <v>26.099999999999998</v>
      </c>
      <c r="K712">
        <v>1</v>
      </c>
      <c r="L712">
        <f t="shared" si="34"/>
        <v>25.099999999999998</v>
      </c>
      <c r="M712" s="4">
        <f t="shared" si="35"/>
        <v>4.3275862068965512E-2</v>
      </c>
      <c r="N712">
        <v>580</v>
      </c>
      <c r="O712">
        <v>580</v>
      </c>
      <c r="P712" t="s">
        <v>283</v>
      </c>
      <c r="Q712" t="s">
        <v>320</v>
      </c>
      <c r="R712" t="str">
        <f>IF(COUNTIF(Sheet2!B:B, A712) &gt; 0, "Yes", "No")</f>
        <v>No</v>
      </c>
    </row>
    <row r="713" spans="1:18" x14ac:dyDescent="0.25">
      <c r="A713" s="3">
        <v>45166</v>
      </c>
      <c r="B713" t="s">
        <v>323</v>
      </c>
      <c r="C713" t="s">
        <v>19</v>
      </c>
      <c r="D713" t="s">
        <v>20</v>
      </c>
      <c r="E713" t="s">
        <v>21</v>
      </c>
      <c r="F713" t="s">
        <v>43</v>
      </c>
      <c r="G713" t="s">
        <v>159</v>
      </c>
      <c r="H713" t="s">
        <v>160</v>
      </c>
      <c r="I713">
        <v>0.11</v>
      </c>
      <c r="J713">
        <f t="shared" si="33"/>
        <v>63.8</v>
      </c>
      <c r="K713">
        <v>0</v>
      </c>
      <c r="L713">
        <f t="shared" si="34"/>
        <v>63.8</v>
      </c>
      <c r="M713" s="4">
        <f t="shared" si="35"/>
        <v>0.11</v>
      </c>
      <c r="N713">
        <v>580</v>
      </c>
      <c r="O713">
        <v>580</v>
      </c>
      <c r="P713" t="s">
        <v>283</v>
      </c>
      <c r="Q713" t="s">
        <v>320</v>
      </c>
      <c r="R713" t="str">
        <f>IF(COUNTIF(Sheet2!B:B, A713) &gt; 0, "Yes", "No")</f>
        <v>No</v>
      </c>
    </row>
    <row r="714" spans="1:18" x14ac:dyDescent="0.25">
      <c r="A714" s="3">
        <v>45166</v>
      </c>
      <c r="B714" t="s">
        <v>323</v>
      </c>
      <c r="C714" t="s">
        <v>19</v>
      </c>
      <c r="D714" t="s">
        <v>20</v>
      </c>
      <c r="E714" t="s">
        <v>21</v>
      </c>
      <c r="F714" t="s">
        <v>46</v>
      </c>
      <c r="G714" t="s">
        <v>92</v>
      </c>
      <c r="H714" t="s">
        <v>259</v>
      </c>
      <c r="I714">
        <v>8.5000000000000006E-2</v>
      </c>
      <c r="J714">
        <f t="shared" si="33"/>
        <v>49.300000000000004</v>
      </c>
      <c r="K714">
        <v>0</v>
      </c>
      <c r="L714">
        <f t="shared" si="34"/>
        <v>49.300000000000004</v>
      </c>
      <c r="M714" s="4">
        <f t="shared" si="35"/>
        <v>8.5000000000000006E-2</v>
      </c>
      <c r="N714">
        <v>580</v>
      </c>
      <c r="O714">
        <v>580</v>
      </c>
      <c r="P714" t="s">
        <v>283</v>
      </c>
      <c r="Q714" t="s">
        <v>320</v>
      </c>
      <c r="R714" t="str">
        <f>IF(COUNTIF(Sheet2!B:B, A714) &gt; 0, "Yes", "No")</f>
        <v>No</v>
      </c>
    </row>
    <row r="715" spans="1:18" x14ac:dyDescent="0.25">
      <c r="A715" s="3">
        <v>45166</v>
      </c>
      <c r="B715" t="s">
        <v>323</v>
      </c>
      <c r="C715" t="s">
        <v>19</v>
      </c>
      <c r="D715" t="s">
        <v>20</v>
      </c>
      <c r="E715" t="s">
        <v>21</v>
      </c>
      <c r="F715" t="s">
        <v>49</v>
      </c>
      <c r="G715" t="s">
        <v>50</v>
      </c>
      <c r="H715" t="s">
        <v>49</v>
      </c>
      <c r="I715">
        <v>0.09</v>
      </c>
      <c r="J715">
        <f t="shared" si="33"/>
        <v>52.199999999999996</v>
      </c>
      <c r="K715">
        <v>0</v>
      </c>
      <c r="L715">
        <f t="shared" si="34"/>
        <v>52.199999999999996</v>
      </c>
      <c r="M715" s="4">
        <f t="shared" si="35"/>
        <v>0.09</v>
      </c>
      <c r="N715">
        <v>580</v>
      </c>
      <c r="O715">
        <v>580</v>
      </c>
      <c r="P715" t="s">
        <v>283</v>
      </c>
      <c r="Q715" t="s">
        <v>320</v>
      </c>
      <c r="R715" t="str">
        <f>IF(COUNTIF(Sheet2!B:B, A715) &gt; 0, "Yes", "No")</f>
        <v>No</v>
      </c>
    </row>
    <row r="716" spans="1:18" x14ac:dyDescent="0.25">
      <c r="A716" s="3">
        <v>45169</v>
      </c>
      <c r="B716" t="s">
        <v>323</v>
      </c>
      <c r="C716" t="s">
        <v>66</v>
      </c>
      <c r="D716" t="s">
        <v>20</v>
      </c>
      <c r="E716" t="s">
        <v>67</v>
      </c>
      <c r="F716" t="s">
        <v>22</v>
      </c>
      <c r="G716" t="s">
        <v>94</v>
      </c>
      <c r="H716" t="s">
        <v>143</v>
      </c>
      <c r="I716">
        <v>8.5000000000000006E-2</v>
      </c>
      <c r="J716">
        <f t="shared" si="33"/>
        <v>46.75</v>
      </c>
      <c r="K716">
        <v>3</v>
      </c>
      <c r="L716">
        <f t="shared" si="34"/>
        <v>43.75</v>
      </c>
      <c r="M716" s="4">
        <f t="shared" si="35"/>
        <v>7.2916666666666671E-2</v>
      </c>
      <c r="N716">
        <v>600</v>
      </c>
      <c r="O716">
        <v>550</v>
      </c>
      <c r="P716" t="s">
        <v>341</v>
      </c>
      <c r="Q716" t="s">
        <v>320</v>
      </c>
      <c r="R716" t="str">
        <f>IF(COUNTIF(Sheet2!B:B, A716) &gt; 0, "Yes", "No")</f>
        <v>No</v>
      </c>
    </row>
    <row r="717" spans="1:18" x14ac:dyDescent="0.25">
      <c r="A717" s="3">
        <v>45169</v>
      </c>
      <c r="B717" t="s">
        <v>323</v>
      </c>
      <c r="C717" t="s">
        <v>66</v>
      </c>
      <c r="D717" t="s">
        <v>20</v>
      </c>
      <c r="E717" t="s">
        <v>67</v>
      </c>
      <c r="F717" t="s">
        <v>27</v>
      </c>
      <c r="G717" t="s">
        <v>28</v>
      </c>
      <c r="H717" t="s">
        <v>229</v>
      </c>
      <c r="I717">
        <v>0.11</v>
      </c>
      <c r="J717">
        <f t="shared" si="33"/>
        <v>60.5</v>
      </c>
      <c r="K717">
        <v>3</v>
      </c>
      <c r="L717">
        <f t="shared" si="34"/>
        <v>57.5</v>
      </c>
      <c r="M717" s="4">
        <f t="shared" si="35"/>
        <v>9.583333333333334E-2</v>
      </c>
      <c r="N717">
        <v>600</v>
      </c>
      <c r="O717">
        <v>550</v>
      </c>
      <c r="P717" t="s">
        <v>341</v>
      </c>
      <c r="Q717" t="s">
        <v>320</v>
      </c>
      <c r="R717" t="str">
        <f>IF(COUNTIF(Sheet2!B:B, A717) &gt; 0, "Yes", "No")</f>
        <v>No</v>
      </c>
    </row>
    <row r="718" spans="1:18" x14ac:dyDescent="0.25">
      <c r="A718" s="3">
        <v>45169</v>
      </c>
      <c r="B718" t="s">
        <v>323</v>
      </c>
      <c r="C718" t="s">
        <v>66</v>
      </c>
      <c r="D718" t="s">
        <v>20</v>
      </c>
      <c r="E718" t="s">
        <v>67</v>
      </c>
      <c r="F718" t="s">
        <v>30</v>
      </c>
      <c r="G718" t="s">
        <v>55</v>
      </c>
      <c r="H718" t="s">
        <v>134</v>
      </c>
      <c r="I718">
        <v>0.09</v>
      </c>
      <c r="J718">
        <f t="shared" si="33"/>
        <v>49.5</v>
      </c>
      <c r="K718">
        <v>2</v>
      </c>
      <c r="L718">
        <f t="shared" si="34"/>
        <v>47.5</v>
      </c>
      <c r="M718" s="4">
        <f t="shared" si="35"/>
        <v>7.9166666666666663E-2</v>
      </c>
      <c r="N718">
        <v>600</v>
      </c>
      <c r="O718">
        <v>550</v>
      </c>
      <c r="P718" t="s">
        <v>341</v>
      </c>
      <c r="Q718" t="s">
        <v>320</v>
      </c>
      <c r="R718" t="str">
        <f>IF(COUNTIF(Sheet2!B:B, A718) &gt; 0, "Yes", "No")</f>
        <v>No</v>
      </c>
    </row>
    <row r="719" spans="1:18" x14ac:dyDescent="0.25">
      <c r="A719" s="3">
        <v>45169</v>
      </c>
      <c r="B719" t="s">
        <v>323</v>
      </c>
      <c r="C719" t="s">
        <v>66</v>
      </c>
      <c r="D719" t="s">
        <v>20</v>
      </c>
      <c r="E719" t="s">
        <v>67</v>
      </c>
      <c r="F719" t="s">
        <v>37</v>
      </c>
      <c r="G719" t="s">
        <v>117</v>
      </c>
      <c r="H719" t="s">
        <v>118</v>
      </c>
      <c r="I719">
        <v>3.5000000000000003E-2</v>
      </c>
      <c r="J719">
        <f t="shared" si="33"/>
        <v>19.250000000000004</v>
      </c>
      <c r="K719">
        <v>0</v>
      </c>
      <c r="L719">
        <f t="shared" si="34"/>
        <v>19.250000000000004</v>
      </c>
      <c r="M719" s="4">
        <f t="shared" si="35"/>
        <v>3.2083333333333339E-2</v>
      </c>
      <c r="N719">
        <v>600</v>
      </c>
      <c r="O719">
        <v>550</v>
      </c>
      <c r="P719" t="s">
        <v>341</v>
      </c>
      <c r="Q719" t="s">
        <v>320</v>
      </c>
      <c r="R719" t="str">
        <f>IF(COUNTIF(Sheet2!B:B, A719) &gt; 0, "Yes", "No")</f>
        <v>No</v>
      </c>
    </row>
    <row r="720" spans="1:18" x14ac:dyDescent="0.25">
      <c r="A720" s="3">
        <v>45169</v>
      </c>
      <c r="B720" t="s">
        <v>323</v>
      </c>
      <c r="C720" t="s">
        <v>66</v>
      </c>
      <c r="D720" t="s">
        <v>20</v>
      </c>
      <c r="E720" t="s">
        <v>67</v>
      </c>
      <c r="F720" t="s">
        <v>40</v>
      </c>
      <c r="G720" t="s">
        <v>73</v>
      </c>
      <c r="H720" t="s">
        <v>74</v>
      </c>
      <c r="I720">
        <v>0.05</v>
      </c>
      <c r="J720">
        <f t="shared" si="33"/>
        <v>27.5</v>
      </c>
      <c r="K720">
        <v>0</v>
      </c>
      <c r="L720">
        <f t="shared" si="34"/>
        <v>27.5</v>
      </c>
      <c r="M720" s="4">
        <f t="shared" si="35"/>
        <v>4.583333333333333E-2</v>
      </c>
      <c r="N720">
        <v>600</v>
      </c>
      <c r="O720">
        <v>550</v>
      </c>
      <c r="P720" t="s">
        <v>341</v>
      </c>
      <c r="Q720" t="s">
        <v>320</v>
      </c>
      <c r="R720" t="str">
        <f>IF(COUNTIF(Sheet2!B:B, A720) &gt; 0, "Yes", "No")</f>
        <v>No</v>
      </c>
    </row>
    <row r="721" spans="1:18" x14ac:dyDescent="0.25">
      <c r="A721" s="3">
        <v>45169</v>
      </c>
      <c r="B721" t="s">
        <v>323</v>
      </c>
      <c r="C721" t="s">
        <v>66</v>
      </c>
      <c r="D721" t="s">
        <v>20</v>
      </c>
      <c r="E721" t="s">
        <v>67</v>
      </c>
      <c r="F721" t="s">
        <v>43</v>
      </c>
      <c r="G721" t="s">
        <v>111</v>
      </c>
      <c r="H721" t="s">
        <v>325</v>
      </c>
      <c r="I721">
        <v>0.11</v>
      </c>
      <c r="J721">
        <f t="shared" si="33"/>
        <v>60.5</v>
      </c>
      <c r="K721">
        <v>2</v>
      </c>
      <c r="L721">
        <f t="shared" si="34"/>
        <v>58.5</v>
      </c>
      <c r="M721" s="4">
        <f t="shared" si="35"/>
        <v>9.7500000000000003E-2</v>
      </c>
      <c r="N721">
        <v>600</v>
      </c>
      <c r="O721">
        <v>550</v>
      </c>
      <c r="P721" t="s">
        <v>341</v>
      </c>
      <c r="Q721" t="s">
        <v>320</v>
      </c>
      <c r="R721" t="str">
        <f>IF(COUNTIF(Sheet2!B:B, A721) &gt; 0, "Yes", "No")</f>
        <v>No</v>
      </c>
    </row>
    <row r="722" spans="1:18" x14ac:dyDescent="0.25">
      <c r="A722" s="3">
        <v>45169</v>
      </c>
      <c r="B722" t="s">
        <v>323</v>
      </c>
      <c r="C722" t="s">
        <v>66</v>
      </c>
      <c r="D722" t="s">
        <v>20</v>
      </c>
      <c r="E722" t="s">
        <v>67</v>
      </c>
      <c r="F722" t="s">
        <v>46</v>
      </c>
      <c r="G722" t="s">
        <v>47</v>
      </c>
      <c r="H722" t="s">
        <v>312</v>
      </c>
      <c r="I722">
        <v>8.5000000000000006E-2</v>
      </c>
      <c r="J722">
        <f t="shared" si="33"/>
        <v>46.75</v>
      </c>
      <c r="K722">
        <v>5</v>
      </c>
      <c r="L722">
        <f t="shared" si="34"/>
        <v>41.75</v>
      </c>
      <c r="M722" s="4">
        <f t="shared" si="35"/>
        <v>6.958333333333333E-2</v>
      </c>
      <c r="N722">
        <v>600</v>
      </c>
      <c r="O722">
        <v>550</v>
      </c>
      <c r="P722" t="s">
        <v>341</v>
      </c>
      <c r="Q722" t="s">
        <v>320</v>
      </c>
      <c r="R722" t="str">
        <f>IF(COUNTIF(Sheet2!B:B, A722) &gt; 0, "Yes", "No")</f>
        <v>No</v>
      </c>
    </row>
    <row r="723" spans="1:18" x14ac:dyDescent="0.25">
      <c r="A723" s="3">
        <v>45169</v>
      </c>
      <c r="B723" t="s">
        <v>323</v>
      </c>
      <c r="C723" t="s">
        <v>66</v>
      </c>
      <c r="D723" t="s">
        <v>20</v>
      </c>
      <c r="E723" t="s">
        <v>67</v>
      </c>
      <c r="F723" t="s">
        <v>49</v>
      </c>
      <c r="G723" t="s">
        <v>50</v>
      </c>
      <c r="H723" t="s">
        <v>49</v>
      </c>
      <c r="I723">
        <v>0.09</v>
      </c>
      <c r="J723">
        <f t="shared" si="33"/>
        <v>49.5</v>
      </c>
      <c r="K723">
        <v>3</v>
      </c>
      <c r="L723">
        <f t="shared" si="34"/>
        <v>46.5</v>
      </c>
      <c r="M723" s="4">
        <f t="shared" si="35"/>
        <v>7.7499999999999999E-2</v>
      </c>
      <c r="N723">
        <v>600</v>
      </c>
      <c r="O723">
        <v>550</v>
      </c>
      <c r="P723" t="s">
        <v>341</v>
      </c>
      <c r="Q723" t="s">
        <v>320</v>
      </c>
      <c r="R723" t="str">
        <f>IF(COUNTIF(Sheet2!B:B, A723) &gt; 0, "Yes", "No")</f>
        <v>No</v>
      </c>
    </row>
    <row r="724" spans="1:18" x14ac:dyDescent="0.25">
      <c r="A724" s="3">
        <v>45170</v>
      </c>
      <c r="B724" t="s">
        <v>342</v>
      </c>
      <c r="C724" t="s">
        <v>79</v>
      </c>
      <c r="D724" t="s">
        <v>20</v>
      </c>
      <c r="E724" t="s">
        <v>21</v>
      </c>
      <c r="F724" t="s">
        <v>22</v>
      </c>
      <c r="G724" t="s">
        <v>94</v>
      </c>
      <c r="H724" t="s">
        <v>199</v>
      </c>
      <c r="I724" s="5">
        <v>0.06</v>
      </c>
      <c r="J724">
        <f t="shared" si="33"/>
        <v>25.8</v>
      </c>
      <c r="K724">
        <v>5</v>
      </c>
      <c r="L724">
        <f t="shared" si="34"/>
        <v>20.8</v>
      </c>
      <c r="M724" s="4">
        <f t="shared" si="35"/>
        <v>4.1599999999999998E-2</v>
      </c>
      <c r="N724">
        <v>500</v>
      </c>
      <c r="O724">
        <v>430</v>
      </c>
      <c r="P724" t="s">
        <v>322</v>
      </c>
      <c r="Q724" t="s">
        <v>320</v>
      </c>
      <c r="R724" t="str">
        <f>IF(COUNTIF(Sheet2!B:B, A724) &gt; 0, "Yes", "No")</f>
        <v>Yes</v>
      </c>
    </row>
    <row r="725" spans="1:18" x14ac:dyDescent="0.25">
      <c r="A725" s="3">
        <v>45170</v>
      </c>
      <c r="B725" t="s">
        <v>342</v>
      </c>
      <c r="C725" t="s">
        <v>79</v>
      </c>
      <c r="D725" t="s">
        <v>20</v>
      </c>
      <c r="E725" t="s">
        <v>21</v>
      </c>
      <c r="F725" t="s">
        <v>27</v>
      </c>
      <c r="G725" t="s">
        <v>81</v>
      </c>
      <c r="H725" t="s">
        <v>219</v>
      </c>
      <c r="I725" s="5">
        <v>0.1</v>
      </c>
      <c r="J725">
        <f t="shared" si="33"/>
        <v>43</v>
      </c>
      <c r="K725">
        <v>4</v>
      </c>
      <c r="L725">
        <f t="shared" si="34"/>
        <v>39</v>
      </c>
      <c r="M725" s="4">
        <f t="shared" si="35"/>
        <v>7.8E-2</v>
      </c>
      <c r="N725">
        <v>500</v>
      </c>
      <c r="O725">
        <v>430</v>
      </c>
      <c r="P725" t="s">
        <v>322</v>
      </c>
      <c r="Q725" t="s">
        <v>320</v>
      </c>
      <c r="R725" t="str">
        <f>IF(COUNTIF(Sheet2!B:B, A725) &gt; 0, "Yes", "No")</f>
        <v>Yes</v>
      </c>
    </row>
    <row r="726" spans="1:18" x14ac:dyDescent="0.25">
      <c r="A726" s="3">
        <v>45170</v>
      </c>
      <c r="B726" t="s">
        <v>342</v>
      </c>
      <c r="C726" t="s">
        <v>79</v>
      </c>
      <c r="D726" t="s">
        <v>20</v>
      </c>
      <c r="E726" t="s">
        <v>21</v>
      </c>
      <c r="F726" t="s">
        <v>30</v>
      </c>
      <c r="G726" t="s">
        <v>31</v>
      </c>
      <c r="H726" t="s">
        <v>70</v>
      </c>
      <c r="I726" s="5">
        <v>0.06</v>
      </c>
      <c r="J726">
        <f t="shared" si="33"/>
        <v>25.8</v>
      </c>
      <c r="K726">
        <v>2</v>
      </c>
      <c r="L726">
        <f t="shared" si="34"/>
        <v>23.8</v>
      </c>
      <c r="M726" s="4">
        <f t="shared" si="35"/>
        <v>4.7600000000000003E-2</v>
      </c>
      <c r="N726">
        <v>500</v>
      </c>
      <c r="O726">
        <v>430</v>
      </c>
      <c r="P726" t="s">
        <v>322</v>
      </c>
      <c r="Q726" t="s">
        <v>320</v>
      </c>
      <c r="R726" t="str">
        <f>IF(COUNTIF(Sheet2!B:B, A726) &gt; 0, "Yes", "No")</f>
        <v>Yes</v>
      </c>
    </row>
    <row r="727" spans="1:18" x14ac:dyDescent="0.25">
      <c r="A727" s="3">
        <v>45170</v>
      </c>
      <c r="B727" t="s">
        <v>342</v>
      </c>
      <c r="C727" t="s">
        <v>79</v>
      </c>
      <c r="D727" t="s">
        <v>33</v>
      </c>
      <c r="E727" t="s">
        <v>21</v>
      </c>
      <c r="F727" t="s">
        <v>84</v>
      </c>
      <c r="G727" t="s">
        <v>85</v>
      </c>
      <c r="H727" t="s">
        <v>135</v>
      </c>
      <c r="I727" s="5">
        <v>0.3</v>
      </c>
      <c r="J727">
        <f t="shared" si="33"/>
        <v>77.399999999999991</v>
      </c>
      <c r="K727">
        <v>0</v>
      </c>
      <c r="L727">
        <f t="shared" si="34"/>
        <v>77.399999999999991</v>
      </c>
      <c r="M727" s="4">
        <f t="shared" si="35"/>
        <v>0.25799999999999995</v>
      </c>
      <c r="N727">
        <v>300</v>
      </c>
      <c r="O727">
        <v>258</v>
      </c>
      <c r="P727" t="s">
        <v>322</v>
      </c>
      <c r="Q727" t="s">
        <v>320</v>
      </c>
      <c r="R727" t="str">
        <f>IF(COUNTIF(Sheet2!B:B, A727) &gt; 0, "Yes", "No")</f>
        <v>Yes</v>
      </c>
    </row>
    <row r="728" spans="1:18" x14ac:dyDescent="0.25">
      <c r="A728" s="3">
        <v>45170</v>
      </c>
      <c r="B728" t="s">
        <v>342</v>
      </c>
      <c r="C728" t="s">
        <v>79</v>
      </c>
      <c r="D728" t="s">
        <v>20</v>
      </c>
      <c r="E728" t="s">
        <v>21</v>
      </c>
      <c r="F728" t="s">
        <v>37</v>
      </c>
      <c r="G728" t="s">
        <v>108</v>
      </c>
      <c r="H728" t="s">
        <v>126</v>
      </c>
      <c r="I728" s="5">
        <v>2.5000000000000001E-2</v>
      </c>
      <c r="J728">
        <f t="shared" si="33"/>
        <v>10.75</v>
      </c>
      <c r="K728">
        <v>2</v>
      </c>
      <c r="L728">
        <f t="shared" si="34"/>
        <v>8.75</v>
      </c>
      <c r="M728" s="4">
        <f t="shared" si="35"/>
        <v>1.7500000000000002E-2</v>
      </c>
      <c r="N728">
        <v>500</v>
      </c>
      <c r="O728">
        <v>430</v>
      </c>
      <c r="P728" t="s">
        <v>322</v>
      </c>
      <c r="Q728" t="s">
        <v>320</v>
      </c>
      <c r="R728" t="str">
        <f>IF(COUNTIF(Sheet2!B:B, A728) &gt; 0, "Yes", "No")</f>
        <v>Yes</v>
      </c>
    </row>
    <row r="729" spans="1:18" x14ac:dyDescent="0.25">
      <c r="A729" s="3">
        <v>45170</v>
      </c>
      <c r="B729" t="s">
        <v>342</v>
      </c>
      <c r="C729" t="s">
        <v>79</v>
      </c>
      <c r="D729" t="s">
        <v>20</v>
      </c>
      <c r="E729" t="s">
        <v>21</v>
      </c>
      <c r="F729" t="s">
        <v>40</v>
      </c>
      <c r="G729" t="s">
        <v>164</v>
      </c>
      <c r="H729" t="s">
        <v>193</v>
      </c>
      <c r="I729" s="5">
        <v>0.04</v>
      </c>
      <c r="J729">
        <f t="shared" si="33"/>
        <v>17.2</v>
      </c>
      <c r="K729">
        <v>3</v>
      </c>
      <c r="L729">
        <f t="shared" si="34"/>
        <v>14.2</v>
      </c>
      <c r="M729" s="4">
        <f t="shared" si="35"/>
        <v>2.8399999999999998E-2</v>
      </c>
      <c r="N729">
        <v>500</v>
      </c>
      <c r="O729">
        <v>430</v>
      </c>
      <c r="P729" t="s">
        <v>322</v>
      </c>
      <c r="Q729" t="s">
        <v>320</v>
      </c>
      <c r="R729" t="str">
        <f>IF(COUNTIF(Sheet2!B:B, A729) &gt; 0, "Yes", "No")</f>
        <v>Yes</v>
      </c>
    </row>
    <row r="730" spans="1:18" x14ac:dyDescent="0.25">
      <c r="A730" s="3">
        <v>45170</v>
      </c>
      <c r="B730" t="s">
        <v>342</v>
      </c>
      <c r="C730" t="s">
        <v>79</v>
      </c>
      <c r="D730" t="s">
        <v>20</v>
      </c>
      <c r="E730" t="s">
        <v>21</v>
      </c>
      <c r="F730" t="s">
        <v>43</v>
      </c>
      <c r="G730" t="s">
        <v>90</v>
      </c>
      <c r="H730" t="s">
        <v>343</v>
      </c>
      <c r="I730" s="5">
        <v>7.0000000000000007E-2</v>
      </c>
      <c r="J730">
        <f t="shared" si="33"/>
        <v>30.1</v>
      </c>
      <c r="K730">
        <v>5</v>
      </c>
      <c r="L730">
        <f t="shared" si="34"/>
        <v>25.1</v>
      </c>
      <c r="M730" s="4">
        <f t="shared" si="35"/>
        <v>5.0200000000000002E-2</v>
      </c>
      <c r="N730">
        <v>500</v>
      </c>
      <c r="O730">
        <v>430</v>
      </c>
      <c r="P730" t="s">
        <v>322</v>
      </c>
      <c r="Q730" t="s">
        <v>320</v>
      </c>
      <c r="R730" t="str">
        <f>IF(COUNTIF(Sheet2!B:B, A730) &gt; 0, "Yes", "No")</f>
        <v>Yes</v>
      </c>
    </row>
    <row r="731" spans="1:18" x14ac:dyDescent="0.25">
      <c r="A731" s="3">
        <v>45170</v>
      </c>
      <c r="B731" t="s">
        <v>342</v>
      </c>
      <c r="C731" t="s">
        <v>79</v>
      </c>
      <c r="D731" t="s">
        <v>20</v>
      </c>
      <c r="E731" t="s">
        <v>21</v>
      </c>
      <c r="F731" t="s">
        <v>46</v>
      </c>
      <c r="G731" t="s">
        <v>47</v>
      </c>
      <c r="H731" t="s">
        <v>48</v>
      </c>
      <c r="I731" s="5">
        <v>0.06</v>
      </c>
      <c r="J731">
        <f t="shared" si="33"/>
        <v>25.8</v>
      </c>
      <c r="K731">
        <v>3</v>
      </c>
      <c r="L731">
        <f t="shared" si="34"/>
        <v>22.8</v>
      </c>
      <c r="M731" s="4">
        <f t="shared" si="35"/>
        <v>4.5600000000000002E-2</v>
      </c>
      <c r="N731">
        <v>500</v>
      </c>
      <c r="O731">
        <v>430</v>
      </c>
      <c r="P731" t="s">
        <v>322</v>
      </c>
      <c r="Q731" t="s">
        <v>320</v>
      </c>
      <c r="R731" t="str">
        <f>IF(COUNTIF(Sheet2!B:B, A731) &gt; 0, "Yes", "No")</f>
        <v>Yes</v>
      </c>
    </row>
    <row r="732" spans="1:18" x14ac:dyDescent="0.25">
      <c r="A732" s="3">
        <v>45170</v>
      </c>
      <c r="B732" t="s">
        <v>342</v>
      </c>
      <c r="C732" t="s">
        <v>79</v>
      </c>
      <c r="D732" t="s">
        <v>20</v>
      </c>
      <c r="E732" t="s">
        <v>21</v>
      </c>
      <c r="F732" t="s">
        <v>49</v>
      </c>
      <c r="G732" t="s">
        <v>50</v>
      </c>
      <c r="H732" t="s">
        <v>49</v>
      </c>
      <c r="I732" s="5">
        <v>0.04</v>
      </c>
      <c r="J732">
        <f t="shared" si="33"/>
        <v>17.2</v>
      </c>
      <c r="K732">
        <v>3</v>
      </c>
      <c r="L732">
        <f t="shared" si="34"/>
        <v>14.2</v>
      </c>
      <c r="M732" s="4">
        <f t="shared" si="35"/>
        <v>2.8399999999999998E-2</v>
      </c>
      <c r="N732">
        <v>500</v>
      </c>
      <c r="O732">
        <v>430</v>
      </c>
      <c r="P732" t="s">
        <v>322</v>
      </c>
      <c r="Q732" t="s">
        <v>320</v>
      </c>
      <c r="R732" t="str">
        <f>IF(COUNTIF(Sheet2!B:B, A732) &gt; 0, "Yes", "No")</f>
        <v>Yes</v>
      </c>
    </row>
    <row r="733" spans="1:18" x14ac:dyDescent="0.25">
      <c r="A733" s="3">
        <v>45173</v>
      </c>
      <c r="B733" t="s">
        <v>342</v>
      </c>
      <c r="C733" t="s">
        <v>19</v>
      </c>
      <c r="D733" t="s">
        <v>20</v>
      </c>
      <c r="E733" t="s">
        <v>21</v>
      </c>
      <c r="F733" t="s">
        <v>22</v>
      </c>
      <c r="G733" t="s">
        <v>122</v>
      </c>
      <c r="H733" t="s">
        <v>240</v>
      </c>
      <c r="I733">
        <v>8.5000000000000006E-2</v>
      </c>
      <c r="J733">
        <f t="shared" si="33"/>
        <v>51.000000000000007</v>
      </c>
      <c r="K733">
        <v>1</v>
      </c>
      <c r="L733">
        <f t="shared" si="34"/>
        <v>50.000000000000007</v>
      </c>
      <c r="M733" s="4">
        <f t="shared" si="35"/>
        <v>7.6923076923076927E-2</v>
      </c>
      <c r="N733">
        <v>650</v>
      </c>
      <c r="O733">
        <v>600</v>
      </c>
      <c r="P733" t="s">
        <v>25</v>
      </c>
      <c r="Q733" t="s">
        <v>26</v>
      </c>
      <c r="R733" t="str">
        <f>IF(COUNTIF(Sheet2!B:B, A733) &gt; 0, "Yes", "No")</f>
        <v>No</v>
      </c>
    </row>
    <row r="734" spans="1:18" x14ac:dyDescent="0.25">
      <c r="A734" s="3">
        <v>45173</v>
      </c>
      <c r="B734" t="s">
        <v>342</v>
      </c>
      <c r="C734" t="s">
        <v>19</v>
      </c>
      <c r="D734" t="s">
        <v>20</v>
      </c>
      <c r="E734" t="s">
        <v>21</v>
      </c>
      <c r="F734" t="s">
        <v>27</v>
      </c>
      <c r="G734" t="s">
        <v>28</v>
      </c>
      <c r="H734" t="s">
        <v>291</v>
      </c>
      <c r="I734">
        <v>0.11</v>
      </c>
      <c r="J734">
        <f t="shared" si="33"/>
        <v>66</v>
      </c>
      <c r="K734">
        <v>0</v>
      </c>
      <c r="L734">
        <f t="shared" si="34"/>
        <v>66</v>
      </c>
      <c r="M734" s="4">
        <f t="shared" si="35"/>
        <v>0.10153846153846154</v>
      </c>
      <c r="N734">
        <v>650</v>
      </c>
      <c r="O734">
        <v>600</v>
      </c>
      <c r="P734" t="s">
        <v>25</v>
      </c>
      <c r="Q734" t="s">
        <v>26</v>
      </c>
      <c r="R734" t="str">
        <f>IF(COUNTIF(Sheet2!B:B, A734) &gt; 0, "Yes", "No")</f>
        <v>No</v>
      </c>
    </row>
    <row r="735" spans="1:18" x14ac:dyDescent="0.25">
      <c r="A735" s="3">
        <v>45173</v>
      </c>
      <c r="B735" t="s">
        <v>342</v>
      </c>
      <c r="C735" t="s">
        <v>19</v>
      </c>
      <c r="D735" t="s">
        <v>20</v>
      </c>
      <c r="E735" t="s">
        <v>21</v>
      </c>
      <c r="F735" t="s">
        <v>30</v>
      </c>
      <c r="G735" t="s">
        <v>31</v>
      </c>
      <c r="H735" t="s">
        <v>31</v>
      </c>
      <c r="I735">
        <v>0.09</v>
      </c>
      <c r="J735">
        <f t="shared" si="33"/>
        <v>54</v>
      </c>
      <c r="K735">
        <v>0</v>
      </c>
      <c r="L735">
        <f t="shared" si="34"/>
        <v>54</v>
      </c>
      <c r="M735" s="4">
        <f t="shared" si="35"/>
        <v>8.3076923076923076E-2</v>
      </c>
      <c r="N735">
        <v>650</v>
      </c>
      <c r="O735">
        <v>600</v>
      </c>
      <c r="P735" t="s">
        <v>25</v>
      </c>
      <c r="Q735" t="s">
        <v>26</v>
      </c>
      <c r="R735" t="str">
        <f>IF(COUNTIF(Sheet2!B:B, A735) &gt; 0, "Yes", "No")</f>
        <v>No</v>
      </c>
    </row>
    <row r="736" spans="1:18" x14ac:dyDescent="0.25">
      <c r="A736" s="3">
        <v>45173</v>
      </c>
      <c r="B736" t="s">
        <v>342</v>
      </c>
      <c r="C736" t="s">
        <v>19</v>
      </c>
      <c r="D736" t="s">
        <v>33</v>
      </c>
      <c r="E736" t="s">
        <v>21</v>
      </c>
      <c r="F736" t="s">
        <v>34</v>
      </c>
      <c r="G736" t="s">
        <v>35</v>
      </c>
      <c r="H736" t="s">
        <v>344</v>
      </c>
      <c r="I736">
        <v>0.15</v>
      </c>
      <c r="J736">
        <f t="shared" si="33"/>
        <v>45</v>
      </c>
      <c r="K736">
        <v>0</v>
      </c>
      <c r="L736">
        <f t="shared" si="34"/>
        <v>45</v>
      </c>
      <c r="M736" s="4">
        <f t="shared" si="35"/>
        <v>0.13846153846153847</v>
      </c>
      <c r="N736">
        <v>325</v>
      </c>
      <c r="O736">
        <v>300</v>
      </c>
      <c r="P736" t="s">
        <v>25</v>
      </c>
      <c r="Q736" t="s">
        <v>26</v>
      </c>
      <c r="R736" t="str">
        <f>IF(COUNTIF(Sheet2!B:B, A736) &gt; 0, "Yes", "No")</f>
        <v>No</v>
      </c>
    </row>
    <row r="737" spans="1:18" x14ac:dyDescent="0.25">
      <c r="A737" s="3">
        <v>45173</v>
      </c>
      <c r="B737" t="s">
        <v>342</v>
      </c>
      <c r="C737" t="s">
        <v>19</v>
      </c>
      <c r="D737" t="s">
        <v>20</v>
      </c>
      <c r="E737" t="s">
        <v>21</v>
      </c>
      <c r="F737" t="s">
        <v>37</v>
      </c>
      <c r="G737" t="s">
        <v>38</v>
      </c>
      <c r="H737" t="s">
        <v>39</v>
      </c>
      <c r="I737">
        <v>0.03</v>
      </c>
      <c r="J737">
        <f t="shared" si="33"/>
        <v>18</v>
      </c>
      <c r="K737">
        <v>0.5</v>
      </c>
      <c r="L737">
        <f t="shared" si="34"/>
        <v>17.5</v>
      </c>
      <c r="M737" s="4">
        <f t="shared" si="35"/>
        <v>2.6923076923076925E-2</v>
      </c>
      <c r="N737">
        <v>650</v>
      </c>
      <c r="O737">
        <v>600</v>
      </c>
      <c r="P737" t="s">
        <v>25</v>
      </c>
      <c r="Q737" t="s">
        <v>26</v>
      </c>
      <c r="R737" t="str">
        <f>IF(COUNTIF(Sheet2!B:B, A737) &gt; 0, "Yes", "No")</f>
        <v>No</v>
      </c>
    </row>
    <row r="738" spans="1:18" x14ac:dyDescent="0.25">
      <c r="A738" s="3">
        <v>45173</v>
      </c>
      <c r="B738" t="s">
        <v>342</v>
      </c>
      <c r="C738" t="s">
        <v>19</v>
      </c>
      <c r="D738" t="s">
        <v>20</v>
      </c>
      <c r="E738" t="s">
        <v>21</v>
      </c>
      <c r="F738" t="s">
        <v>40</v>
      </c>
      <c r="G738" t="s">
        <v>127</v>
      </c>
      <c r="H738" t="s">
        <v>127</v>
      </c>
      <c r="I738">
        <v>4.4999999999999998E-2</v>
      </c>
      <c r="J738">
        <f t="shared" si="33"/>
        <v>27</v>
      </c>
      <c r="K738">
        <v>0.5</v>
      </c>
      <c r="L738">
        <f t="shared" si="34"/>
        <v>26.5</v>
      </c>
      <c r="M738" s="4">
        <f t="shared" si="35"/>
        <v>4.0769230769230766E-2</v>
      </c>
      <c r="N738">
        <v>650</v>
      </c>
      <c r="O738">
        <v>600</v>
      </c>
      <c r="P738" t="s">
        <v>25</v>
      </c>
      <c r="Q738" t="s">
        <v>26</v>
      </c>
      <c r="R738" t="str">
        <f>IF(COUNTIF(Sheet2!B:B, A738) &gt; 0, "Yes", "No")</f>
        <v>No</v>
      </c>
    </row>
    <row r="739" spans="1:18" x14ac:dyDescent="0.25">
      <c r="A739" s="3">
        <v>45173</v>
      </c>
      <c r="B739" t="s">
        <v>342</v>
      </c>
      <c r="C739" t="s">
        <v>19</v>
      </c>
      <c r="D739" t="s">
        <v>20</v>
      </c>
      <c r="E739" t="s">
        <v>21</v>
      </c>
      <c r="F739" t="s">
        <v>43</v>
      </c>
      <c r="G739" t="s">
        <v>159</v>
      </c>
      <c r="H739" t="s">
        <v>345</v>
      </c>
      <c r="I739">
        <v>0.11</v>
      </c>
      <c r="J739">
        <f t="shared" si="33"/>
        <v>66</v>
      </c>
      <c r="K739">
        <v>0</v>
      </c>
      <c r="L739">
        <f t="shared" si="34"/>
        <v>66</v>
      </c>
      <c r="M739" s="4">
        <f t="shared" si="35"/>
        <v>0.10153846153846154</v>
      </c>
      <c r="N739">
        <v>650</v>
      </c>
      <c r="O739">
        <v>600</v>
      </c>
      <c r="P739" t="s">
        <v>25</v>
      </c>
      <c r="Q739" t="s">
        <v>26</v>
      </c>
      <c r="R739" t="str">
        <f>IF(COUNTIF(Sheet2!B:B, A739) &gt; 0, "Yes", "No")</f>
        <v>No</v>
      </c>
    </row>
    <row r="740" spans="1:18" x14ac:dyDescent="0.25">
      <c r="A740" s="3">
        <v>45173</v>
      </c>
      <c r="B740" t="s">
        <v>342</v>
      </c>
      <c r="C740" t="s">
        <v>19</v>
      </c>
      <c r="D740" t="s">
        <v>20</v>
      </c>
      <c r="E740" t="s">
        <v>21</v>
      </c>
      <c r="F740" t="s">
        <v>46</v>
      </c>
      <c r="G740" t="s">
        <v>47</v>
      </c>
      <c r="H740" t="s">
        <v>141</v>
      </c>
      <c r="I740">
        <v>8.5000000000000006E-2</v>
      </c>
      <c r="J740">
        <f t="shared" si="33"/>
        <v>51.000000000000007</v>
      </c>
      <c r="K740">
        <v>4</v>
      </c>
      <c r="L740">
        <f t="shared" si="34"/>
        <v>47.000000000000007</v>
      </c>
      <c r="M740" s="4">
        <f t="shared" si="35"/>
        <v>7.2307692307692323E-2</v>
      </c>
      <c r="N740">
        <v>650</v>
      </c>
      <c r="O740">
        <v>600</v>
      </c>
      <c r="P740" t="s">
        <v>25</v>
      </c>
      <c r="Q740" t="s">
        <v>26</v>
      </c>
      <c r="R740" t="str">
        <f>IF(COUNTIF(Sheet2!B:B, A740) &gt; 0, "Yes", "No")</f>
        <v>No</v>
      </c>
    </row>
    <row r="741" spans="1:18" x14ac:dyDescent="0.25">
      <c r="A741" s="3">
        <v>45173</v>
      </c>
      <c r="B741" t="s">
        <v>342</v>
      </c>
      <c r="C741" t="s">
        <v>19</v>
      </c>
      <c r="D741" t="s">
        <v>20</v>
      </c>
      <c r="E741" t="s">
        <v>21</v>
      </c>
      <c r="F741" t="s">
        <v>49</v>
      </c>
      <c r="G741" t="s">
        <v>50</v>
      </c>
      <c r="H741" t="s">
        <v>49</v>
      </c>
      <c r="I741">
        <v>0.09</v>
      </c>
      <c r="J741">
        <f t="shared" si="33"/>
        <v>54</v>
      </c>
      <c r="K741">
        <v>0</v>
      </c>
      <c r="L741">
        <f t="shared" si="34"/>
        <v>54</v>
      </c>
      <c r="M741" s="4">
        <f t="shared" si="35"/>
        <v>8.3076923076923076E-2</v>
      </c>
      <c r="N741">
        <v>650</v>
      </c>
      <c r="O741">
        <v>600</v>
      </c>
      <c r="P741" t="s">
        <v>25</v>
      </c>
      <c r="Q741" t="s">
        <v>26</v>
      </c>
      <c r="R741" t="str">
        <f>IF(COUNTIF(Sheet2!B:B, A741) &gt; 0, "Yes", "No")</f>
        <v>No</v>
      </c>
    </row>
    <row r="742" spans="1:18" x14ac:dyDescent="0.25">
      <c r="A742" s="3">
        <v>45174</v>
      </c>
      <c r="B742" t="s">
        <v>342</v>
      </c>
      <c r="C742" t="s">
        <v>105</v>
      </c>
      <c r="D742" t="s">
        <v>20</v>
      </c>
      <c r="E742" t="s">
        <v>67</v>
      </c>
      <c r="F742" t="s">
        <v>22</v>
      </c>
      <c r="G742" t="s">
        <v>94</v>
      </c>
      <c r="H742" t="s">
        <v>95</v>
      </c>
      <c r="I742">
        <v>8.5000000000000006E-2</v>
      </c>
      <c r="J742">
        <f t="shared" si="33"/>
        <v>56.95</v>
      </c>
      <c r="K742">
        <v>0</v>
      </c>
      <c r="L742">
        <f t="shared" si="34"/>
        <v>56.95</v>
      </c>
      <c r="M742" s="4">
        <f t="shared" si="35"/>
        <v>7.5933333333333339E-2</v>
      </c>
      <c r="N742">
        <v>750</v>
      </c>
      <c r="O742">
        <v>670</v>
      </c>
      <c r="P742" t="s">
        <v>25</v>
      </c>
      <c r="Q742" t="s">
        <v>26</v>
      </c>
      <c r="R742" t="str">
        <f>IF(COUNTIF(Sheet2!B:B, A742) &gt; 0, "Yes", "No")</f>
        <v>No</v>
      </c>
    </row>
    <row r="743" spans="1:18" x14ac:dyDescent="0.25">
      <c r="A743" s="3">
        <v>45174</v>
      </c>
      <c r="B743" t="s">
        <v>342</v>
      </c>
      <c r="C743" t="s">
        <v>105</v>
      </c>
      <c r="D743" t="s">
        <v>20</v>
      </c>
      <c r="E743" t="s">
        <v>67</v>
      </c>
      <c r="F743" t="s">
        <v>27</v>
      </c>
      <c r="G743" t="s">
        <v>28</v>
      </c>
      <c r="H743" t="s">
        <v>244</v>
      </c>
      <c r="I743">
        <v>0.11</v>
      </c>
      <c r="J743">
        <f t="shared" si="33"/>
        <v>73.7</v>
      </c>
      <c r="K743">
        <v>1</v>
      </c>
      <c r="L743">
        <f t="shared" si="34"/>
        <v>72.7</v>
      </c>
      <c r="M743" s="4">
        <f t="shared" si="35"/>
        <v>9.6933333333333344E-2</v>
      </c>
      <c r="N743">
        <v>750</v>
      </c>
      <c r="O743">
        <v>670</v>
      </c>
      <c r="P743" t="s">
        <v>25</v>
      </c>
      <c r="Q743" t="s">
        <v>26</v>
      </c>
      <c r="R743" t="str">
        <f>IF(COUNTIF(Sheet2!B:B, A743) &gt; 0, "Yes", "No")</f>
        <v>No</v>
      </c>
    </row>
    <row r="744" spans="1:18" x14ac:dyDescent="0.25">
      <c r="A744" s="3">
        <v>45174</v>
      </c>
      <c r="B744" t="s">
        <v>342</v>
      </c>
      <c r="C744" t="s">
        <v>105</v>
      </c>
      <c r="D744" t="s">
        <v>20</v>
      </c>
      <c r="E744" t="s">
        <v>67</v>
      </c>
      <c r="F744" t="s">
        <v>30</v>
      </c>
      <c r="G744" t="s">
        <v>31</v>
      </c>
      <c r="H744" t="s">
        <v>172</v>
      </c>
      <c r="I744">
        <v>0.09</v>
      </c>
      <c r="J744">
        <f t="shared" si="33"/>
        <v>60.3</v>
      </c>
      <c r="K744">
        <v>0</v>
      </c>
      <c r="L744">
        <f t="shared" si="34"/>
        <v>60.3</v>
      </c>
      <c r="M744" s="4">
        <f t="shared" si="35"/>
        <v>8.0399999999999999E-2</v>
      </c>
      <c r="N744">
        <v>750</v>
      </c>
      <c r="O744">
        <v>670</v>
      </c>
      <c r="P744" t="s">
        <v>25</v>
      </c>
      <c r="Q744" t="s">
        <v>26</v>
      </c>
      <c r="R744" t="str">
        <f>IF(COUNTIF(Sheet2!B:B, A744) &gt; 0, "Yes", "No")</f>
        <v>No</v>
      </c>
    </row>
    <row r="745" spans="1:18" x14ac:dyDescent="0.25">
      <c r="A745" s="3">
        <v>45174</v>
      </c>
      <c r="B745" t="s">
        <v>342</v>
      </c>
      <c r="C745" t="s">
        <v>105</v>
      </c>
      <c r="D745" t="s">
        <v>20</v>
      </c>
      <c r="E745" t="s">
        <v>67</v>
      </c>
      <c r="F745" t="s">
        <v>37</v>
      </c>
      <c r="G745" t="s">
        <v>87</v>
      </c>
      <c r="H745" t="s">
        <v>88</v>
      </c>
      <c r="I745">
        <v>3.5000000000000003E-2</v>
      </c>
      <c r="J745">
        <f t="shared" si="33"/>
        <v>23.450000000000003</v>
      </c>
      <c r="K745">
        <v>0</v>
      </c>
      <c r="L745">
        <f t="shared" si="34"/>
        <v>23.450000000000003</v>
      </c>
      <c r="M745" s="4">
        <f t="shared" si="35"/>
        <v>3.1266666666666672E-2</v>
      </c>
      <c r="N745">
        <v>750</v>
      </c>
      <c r="O745">
        <v>670</v>
      </c>
      <c r="P745" t="s">
        <v>25</v>
      </c>
      <c r="Q745" t="s">
        <v>26</v>
      </c>
      <c r="R745" t="str">
        <f>IF(COUNTIF(Sheet2!B:B, A745) &gt; 0, "Yes", "No")</f>
        <v>No</v>
      </c>
    </row>
    <row r="746" spans="1:18" x14ac:dyDescent="0.25">
      <c r="A746" s="3">
        <v>45174</v>
      </c>
      <c r="B746" t="s">
        <v>342</v>
      </c>
      <c r="C746" t="s">
        <v>105</v>
      </c>
      <c r="D746" t="s">
        <v>20</v>
      </c>
      <c r="E746" t="s">
        <v>67</v>
      </c>
      <c r="F746" t="s">
        <v>40</v>
      </c>
      <c r="G746" t="s">
        <v>164</v>
      </c>
      <c r="H746" t="s">
        <v>202</v>
      </c>
      <c r="I746">
        <v>0.05</v>
      </c>
      <c r="J746">
        <f t="shared" si="33"/>
        <v>33.5</v>
      </c>
      <c r="K746">
        <v>0</v>
      </c>
      <c r="L746">
        <f t="shared" si="34"/>
        <v>33.5</v>
      </c>
      <c r="M746" s="4">
        <f t="shared" si="35"/>
        <v>4.4666666666666667E-2</v>
      </c>
      <c r="N746">
        <v>750</v>
      </c>
      <c r="O746">
        <v>670</v>
      </c>
      <c r="P746" t="s">
        <v>25</v>
      </c>
      <c r="Q746" t="s">
        <v>26</v>
      </c>
      <c r="R746" t="str">
        <f>IF(COUNTIF(Sheet2!B:B, A746) &gt; 0, "Yes", "No")</f>
        <v>No</v>
      </c>
    </row>
    <row r="747" spans="1:18" x14ac:dyDescent="0.25">
      <c r="A747" s="3">
        <v>45174</v>
      </c>
      <c r="B747" t="s">
        <v>342</v>
      </c>
      <c r="C747" t="s">
        <v>105</v>
      </c>
      <c r="D747" t="s">
        <v>20</v>
      </c>
      <c r="E747" t="s">
        <v>67</v>
      </c>
      <c r="F747" t="s">
        <v>43</v>
      </c>
      <c r="G747" t="s">
        <v>90</v>
      </c>
      <c r="H747" t="s">
        <v>208</v>
      </c>
      <c r="I747">
        <v>0.11</v>
      </c>
      <c r="J747">
        <f t="shared" si="33"/>
        <v>73.7</v>
      </c>
      <c r="K747">
        <v>1</v>
      </c>
      <c r="L747">
        <f t="shared" si="34"/>
        <v>72.7</v>
      </c>
      <c r="M747" s="4">
        <f t="shared" si="35"/>
        <v>9.6933333333333344E-2</v>
      </c>
      <c r="N747">
        <v>750</v>
      </c>
      <c r="O747">
        <v>670</v>
      </c>
      <c r="P747" t="s">
        <v>25</v>
      </c>
      <c r="Q747" t="s">
        <v>26</v>
      </c>
      <c r="R747" t="str">
        <f>IF(COUNTIF(Sheet2!B:B, A747) &gt; 0, "Yes", "No")</f>
        <v>No</v>
      </c>
    </row>
    <row r="748" spans="1:18" x14ac:dyDescent="0.25">
      <c r="A748" s="3">
        <v>45174</v>
      </c>
      <c r="B748" t="s">
        <v>342</v>
      </c>
      <c r="C748" t="s">
        <v>105</v>
      </c>
      <c r="D748" t="s">
        <v>20</v>
      </c>
      <c r="E748" t="s">
        <v>67</v>
      </c>
      <c r="F748" t="s">
        <v>46</v>
      </c>
      <c r="G748" t="s">
        <v>77</v>
      </c>
      <c r="H748" t="s">
        <v>245</v>
      </c>
      <c r="I748">
        <v>8.5000000000000006E-2</v>
      </c>
      <c r="J748">
        <f t="shared" si="33"/>
        <v>56.95</v>
      </c>
      <c r="K748">
        <v>1</v>
      </c>
      <c r="L748">
        <f t="shared" si="34"/>
        <v>55.95</v>
      </c>
      <c r="M748" s="4">
        <f t="shared" si="35"/>
        <v>7.46E-2</v>
      </c>
      <c r="N748">
        <v>750</v>
      </c>
      <c r="O748">
        <v>670</v>
      </c>
      <c r="P748" t="s">
        <v>25</v>
      </c>
      <c r="Q748" t="s">
        <v>26</v>
      </c>
      <c r="R748" t="str">
        <f>IF(COUNTIF(Sheet2!B:B, A748) &gt; 0, "Yes", "No")</f>
        <v>No</v>
      </c>
    </row>
    <row r="749" spans="1:18" x14ac:dyDescent="0.25">
      <c r="A749" s="3">
        <v>45174</v>
      </c>
      <c r="B749" t="s">
        <v>342</v>
      </c>
      <c r="C749" t="s">
        <v>105</v>
      </c>
      <c r="D749" t="s">
        <v>20</v>
      </c>
      <c r="E749" t="s">
        <v>67</v>
      </c>
      <c r="F749" t="s">
        <v>49</v>
      </c>
      <c r="G749" t="s">
        <v>50</v>
      </c>
      <c r="H749" t="s">
        <v>49</v>
      </c>
      <c r="I749">
        <v>0.09</v>
      </c>
      <c r="J749">
        <f t="shared" si="33"/>
        <v>60.3</v>
      </c>
      <c r="K749">
        <v>0</v>
      </c>
      <c r="L749">
        <f t="shared" si="34"/>
        <v>60.3</v>
      </c>
      <c r="M749" s="4">
        <f t="shared" si="35"/>
        <v>8.0399999999999999E-2</v>
      </c>
      <c r="N749">
        <v>750</v>
      </c>
      <c r="O749">
        <v>670</v>
      </c>
      <c r="P749" t="s">
        <v>25</v>
      </c>
      <c r="Q749" t="s">
        <v>26</v>
      </c>
      <c r="R749" t="str">
        <f>IF(COUNTIF(Sheet2!B:B, A749) &gt; 0, "Yes", "No")</f>
        <v>No</v>
      </c>
    </row>
    <row r="750" spans="1:18" x14ac:dyDescent="0.25">
      <c r="A750" s="3">
        <v>45175</v>
      </c>
      <c r="B750" t="s">
        <v>342</v>
      </c>
      <c r="C750" t="s">
        <v>51</v>
      </c>
      <c r="D750" t="s">
        <v>20</v>
      </c>
      <c r="E750" t="s">
        <v>21</v>
      </c>
      <c r="F750" t="s">
        <v>22</v>
      </c>
      <c r="G750" t="s">
        <v>94</v>
      </c>
      <c r="H750" t="s">
        <v>168</v>
      </c>
      <c r="I750">
        <v>8.5000000000000006E-2</v>
      </c>
      <c r="J750">
        <f t="shared" si="33"/>
        <v>57.800000000000004</v>
      </c>
      <c r="K750">
        <v>0.5</v>
      </c>
      <c r="L750">
        <f t="shared" si="34"/>
        <v>57.300000000000004</v>
      </c>
      <c r="M750" s="4">
        <f t="shared" si="35"/>
        <v>7.640000000000001E-2</v>
      </c>
      <c r="N750">
        <v>750</v>
      </c>
      <c r="O750">
        <v>680</v>
      </c>
      <c r="P750" t="s">
        <v>25</v>
      </c>
      <c r="Q750" t="s">
        <v>26</v>
      </c>
      <c r="R750" t="str">
        <f>IF(COUNTIF(Sheet2!B:B, A750) &gt; 0, "Yes", "No")</f>
        <v>No</v>
      </c>
    </row>
    <row r="751" spans="1:18" x14ac:dyDescent="0.25">
      <c r="A751" s="3">
        <v>45175</v>
      </c>
      <c r="B751" t="s">
        <v>342</v>
      </c>
      <c r="C751" t="s">
        <v>51</v>
      </c>
      <c r="D751" t="s">
        <v>20</v>
      </c>
      <c r="E751" t="s">
        <v>21</v>
      </c>
      <c r="F751" t="s">
        <v>27</v>
      </c>
      <c r="G751" t="s">
        <v>28</v>
      </c>
      <c r="H751" t="s">
        <v>182</v>
      </c>
      <c r="I751">
        <v>0.11</v>
      </c>
      <c r="J751">
        <f t="shared" si="33"/>
        <v>74.8</v>
      </c>
      <c r="K751">
        <v>6</v>
      </c>
      <c r="L751">
        <f t="shared" si="34"/>
        <v>68.8</v>
      </c>
      <c r="M751" s="4">
        <f t="shared" si="35"/>
        <v>9.1733333333333333E-2</v>
      </c>
      <c r="N751">
        <v>750</v>
      </c>
      <c r="O751">
        <v>680</v>
      </c>
      <c r="P751" t="s">
        <v>25</v>
      </c>
      <c r="Q751" t="s">
        <v>26</v>
      </c>
      <c r="R751" t="str">
        <f>IF(COUNTIF(Sheet2!B:B, A751) &gt; 0, "Yes", "No")</f>
        <v>No</v>
      </c>
    </row>
    <row r="752" spans="1:18" x14ac:dyDescent="0.25">
      <c r="A752" s="3">
        <v>45175</v>
      </c>
      <c r="B752" t="s">
        <v>342</v>
      </c>
      <c r="C752" t="s">
        <v>51</v>
      </c>
      <c r="D752" t="s">
        <v>20</v>
      </c>
      <c r="E752" t="s">
        <v>21</v>
      </c>
      <c r="F752" t="s">
        <v>30</v>
      </c>
      <c r="G752" t="s">
        <v>55</v>
      </c>
      <c r="H752" t="s">
        <v>125</v>
      </c>
      <c r="I752">
        <v>0.09</v>
      </c>
      <c r="J752">
        <f t="shared" si="33"/>
        <v>61.199999999999996</v>
      </c>
      <c r="K752">
        <v>0</v>
      </c>
      <c r="L752">
        <f t="shared" si="34"/>
        <v>61.199999999999996</v>
      </c>
      <c r="M752" s="4">
        <f t="shared" si="35"/>
        <v>8.1599999999999992E-2</v>
      </c>
      <c r="N752">
        <v>750</v>
      </c>
      <c r="O752">
        <v>680</v>
      </c>
      <c r="P752" t="s">
        <v>25</v>
      </c>
      <c r="Q752" t="s">
        <v>26</v>
      </c>
      <c r="R752" t="str">
        <f>IF(COUNTIF(Sheet2!B:B, A752) &gt; 0, "Yes", "No")</f>
        <v>No</v>
      </c>
    </row>
    <row r="753" spans="1:18" x14ac:dyDescent="0.25">
      <c r="A753" s="3">
        <v>45175</v>
      </c>
      <c r="B753" t="s">
        <v>342</v>
      </c>
      <c r="C753" t="s">
        <v>51</v>
      </c>
      <c r="D753" t="s">
        <v>33</v>
      </c>
      <c r="E753" t="s">
        <v>21</v>
      </c>
      <c r="F753" t="s">
        <v>34</v>
      </c>
      <c r="G753" t="s">
        <v>57</v>
      </c>
      <c r="H753" t="s">
        <v>346</v>
      </c>
      <c r="I753">
        <v>0.15</v>
      </c>
      <c r="J753">
        <f t="shared" si="33"/>
        <v>51</v>
      </c>
      <c r="K753">
        <v>0</v>
      </c>
      <c r="L753">
        <f t="shared" si="34"/>
        <v>51</v>
      </c>
      <c r="M753" s="4">
        <f t="shared" si="35"/>
        <v>0.13600000000000001</v>
      </c>
      <c r="N753">
        <v>375</v>
      </c>
      <c r="O753">
        <v>340</v>
      </c>
      <c r="P753" t="s">
        <v>25</v>
      </c>
      <c r="Q753" t="s">
        <v>26</v>
      </c>
      <c r="R753" t="str">
        <f>IF(COUNTIF(Sheet2!B:B, A753) &gt; 0, "Yes", "No")</f>
        <v>No</v>
      </c>
    </row>
    <row r="754" spans="1:18" x14ac:dyDescent="0.25">
      <c r="A754" s="3">
        <v>45175</v>
      </c>
      <c r="B754" t="s">
        <v>342</v>
      </c>
      <c r="C754" t="s">
        <v>51</v>
      </c>
      <c r="D754" t="s">
        <v>20</v>
      </c>
      <c r="E754" t="s">
        <v>21</v>
      </c>
      <c r="F754" t="s">
        <v>37</v>
      </c>
      <c r="G754" t="s">
        <v>87</v>
      </c>
      <c r="H754" t="s">
        <v>99</v>
      </c>
      <c r="I754">
        <v>0.03</v>
      </c>
      <c r="J754">
        <f t="shared" si="33"/>
        <v>20.399999999999999</v>
      </c>
      <c r="K754">
        <v>2</v>
      </c>
      <c r="L754">
        <f t="shared" si="34"/>
        <v>18.399999999999999</v>
      </c>
      <c r="M754" s="4">
        <f t="shared" si="35"/>
        <v>2.4533333333333331E-2</v>
      </c>
      <c r="N754">
        <v>750</v>
      </c>
      <c r="O754">
        <v>680</v>
      </c>
      <c r="P754" t="s">
        <v>25</v>
      </c>
      <c r="Q754" t="s">
        <v>26</v>
      </c>
      <c r="R754" t="str">
        <f>IF(COUNTIF(Sheet2!B:B, A754) &gt; 0, "Yes", "No")</f>
        <v>No</v>
      </c>
    </row>
    <row r="755" spans="1:18" x14ac:dyDescent="0.25">
      <c r="A755" s="3">
        <v>45175</v>
      </c>
      <c r="B755" t="s">
        <v>342</v>
      </c>
      <c r="C755" t="s">
        <v>51</v>
      </c>
      <c r="D755" t="s">
        <v>20</v>
      </c>
      <c r="E755" t="s">
        <v>21</v>
      </c>
      <c r="F755" t="s">
        <v>40</v>
      </c>
      <c r="G755" t="s">
        <v>61</v>
      </c>
      <c r="H755" t="s">
        <v>119</v>
      </c>
      <c r="I755">
        <v>4.4999999999999998E-2</v>
      </c>
      <c r="J755">
        <f t="shared" si="33"/>
        <v>30.599999999999998</v>
      </c>
      <c r="K755">
        <v>0.5</v>
      </c>
      <c r="L755">
        <f t="shared" si="34"/>
        <v>30.099999999999998</v>
      </c>
      <c r="M755" s="4">
        <f t="shared" si="35"/>
        <v>4.0133333333333333E-2</v>
      </c>
      <c r="N755">
        <v>750</v>
      </c>
      <c r="O755">
        <v>680</v>
      </c>
      <c r="P755" t="s">
        <v>25</v>
      </c>
      <c r="Q755" t="s">
        <v>26</v>
      </c>
      <c r="R755" t="str">
        <f>IF(COUNTIF(Sheet2!B:B, A755) &gt; 0, "Yes", "No")</f>
        <v>No</v>
      </c>
    </row>
    <row r="756" spans="1:18" x14ac:dyDescent="0.25">
      <c r="A756" s="3">
        <v>45175</v>
      </c>
      <c r="B756" t="s">
        <v>342</v>
      </c>
      <c r="C756" t="s">
        <v>51</v>
      </c>
      <c r="D756" t="s">
        <v>20</v>
      </c>
      <c r="E756" t="s">
        <v>21</v>
      </c>
      <c r="F756" t="s">
        <v>43</v>
      </c>
      <c r="G756" t="s">
        <v>44</v>
      </c>
      <c r="H756" t="s">
        <v>347</v>
      </c>
      <c r="I756">
        <v>0.11</v>
      </c>
      <c r="J756">
        <f t="shared" si="33"/>
        <v>74.8</v>
      </c>
      <c r="K756">
        <v>7</v>
      </c>
      <c r="L756">
        <f t="shared" si="34"/>
        <v>67.8</v>
      </c>
      <c r="M756" s="4">
        <f t="shared" si="35"/>
        <v>9.0399999999999994E-2</v>
      </c>
      <c r="N756">
        <v>750</v>
      </c>
      <c r="O756">
        <v>680</v>
      </c>
      <c r="P756" t="s">
        <v>25</v>
      </c>
      <c r="Q756" t="s">
        <v>26</v>
      </c>
      <c r="R756" t="str">
        <f>IF(COUNTIF(Sheet2!B:B, A756) &gt; 0, "Yes", "No")</f>
        <v>No</v>
      </c>
    </row>
    <row r="757" spans="1:18" x14ac:dyDescent="0.25">
      <c r="A757" s="3">
        <v>45175</v>
      </c>
      <c r="B757" t="s">
        <v>342</v>
      </c>
      <c r="C757" t="s">
        <v>51</v>
      </c>
      <c r="D757" t="s">
        <v>20</v>
      </c>
      <c r="E757" t="s">
        <v>21</v>
      </c>
      <c r="F757" t="s">
        <v>46</v>
      </c>
      <c r="G757" t="s">
        <v>167</v>
      </c>
      <c r="H757" t="s">
        <v>167</v>
      </c>
      <c r="I757">
        <v>8.5000000000000006E-2</v>
      </c>
      <c r="J757">
        <f t="shared" si="33"/>
        <v>57.800000000000004</v>
      </c>
      <c r="K757">
        <v>0</v>
      </c>
      <c r="L757">
        <f t="shared" si="34"/>
        <v>57.800000000000004</v>
      </c>
      <c r="M757" s="4">
        <f t="shared" si="35"/>
        <v>7.7066666666666672E-2</v>
      </c>
      <c r="N757">
        <v>750</v>
      </c>
      <c r="O757">
        <v>680</v>
      </c>
      <c r="P757" t="s">
        <v>25</v>
      </c>
      <c r="Q757" t="s">
        <v>26</v>
      </c>
      <c r="R757" t="str">
        <f>IF(COUNTIF(Sheet2!B:B, A757) &gt; 0, "Yes", "No")</f>
        <v>No</v>
      </c>
    </row>
    <row r="758" spans="1:18" x14ac:dyDescent="0.25">
      <c r="A758" s="3">
        <v>45175</v>
      </c>
      <c r="B758" t="s">
        <v>342</v>
      </c>
      <c r="C758" t="s">
        <v>51</v>
      </c>
      <c r="D758" t="s">
        <v>20</v>
      </c>
      <c r="E758" t="s">
        <v>21</v>
      </c>
      <c r="F758" t="s">
        <v>49</v>
      </c>
      <c r="G758" t="s">
        <v>50</v>
      </c>
      <c r="H758" t="s">
        <v>49</v>
      </c>
      <c r="I758">
        <v>0.09</v>
      </c>
      <c r="J758">
        <f t="shared" si="33"/>
        <v>61.199999999999996</v>
      </c>
      <c r="K758">
        <v>0</v>
      </c>
      <c r="L758">
        <f t="shared" si="34"/>
        <v>61.199999999999996</v>
      </c>
      <c r="M758" s="4">
        <f t="shared" si="35"/>
        <v>8.1599999999999992E-2</v>
      </c>
      <c r="N758">
        <v>750</v>
      </c>
      <c r="O758">
        <v>680</v>
      </c>
      <c r="P758" t="s">
        <v>25</v>
      </c>
      <c r="Q758" t="s">
        <v>26</v>
      </c>
      <c r="R758" t="str">
        <f>IF(COUNTIF(Sheet2!B:B, A758) &gt; 0, "Yes", "No")</f>
        <v>No</v>
      </c>
    </row>
    <row r="759" spans="1:18" x14ac:dyDescent="0.25">
      <c r="A759" s="3">
        <v>45176</v>
      </c>
      <c r="B759" t="s">
        <v>342</v>
      </c>
      <c r="C759" t="s">
        <v>66</v>
      </c>
      <c r="D759" t="s">
        <v>20</v>
      </c>
      <c r="E759" t="s">
        <v>67</v>
      </c>
      <c r="F759" t="s">
        <v>22</v>
      </c>
      <c r="G759" t="s">
        <v>23</v>
      </c>
      <c r="H759" t="s">
        <v>114</v>
      </c>
      <c r="I759">
        <v>8.5000000000000006E-2</v>
      </c>
      <c r="J759">
        <f t="shared" si="33"/>
        <v>46.75</v>
      </c>
      <c r="K759">
        <v>3</v>
      </c>
      <c r="L759">
        <f t="shared" si="34"/>
        <v>43.75</v>
      </c>
      <c r="M759" s="4">
        <f t="shared" si="35"/>
        <v>7.2916666666666671E-2</v>
      </c>
      <c r="N759">
        <v>600</v>
      </c>
      <c r="O759">
        <v>550</v>
      </c>
      <c r="P759" t="s">
        <v>25</v>
      </c>
      <c r="Q759" t="s">
        <v>26</v>
      </c>
      <c r="R759" t="str">
        <f>IF(COUNTIF(Sheet2!B:B, A759) &gt; 0, "Yes", "No")</f>
        <v>No</v>
      </c>
    </row>
    <row r="760" spans="1:18" x14ac:dyDescent="0.25">
      <c r="A760" s="3">
        <v>45176</v>
      </c>
      <c r="B760" t="s">
        <v>342</v>
      </c>
      <c r="C760" t="s">
        <v>66</v>
      </c>
      <c r="D760" t="s">
        <v>20</v>
      </c>
      <c r="E760" t="s">
        <v>67</v>
      </c>
      <c r="F760" t="s">
        <v>27</v>
      </c>
      <c r="G760" t="s">
        <v>348</v>
      </c>
      <c r="H760" t="s">
        <v>349</v>
      </c>
      <c r="I760">
        <v>0.1</v>
      </c>
      <c r="J760">
        <f t="shared" si="33"/>
        <v>55</v>
      </c>
      <c r="K760">
        <v>2</v>
      </c>
      <c r="L760">
        <f t="shared" si="34"/>
        <v>53</v>
      </c>
      <c r="M760" s="4">
        <f t="shared" si="35"/>
        <v>8.8333333333333333E-2</v>
      </c>
      <c r="N760">
        <v>600</v>
      </c>
      <c r="O760">
        <v>550</v>
      </c>
      <c r="P760" t="s">
        <v>25</v>
      </c>
      <c r="Q760" t="s">
        <v>26</v>
      </c>
      <c r="R760" t="str">
        <f>IF(COUNTIF(Sheet2!B:B, A760) &gt; 0, "Yes", "No")</f>
        <v>No</v>
      </c>
    </row>
    <row r="761" spans="1:18" x14ac:dyDescent="0.25">
      <c r="A761" s="3">
        <v>45176</v>
      </c>
      <c r="B761" t="s">
        <v>342</v>
      </c>
      <c r="C761" t="s">
        <v>66</v>
      </c>
      <c r="D761" t="s">
        <v>20</v>
      </c>
      <c r="E761" t="s">
        <v>67</v>
      </c>
      <c r="F761" t="s">
        <v>30</v>
      </c>
      <c r="G761" t="s">
        <v>55</v>
      </c>
      <c r="H761" t="s">
        <v>183</v>
      </c>
      <c r="I761">
        <v>0.09</v>
      </c>
      <c r="J761">
        <f t="shared" si="33"/>
        <v>49.5</v>
      </c>
      <c r="K761">
        <v>0</v>
      </c>
      <c r="L761">
        <f t="shared" si="34"/>
        <v>49.5</v>
      </c>
      <c r="M761" s="4">
        <f t="shared" si="35"/>
        <v>8.2500000000000004E-2</v>
      </c>
      <c r="N761">
        <v>600</v>
      </c>
      <c r="O761">
        <v>550</v>
      </c>
      <c r="P761" t="s">
        <v>25</v>
      </c>
      <c r="Q761" t="s">
        <v>26</v>
      </c>
      <c r="R761" t="str">
        <f>IF(COUNTIF(Sheet2!B:B, A761) &gt; 0, "Yes", "No")</f>
        <v>No</v>
      </c>
    </row>
    <row r="762" spans="1:18" x14ac:dyDescent="0.25">
      <c r="A762" s="3">
        <v>45176</v>
      </c>
      <c r="B762" t="s">
        <v>342</v>
      </c>
      <c r="C762" t="s">
        <v>66</v>
      </c>
      <c r="D762" t="s">
        <v>20</v>
      </c>
      <c r="E762" t="s">
        <v>67</v>
      </c>
      <c r="F762" t="s">
        <v>37</v>
      </c>
      <c r="G762" t="s">
        <v>87</v>
      </c>
      <c r="H762" t="s">
        <v>136</v>
      </c>
      <c r="I762">
        <v>3.5000000000000003E-2</v>
      </c>
      <c r="J762">
        <f t="shared" si="33"/>
        <v>19.250000000000004</v>
      </c>
      <c r="K762">
        <v>0</v>
      </c>
      <c r="L762">
        <f t="shared" si="34"/>
        <v>19.250000000000004</v>
      </c>
      <c r="M762" s="4">
        <f t="shared" si="35"/>
        <v>3.2083333333333339E-2</v>
      </c>
      <c r="N762">
        <v>600</v>
      </c>
      <c r="O762">
        <v>550</v>
      </c>
      <c r="P762" t="s">
        <v>25</v>
      </c>
      <c r="Q762" t="s">
        <v>26</v>
      </c>
      <c r="R762" t="str">
        <f>IF(COUNTIF(Sheet2!B:B, A762) &gt; 0, "Yes", "No")</f>
        <v>No</v>
      </c>
    </row>
    <row r="763" spans="1:18" x14ac:dyDescent="0.25">
      <c r="A763" s="3">
        <v>45176</v>
      </c>
      <c r="B763" t="s">
        <v>342</v>
      </c>
      <c r="C763" t="s">
        <v>66</v>
      </c>
      <c r="D763" t="s">
        <v>20</v>
      </c>
      <c r="E763" t="s">
        <v>67</v>
      </c>
      <c r="F763" t="s">
        <v>40</v>
      </c>
      <c r="G763" t="s">
        <v>41</v>
      </c>
      <c r="H763" t="s">
        <v>42</v>
      </c>
      <c r="I763">
        <v>0.05</v>
      </c>
      <c r="J763">
        <f t="shared" si="33"/>
        <v>27.5</v>
      </c>
      <c r="K763">
        <v>0</v>
      </c>
      <c r="L763">
        <f t="shared" si="34"/>
        <v>27.5</v>
      </c>
      <c r="M763" s="4">
        <f t="shared" si="35"/>
        <v>4.583333333333333E-2</v>
      </c>
      <c r="N763">
        <v>600</v>
      </c>
      <c r="O763">
        <v>550</v>
      </c>
      <c r="P763" t="s">
        <v>25</v>
      </c>
      <c r="Q763" t="s">
        <v>26</v>
      </c>
      <c r="R763" t="str">
        <f>IF(COUNTIF(Sheet2!B:B, A763) &gt; 0, "Yes", "No")</f>
        <v>No</v>
      </c>
    </row>
    <row r="764" spans="1:18" x14ac:dyDescent="0.25">
      <c r="A764" s="3">
        <v>45176</v>
      </c>
      <c r="B764" t="s">
        <v>342</v>
      </c>
      <c r="C764" t="s">
        <v>66</v>
      </c>
      <c r="D764" t="s">
        <v>20</v>
      </c>
      <c r="E764" t="s">
        <v>67</v>
      </c>
      <c r="F764" t="s">
        <v>43</v>
      </c>
      <c r="G764" t="s">
        <v>159</v>
      </c>
      <c r="H764" t="s">
        <v>160</v>
      </c>
      <c r="I764">
        <v>0.11</v>
      </c>
      <c r="J764">
        <f t="shared" si="33"/>
        <v>60.5</v>
      </c>
      <c r="K764">
        <v>0</v>
      </c>
      <c r="L764">
        <f t="shared" si="34"/>
        <v>60.5</v>
      </c>
      <c r="M764" s="4">
        <f t="shared" si="35"/>
        <v>0.10083333333333333</v>
      </c>
      <c r="N764">
        <v>600</v>
      </c>
      <c r="O764">
        <v>550</v>
      </c>
      <c r="P764" t="s">
        <v>25</v>
      </c>
      <c r="Q764" t="s">
        <v>26</v>
      </c>
      <c r="R764" t="str">
        <f>IF(COUNTIF(Sheet2!B:B, A764) &gt; 0, "Yes", "No")</f>
        <v>No</v>
      </c>
    </row>
    <row r="765" spans="1:18" x14ac:dyDescent="0.25">
      <c r="A765" s="3">
        <v>45176</v>
      </c>
      <c r="B765" t="s">
        <v>342</v>
      </c>
      <c r="C765" t="s">
        <v>66</v>
      </c>
      <c r="D765" t="s">
        <v>20</v>
      </c>
      <c r="E765" t="s">
        <v>67</v>
      </c>
      <c r="F765" t="s">
        <v>46</v>
      </c>
      <c r="G765" t="s">
        <v>47</v>
      </c>
      <c r="H765" t="s">
        <v>141</v>
      </c>
      <c r="I765">
        <v>8.5000000000000006E-2</v>
      </c>
      <c r="J765">
        <f t="shared" si="33"/>
        <v>46.75</v>
      </c>
      <c r="K765">
        <v>0</v>
      </c>
      <c r="L765">
        <f t="shared" si="34"/>
        <v>46.75</v>
      </c>
      <c r="M765" s="4">
        <f t="shared" si="35"/>
        <v>7.7916666666666662E-2</v>
      </c>
      <c r="N765">
        <v>600</v>
      </c>
      <c r="O765">
        <v>550</v>
      </c>
      <c r="P765" t="s">
        <v>25</v>
      </c>
      <c r="Q765" t="s">
        <v>26</v>
      </c>
      <c r="R765" t="str">
        <f>IF(COUNTIF(Sheet2!B:B, A765) &gt; 0, "Yes", "No")</f>
        <v>No</v>
      </c>
    </row>
    <row r="766" spans="1:18" x14ac:dyDescent="0.25">
      <c r="A766" s="3">
        <v>45176</v>
      </c>
      <c r="B766" t="s">
        <v>342</v>
      </c>
      <c r="C766" t="s">
        <v>66</v>
      </c>
      <c r="D766" t="s">
        <v>20</v>
      </c>
      <c r="E766" t="s">
        <v>67</v>
      </c>
      <c r="F766" t="s">
        <v>49</v>
      </c>
      <c r="G766" t="s">
        <v>50</v>
      </c>
      <c r="H766" t="s">
        <v>49</v>
      </c>
      <c r="I766">
        <v>0.09</v>
      </c>
      <c r="J766">
        <f t="shared" si="33"/>
        <v>49.5</v>
      </c>
      <c r="K766">
        <v>0</v>
      </c>
      <c r="L766">
        <f t="shared" si="34"/>
        <v>49.5</v>
      </c>
      <c r="M766" s="4">
        <f t="shared" si="35"/>
        <v>8.2500000000000004E-2</v>
      </c>
      <c r="N766">
        <v>600</v>
      </c>
      <c r="O766">
        <v>550</v>
      </c>
      <c r="P766" t="s">
        <v>25</v>
      </c>
      <c r="Q766" t="s">
        <v>26</v>
      </c>
      <c r="R766" t="str">
        <f>IF(COUNTIF(Sheet2!B:B, A766) &gt; 0, "Yes", "No")</f>
        <v>No</v>
      </c>
    </row>
    <row r="767" spans="1:18" x14ac:dyDescent="0.25">
      <c r="A767" s="3">
        <v>45177</v>
      </c>
      <c r="B767" t="s">
        <v>342</v>
      </c>
      <c r="C767" t="s">
        <v>79</v>
      </c>
      <c r="D767" t="s">
        <v>20</v>
      </c>
      <c r="E767" t="s">
        <v>21</v>
      </c>
      <c r="F767" t="s">
        <v>22</v>
      </c>
      <c r="G767" t="s">
        <v>23</v>
      </c>
      <c r="H767" t="s">
        <v>196</v>
      </c>
      <c r="I767" s="5">
        <v>0.06</v>
      </c>
      <c r="J767">
        <f t="shared" si="33"/>
        <v>27</v>
      </c>
      <c r="K767">
        <v>0</v>
      </c>
      <c r="L767">
        <f t="shared" si="34"/>
        <v>27</v>
      </c>
      <c r="M767" s="4">
        <f t="shared" si="35"/>
        <v>0.06</v>
      </c>
      <c r="N767">
        <v>450</v>
      </c>
      <c r="O767">
        <v>450</v>
      </c>
      <c r="P767" t="s">
        <v>25</v>
      </c>
      <c r="Q767" t="s">
        <v>26</v>
      </c>
      <c r="R767" t="str">
        <f>IF(COUNTIF(Sheet2!B:B, A767) &gt; 0, "Yes", "No")</f>
        <v>Yes</v>
      </c>
    </row>
    <row r="768" spans="1:18" x14ac:dyDescent="0.25">
      <c r="A768" s="3">
        <v>45177</v>
      </c>
      <c r="B768" t="s">
        <v>342</v>
      </c>
      <c r="C768" t="s">
        <v>79</v>
      </c>
      <c r="D768" t="s">
        <v>20</v>
      </c>
      <c r="E768" t="s">
        <v>21</v>
      </c>
      <c r="F768" t="s">
        <v>27</v>
      </c>
      <c r="G768" t="s">
        <v>81</v>
      </c>
      <c r="H768" t="s">
        <v>219</v>
      </c>
      <c r="I768" s="5">
        <v>0.1</v>
      </c>
      <c r="J768">
        <f t="shared" si="33"/>
        <v>45</v>
      </c>
      <c r="K768">
        <v>0</v>
      </c>
      <c r="L768">
        <f t="shared" si="34"/>
        <v>45</v>
      </c>
      <c r="M768" s="4">
        <f t="shared" si="35"/>
        <v>0.1</v>
      </c>
      <c r="N768">
        <v>450</v>
      </c>
      <c r="O768">
        <v>450</v>
      </c>
      <c r="P768" t="s">
        <v>25</v>
      </c>
      <c r="Q768" t="s">
        <v>26</v>
      </c>
      <c r="R768" t="str">
        <f>IF(COUNTIF(Sheet2!B:B, A768) &gt; 0, "Yes", "No")</f>
        <v>Yes</v>
      </c>
    </row>
    <row r="769" spans="1:18" x14ac:dyDescent="0.25">
      <c r="A769" s="3">
        <v>45177</v>
      </c>
      <c r="B769" t="s">
        <v>342</v>
      </c>
      <c r="C769" t="s">
        <v>79</v>
      </c>
      <c r="D769" t="s">
        <v>20</v>
      </c>
      <c r="E769" t="s">
        <v>21</v>
      </c>
      <c r="F769" t="s">
        <v>30</v>
      </c>
      <c r="G769" t="s">
        <v>55</v>
      </c>
      <c r="H769" t="s">
        <v>56</v>
      </c>
      <c r="I769" s="5">
        <v>0.06</v>
      </c>
      <c r="J769">
        <f t="shared" si="33"/>
        <v>27</v>
      </c>
      <c r="K769">
        <v>0</v>
      </c>
      <c r="L769">
        <f t="shared" si="34"/>
        <v>27</v>
      </c>
      <c r="M769" s="4">
        <f t="shared" si="35"/>
        <v>0.06</v>
      </c>
      <c r="N769">
        <v>450</v>
      </c>
      <c r="O769">
        <v>450</v>
      </c>
      <c r="P769" t="s">
        <v>25</v>
      </c>
      <c r="Q769" t="s">
        <v>26</v>
      </c>
      <c r="R769" t="str">
        <f>IF(COUNTIF(Sheet2!B:B, A769) &gt; 0, "Yes", "No")</f>
        <v>Yes</v>
      </c>
    </row>
    <row r="770" spans="1:18" x14ac:dyDescent="0.25">
      <c r="A770" s="3">
        <v>45177</v>
      </c>
      <c r="B770" t="s">
        <v>342</v>
      </c>
      <c r="C770" t="s">
        <v>79</v>
      </c>
      <c r="D770" t="s">
        <v>33</v>
      </c>
      <c r="E770" t="s">
        <v>21</v>
      </c>
      <c r="F770" t="s">
        <v>84</v>
      </c>
      <c r="G770" t="s">
        <v>85</v>
      </c>
      <c r="H770" t="s">
        <v>163</v>
      </c>
      <c r="I770" s="5">
        <v>0.3</v>
      </c>
      <c r="J770">
        <f t="shared" si="33"/>
        <v>81</v>
      </c>
      <c r="K770">
        <v>0</v>
      </c>
      <c r="L770">
        <f t="shared" si="34"/>
        <v>81</v>
      </c>
      <c r="M770" s="4">
        <f t="shared" si="35"/>
        <v>0.3</v>
      </c>
      <c r="N770">
        <v>270</v>
      </c>
      <c r="O770">
        <v>270</v>
      </c>
      <c r="P770" t="s">
        <v>25</v>
      </c>
      <c r="Q770" t="s">
        <v>26</v>
      </c>
      <c r="R770" t="str">
        <f>IF(COUNTIF(Sheet2!B:B, A770) &gt; 0, "Yes", "No")</f>
        <v>Yes</v>
      </c>
    </row>
    <row r="771" spans="1:18" x14ac:dyDescent="0.25">
      <c r="A771" s="3">
        <v>45177</v>
      </c>
      <c r="B771" t="s">
        <v>342</v>
      </c>
      <c r="C771" t="s">
        <v>79</v>
      </c>
      <c r="D771" t="s">
        <v>20</v>
      </c>
      <c r="E771" t="s">
        <v>21</v>
      </c>
      <c r="F771" t="s">
        <v>37</v>
      </c>
      <c r="G771" t="s">
        <v>108</v>
      </c>
      <c r="H771" t="s">
        <v>269</v>
      </c>
      <c r="I771" s="5">
        <v>2.5000000000000001E-2</v>
      </c>
      <c r="J771">
        <f t="shared" ref="J771:J834" si="36">I771*O771</f>
        <v>11.25</v>
      </c>
      <c r="K771">
        <v>1</v>
      </c>
      <c r="L771">
        <f t="shared" ref="L771:L834" si="37">J771-K771</f>
        <v>10.25</v>
      </c>
      <c r="M771" s="4">
        <f t="shared" ref="M771:M834" si="38">((I771*O771)-K771)/N771</f>
        <v>2.2777777777777779E-2</v>
      </c>
      <c r="N771">
        <v>450</v>
      </c>
      <c r="O771">
        <v>450</v>
      </c>
      <c r="P771" t="s">
        <v>25</v>
      </c>
      <c r="Q771" t="s">
        <v>26</v>
      </c>
      <c r="R771" t="str">
        <f>IF(COUNTIF(Sheet2!B:B, A771) &gt; 0, "Yes", "No")</f>
        <v>Yes</v>
      </c>
    </row>
    <row r="772" spans="1:18" x14ac:dyDescent="0.25">
      <c r="A772" s="3">
        <v>45177</v>
      </c>
      <c r="B772" t="s">
        <v>342</v>
      </c>
      <c r="C772" t="s">
        <v>79</v>
      </c>
      <c r="D772" t="s">
        <v>20</v>
      </c>
      <c r="E772" t="s">
        <v>21</v>
      </c>
      <c r="F772" t="s">
        <v>40</v>
      </c>
      <c r="G772" t="s">
        <v>61</v>
      </c>
      <c r="H772" t="s">
        <v>62</v>
      </c>
      <c r="I772" s="5">
        <v>0.04</v>
      </c>
      <c r="J772">
        <f t="shared" si="36"/>
        <v>18</v>
      </c>
      <c r="K772">
        <v>1.5</v>
      </c>
      <c r="L772">
        <f t="shared" si="37"/>
        <v>16.5</v>
      </c>
      <c r="M772" s="4">
        <f t="shared" si="38"/>
        <v>3.6666666666666667E-2</v>
      </c>
      <c r="N772">
        <v>450</v>
      </c>
      <c r="O772">
        <v>450</v>
      </c>
      <c r="P772" t="s">
        <v>25</v>
      </c>
      <c r="Q772" t="s">
        <v>26</v>
      </c>
      <c r="R772" t="str">
        <f>IF(COUNTIF(Sheet2!B:B, A772) &gt; 0, "Yes", "No")</f>
        <v>Yes</v>
      </c>
    </row>
    <row r="773" spans="1:18" x14ac:dyDescent="0.25">
      <c r="A773" s="3">
        <v>45177</v>
      </c>
      <c r="B773" t="s">
        <v>342</v>
      </c>
      <c r="C773" t="s">
        <v>79</v>
      </c>
      <c r="D773" t="s">
        <v>20</v>
      </c>
      <c r="E773" t="s">
        <v>21</v>
      </c>
      <c r="F773" t="s">
        <v>43</v>
      </c>
      <c r="G773" t="s">
        <v>90</v>
      </c>
      <c r="H773" t="s">
        <v>255</v>
      </c>
      <c r="I773" s="5">
        <v>7.0000000000000007E-2</v>
      </c>
      <c r="J773">
        <f t="shared" si="36"/>
        <v>31.500000000000004</v>
      </c>
      <c r="K773">
        <v>1.5</v>
      </c>
      <c r="L773">
        <f t="shared" si="37"/>
        <v>30.000000000000004</v>
      </c>
      <c r="M773" s="4">
        <f t="shared" si="38"/>
        <v>6.666666666666668E-2</v>
      </c>
      <c r="N773">
        <v>450</v>
      </c>
      <c r="O773">
        <v>450</v>
      </c>
      <c r="P773" t="s">
        <v>25</v>
      </c>
      <c r="Q773" t="s">
        <v>26</v>
      </c>
      <c r="R773" t="str">
        <f>IF(COUNTIF(Sheet2!B:B, A773) &gt; 0, "Yes", "No")</f>
        <v>Yes</v>
      </c>
    </row>
    <row r="774" spans="1:18" x14ac:dyDescent="0.25">
      <c r="A774" s="3">
        <v>45177</v>
      </c>
      <c r="B774" t="s">
        <v>342</v>
      </c>
      <c r="C774" t="s">
        <v>79</v>
      </c>
      <c r="D774" t="s">
        <v>20</v>
      </c>
      <c r="E774" t="s">
        <v>21</v>
      </c>
      <c r="F774" t="s">
        <v>46</v>
      </c>
      <c r="G774" t="s">
        <v>47</v>
      </c>
      <c r="H774" t="s">
        <v>350</v>
      </c>
      <c r="I774" s="5">
        <v>0.05</v>
      </c>
      <c r="J774">
        <f t="shared" si="36"/>
        <v>22.5</v>
      </c>
      <c r="K774">
        <v>2</v>
      </c>
      <c r="L774">
        <f t="shared" si="37"/>
        <v>20.5</v>
      </c>
      <c r="M774" s="4">
        <f t="shared" si="38"/>
        <v>4.5555555555555557E-2</v>
      </c>
      <c r="N774">
        <v>450</v>
      </c>
      <c r="O774">
        <v>450</v>
      </c>
      <c r="P774" t="s">
        <v>25</v>
      </c>
      <c r="Q774" t="s">
        <v>26</v>
      </c>
      <c r="R774" t="str">
        <f>IF(COUNTIF(Sheet2!B:B, A774) &gt; 0, "Yes", "No")</f>
        <v>Yes</v>
      </c>
    </row>
    <row r="775" spans="1:18" x14ac:dyDescent="0.25">
      <c r="A775" s="3">
        <v>45177</v>
      </c>
      <c r="B775" t="s">
        <v>342</v>
      </c>
      <c r="C775" t="s">
        <v>79</v>
      </c>
      <c r="D775" t="s">
        <v>20</v>
      </c>
      <c r="E775" t="s">
        <v>21</v>
      </c>
      <c r="F775" t="s">
        <v>49</v>
      </c>
      <c r="G775" t="s">
        <v>50</v>
      </c>
      <c r="H775" t="s">
        <v>49</v>
      </c>
      <c r="I775" s="5">
        <v>0.04</v>
      </c>
      <c r="J775">
        <f t="shared" si="36"/>
        <v>18</v>
      </c>
      <c r="K775">
        <v>0</v>
      </c>
      <c r="L775">
        <f t="shared" si="37"/>
        <v>18</v>
      </c>
      <c r="M775" s="4">
        <f t="shared" si="38"/>
        <v>0.04</v>
      </c>
      <c r="N775">
        <v>450</v>
      </c>
      <c r="O775">
        <v>450</v>
      </c>
      <c r="P775" t="s">
        <v>25</v>
      </c>
      <c r="Q775" t="s">
        <v>26</v>
      </c>
      <c r="R775" t="str">
        <f>IF(COUNTIF(Sheet2!B:B, A775) &gt; 0, "Yes", "No")</f>
        <v>Yes</v>
      </c>
    </row>
    <row r="776" spans="1:18" x14ac:dyDescent="0.25">
      <c r="A776" s="3">
        <v>45180</v>
      </c>
      <c r="B776" t="s">
        <v>342</v>
      </c>
      <c r="C776" t="s">
        <v>19</v>
      </c>
      <c r="D776" t="s">
        <v>20</v>
      </c>
      <c r="E776" t="s">
        <v>21</v>
      </c>
      <c r="F776" t="s">
        <v>22</v>
      </c>
      <c r="G776" t="s">
        <v>94</v>
      </c>
      <c r="H776" t="s">
        <v>95</v>
      </c>
      <c r="I776">
        <v>8.5000000000000006E-2</v>
      </c>
      <c r="J776">
        <f t="shared" si="36"/>
        <v>42.5</v>
      </c>
      <c r="K776">
        <v>2</v>
      </c>
      <c r="L776">
        <f t="shared" si="37"/>
        <v>40.5</v>
      </c>
      <c r="M776" s="4">
        <f t="shared" si="38"/>
        <v>7.3636363636363639E-2</v>
      </c>
      <c r="N776">
        <v>550</v>
      </c>
      <c r="O776">
        <v>500</v>
      </c>
      <c r="P776" t="s">
        <v>25</v>
      </c>
      <c r="Q776" t="s">
        <v>26</v>
      </c>
      <c r="R776" t="str">
        <f>IF(COUNTIF(Sheet2!B:B, A776) &gt; 0, "Yes", "No")</f>
        <v>No</v>
      </c>
    </row>
    <row r="777" spans="1:18" x14ac:dyDescent="0.25">
      <c r="A777" s="3">
        <v>45180</v>
      </c>
      <c r="B777" t="s">
        <v>342</v>
      </c>
      <c r="C777" t="s">
        <v>19</v>
      </c>
      <c r="D777" t="s">
        <v>20</v>
      </c>
      <c r="E777" t="s">
        <v>21</v>
      </c>
      <c r="F777" t="s">
        <v>27</v>
      </c>
      <c r="G777" t="s">
        <v>28</v>
      </c>
      <c r="H777" t="s">
        <v>204</v>
      </c>
      <c r="I777">
        <v>0.11</v>
      </c>
      <c r="J777">
        <f t="shared" si="36"/>
        <v>55</v>
      </c>
      <c r="K777">
        <v>0</v>
      </c>
      <c r="L777">
        <f t="shared" si="37"/>
        <v>55</v>
      </c>
      <c r="M777" s="4">
        <f t="shared" si="38"/>
        <v>0.1</v>
      </c>
      <c r="N777">
        <v>550</v>
      </c>
      <c r="O777">
        <v>500</v>
      </c>
      <c r="P777" t="s">
        <v>25</v>
      </c>
      <c r="Q777" t="s">
        <v>26</v>
      </c>
      <c r="R777" t="str">
        <f>IF(COUNTIF(Sheet2!B:B, A777) &gt; 0, "Yes", "No")</f>
        <v>No</v>
      </c>
    </row>
    <row r="778" spans="1:18" x14ac:dyDescent="0.25">
      <c r="A778" s="3">
        <v>45180</v>
      </c>
      <c r="B778" t="s">
        <v>342</v>
      </c>
      <c r="C778" t="s">
        <v>19</v>
      </c>
      <c r="D778" t="s">
        <v>20</v>
      </c>
      <c r="E778" t="s">
        <v>21</v>
      </c>
      <c r="F778" t="s">
        <v>30</v>
      </c>
      <c r="G778" t="s">
        <v>31</v>
      </c>
      <c r="H778" t="s">
        <v>172</v>
      </c>
      <c r="I778">
        <v>0.09</v>
      </c>
      <c r="J778">
        <f t="shared" si="36"/>
        <v>45</v>
      </c>
      <c r="K778">
        <v>0</v>
      </c>
      <c r="L778">
        <f t="shared" si="37"/>
        <v>45</v>
      </c>
      <c r="M778" s="4">
        <f t="shared" si="38"/>
        <v>8.1818181818181818E-2</v>
      </c>
      <c r="N778">
        <v>550</v>
      </c>
      <c r="O778">
        <v>500</v>
      </c>
      <c r="P778" t="s">
        <v>25</v>
      </c>
      <c r="Q778" t="s">
        <v>26</v>
      </c>
      <c r="R778" t="str">
        <f>IF(COUNTIF(Sheet2!B:B, A778) &gt; 0, "Yes", "No")</f>
        <v>No</v>
      </c>
    </row>
    <row r="779" spans="1:18" x14ac:dyDescent="0.25">
      <c r="A779" s="3">
        <v>45180</v>
      </c>
      <c r="B779" t="s">
        <v>342</v>
      </c>
      <c r="C779" t="s">
        <v>19</v>
      </c>
      <c r="D779" t="s">
        <v>33</v>
      </c>
      <c r="E779" t="s">
        <v>21</v>
      </c>
      <c r="F779" t="s">
        <v>34</v>
      </c>
      <c r="G779" t="s">
        <v>57</v>
      </c>
      <c r="H779" t="s">
        <v>351</v>
      </c>
      <c r="I779">
        <v>0.15</v>
      </c>
      <c r="J779">
        <f t="shared" si="36"/>
        <v>37.5</v>
      </c>
      <c r="K779">
        <v>1</v>
      </c>
      <c r="L779">
        <f t="shared" si="37"/>
        <v>36.5</v>
      </c>
      <c r="M779" s="4">
        <f t="shared" si="38"/>
        <v>0.13272727272727272</v>
      </c>
      <c r="N779">
        <v>275</v>
      </c>
      <c r="O779">
        <v>250</v>
      </c>
      <c r="P779" t="s">
        <v>25</v>
      </c>
      <c r="Q779" t="s">
        <v>26</v>
      </c>
      <c r="R779" t="str">
        <f>IF(COUNTIF(Sheet2!B:B, A779) &gt; 0, "Yes", "No")</f>
        <v>No</v>
      </c>
    </row>
    <row r="780" spans="1:18" x14ac:dyDescent="0.25">
      <c r="A780" s="3">
        <v>45180</v>
      </c>
      <c r="B780" t="s">
        <v>342</v>
      </c>
      <c r="C780" t="s">
        <v>19</v>
      </c>
      <c r="D780" t="s">
        <v>20</v>
      </c>
      <c r="E780" t="s">
        <v>21</v>
      </c>
      <c r="F780" t="s">
        <v>37</v>
      </c>
      <c r="G780" t="s">
        <v>117</v>
      </c>
      <c r="H780" t="s">
        <v>118</v>
      </c>
      <c r="I780">
        <v>0.03</v>
      </c>
      <c r="J780">
        <f t="shared" si="36"/>
        <v>15</v>
      </c>
      <c r="K780">
        <v>1</v>
      </c>
      <c r="L780">
        <f t="shared" si="37"/>
        <v>14</v>
      </c>
      <c r="M780" s="4">
        <f t="shared" si="38"/>
        <v>2.5454545454545455E-2</v>
      </c>
      <c r="N780">
        <v>550</v>
      </c>
      <c r="O780">
        <v>500</v>
      </c>
      <c r="P780" t="s">
        <v>25</v>
      </c>
      <c r="Q780" t="s">
        <v>26</v>
      </c>
      <c r="R780" t="str">
        <f>IF(COUNTIF(Sheet2!B:B, A780) &gt; 0, "Yes", "No")</f>
        <v>No</v>
      </c>
    </row>
    <row r="781" spans="1:18" x14ac:dyDescent="0.25">
      <c r="A781" s="3">
        <v>45180</v>
      </c>
      <c r="B781" t="s">
        <v>342</v>
      </c>
      <c r="C781" t="s">
        <v>19</v>
      </c>
      <c r="D781" t="s">
        <v>20</v>
      </c>
      <c r="E781" t="s">
        <v>21</v>
      </c>
      <c r="F781" t="s">
        <v>40</v>
      </c>
      <c r="G781" t="s">
        <v>164</v>
      </c>
      <c r="H781" t="s">
        <v>193</v>
      </c>
      <c r="I781">
        <v>4.4999999999999998E-2</v>
      </c>
      <c r="J781">
        <f t="shared" si="36"/>
        <v>22.5</v>
      </c>
      <c r="K781">
        <v>1</v>
      </c>
      <c r="L781">
        <f t="shared" si="37"/>
        <v>21.5</v>
      </c>
      <c r="M781" s="4">
        <f t="shared" si="38"/>
        <v>3.9090909090909093E-2</v>
      </c>
      <c r="N781">
        <v>550</v>
      </c>
      <c r="O781">
        <v>500</v>
      </c>
      <c r="P781" t="s">
        <v>25</v>
      </c>
      <c r="Q781" t="s">
        <v>26</v>
      </c>
      <c r="R781" t="str">
        <f>IF(COUNTIF(Sheet2!B:B, A781) &gt; 0, "Yes", "No")</f>
        <v>No</v>
      </c>
    </row>
    <row r="782" spans="1:18" x14ac:dyDescent="0.25">
      <c r="A782" s="3">
        <v>45180</v>
      </c>
      <c r="B782" t="s">
        <v>342</v>
      </c>
      <c r="C782" t="s">
        <v>19</v>
      </c>
      <c r="D782" t="s">
        <v>20</v>
      </c>
      <c r="E782" t="s">
        <v>21</v>
      </c>
      <c r="F782" t="s">
        <v>43</v>
      </c>
      <c r="G782" t="s">
        <v>44</v>
      </c>
      <c r="H782" t="s">
        <v>352</v>
      </c>
      <c r="I782">
        <v>0.11</v>
      </c>
      <c r="J782">
        <f t="shared" si="36"/>
        <v>55</v>
      </c>
      <c r="K782">
        <v>0</v>
      </c>
      <c r="L782">
        <f t="shared" si="37"/>
        <v>55</v>
      </c>
      <c r="M782" s="4">
        <f t="shared" si="38"/>
        <v>0.1</v>
      </c>
      <c r="N782">
        <v>550</v>
      </c>
      <c r="O782">
        <v>500</v>
      </c>
      <c r="P782" t="s">
        <v>25</v>
      </c>
      <c r="Q782" t="s">
        <v>26</v>
      </c>
      <c r="R782" t="str">
        <f>IF(COUNTIF(Sheet2!B:B, A782) &gt; 0, "Yes", "No")</f>
        <v>No</v>
      </c>
    </row>
    <row r="783" spans="1:18" x14ac:dyDescent="0.25">
      <c r="A783" s="3">
        <v>45180</v>
      </c>
      <c r="B783" t="s">
        <v>342</v>
      </c>
      <c r="C783" t="s">
        <v>19</v>
      </c>
      <c r="D783" t="s">
        <v>20</v>
      </c>
      <c r="E783" t="s">
        <v>21</v>
      </c>
      <c r="F783" t="s">
        <v>46</v>
      </c>
      <c r="G783" t="s">
        <v>92</v>
      </c>
      <c r="H783" t="s">
        <v>186</v>
      </c>
      <c r="I783">
        <v>8.5000000000000006E-2</v>
      </c>
      <c r="J783">
        <f t="shared" si="36"/>
        <v>42.5</v>
      </c>
      <c r="K783">
        <v>0</v>
      </c>
      <c r="L783">
        <f t="shared" si="37"/>
        <v>42.5</v>
      </c>
      <c r="M783" s="4">
        <f t="shared" si="38"/>
        <v>7.7272727272727271E-2</v>
      </c>
      <c r="N783">
        <v>550</v>
      </c>
      <c r="O783">
        <v>500</v>
      </c>
      <c r="P783" t="s">
        <v>25</v>
      </c>
      <c r="Q783" t="s">
        <v>26</v>
      </c>
      <c r="R783" t="str">
        <f>IF(COUNTIF(Sheet2!B:B, A783) &gt; 0, "Yes", "No")</f>
        <v>No</v>
      </c>
    </row>
    <row r="784" spans="1:18" x14ac:dyDescent="0.25">
      <c r="A784" s="3">
        <v>45180</v>
      </c>
      <c r="B784" t="s">
        <v>342</v>
      </c>
      <c r="C784" t="s">
        <v>19</v>
      </c>
      <c r="D784" t="s">
        <v>20</v>
      </c>
      <c r="E784" t="s">
        <v>21</v>
      </c>
      <c r="F784" t="s">
        <v>49</v>
      </c>
      <c r="G784" t="s">
        <v>50</v>
      </c>
      <c r="H784" t="s">
        <v>49</v>
      </c>
      <c r="I784">
        <v>0.09</v>
      </c>
      <c r="J784">
        <f t="shared" si="36"/>
        <v>45</v>
      </c>
      <c r="K784">
        <v>0</v>
      </c>
      <c r="L784">
        <f t="shared" si="37"/>
        <v>45</v>
      </c>
      <c r="M784" s="4">
        <f t="shared" si="38"/>
        <v>8.1818181818181818E-2</v>
      </c>
      <c r="N784">
        <v>550</v>
      </c>
      <c r="O784">
        <v>500</v>
      </c>
      <c r="P784" t="s">
        <v>25</v>
      </c>
      <c r="Q784" t="s">
        <v>26</v>
      </c>
      <c r="R784" t="str">
        <f>IF(COUNTIF(Sheet2!B:B, A784) &gt; 0, "Yes", "No")</f>
        <v>No</v>
      </c>
    </row>
    <row r="785" spans="1:18" x14ac:dyDescent="0.25">
      <c r="A785" s="3">
        <v>45181</v>
      </c>
      <c r="B785" t="s">
        <v>342</v>
      </c>
      <c r="C785" t="s">
        <v>105</v>
      </c>
      <c r="D785" t="s">
        <v>20</v>
      </c>
      <c r="E785" t="s">
        <v>67</v>
      </c>
      <c r="F785" t="s">
        <v>22</v>
      </c>
      <c r="G785" t="s">
        <v>52</v>
      </c>
      <c r="H785" t="s">
        <v>353</v>
      </c>
      <c r="I785">
        <v>8.5000000000000006E-2</v>
      </c>
      <c r="J785">
        <f t="shared" si="36"/>
        <v>51.000000000000007</v>
      </c>
      <c r="K785">
        <v>0</v>
      </c>
      <c r="L785">
        <f t="shared" si="37"/>
        <v>51.000000000000007</v>
      </c>
      <c r="M785" s="4">
        <f t="shared" si="38"/>
        <v>7.285714285714287E-2</v>
      </c>
      <c r="N785">
        <v>700</v>
      </c>
      <c r="O785">
        <v>600</v>
      </c>
      <c r="P785" t="s">
        <v>25</v>
      </c>
      <c r="Q785" t="s">
        <v>26</v>
      </c>
      <c r="R785" t="str">
        <f>IF(COUNTIF(Sheet2!B:B, A785) &gt; 0, "Yes", "No")</f>
        <v>No</v>
      </c>
    </row>
    <row r="786" spans="1:18" x14ac:dyDescent="0.25">
      <c r="A786" s="3">
        <v>45181</v>
      </c>
      <c r="B786" t="s">
        <v>342</v>
      </c>
      <c r="C786" t="s">
        <v>105</v>
      </c>
      <c r="D786" t="s">
        <v>20</v>
      </c>
      <c r="E786" t="s">
        <v>67</v>
      </c>
      <c r="F786" t="s">
        <v>27</v>
      </c>
      <c r="G786" t="s">
        <v>28</v>
      </c>
      <c r="H786" t="s">
        <v>238</v>
      </c>
      <c r="I786">
        <v>0.11</v>
      </c>
      <c r="J786">
        <f t="shared" si="36"/>
        <v>66</v>
      </c>
      <c r="K786">
        <v>0</v>
      </c>
      <c r="L786">
        <f t="shared" si="37"/>
        <v>66</v>
      </c>
      <c r="M786" s="4">
        <f t="shared" si="38"/>
        <v>9.4285714285714292E-2</v>
      </c>
      <c r="N786">
        <v>700</v>
      </c>
      <c r="O786">
        <v>600</v>
      </c>
      <c r="P786" t="s">
        <v>25</v>
      </c>
      <c r="Q786" t="s">
        <v>26</v>
      </c>
      <c r="R786" t="str">
        <f>IF(COUNTIF(Sheet2!B:B, A786) &gt; 0, "Yes", "No")</f>
        <v>No</v>
      </c>
    </row>
    <row r="787" spans="1:18" x14ac:dyDescent="0.25">
      <c r="A787" s="3">
        <v>45181</v>
      </c>
      <c r="B787" t="s">
        <v>342</v>
      </c>
      <c r="C787" t="s">
        <v>105</v>
      </c>
      <c r="D787" t="s">
        <v>20</v>
      </c>
      <c r="E787" t="s">
        <v>67</v>
      </c>
      <c r="F787" t="s">
        <v>30</v>
      </c>
      <c r="G787" t="s">
        <v>354</v>
      </c>
      <c r="H787" t="s">
        <v>355</v>
      </c>
      <c r="I787">
        <v>0.09</v>
      </c>
      <c r="J787">
        <f t="shared" si="36"/>
        <v>54</v>
      </c>
      <c r="K787">
        <v>0</v>
      </c>
      <c r="L787">
        <f t="shared" si="37"/>
        <v>54</v>
      </c>
      <c r="M787" s="4">
        <f t="shared" si="38"/>
        <v>7.7142857142857138E-2</v>
      </c>
      <c r="N787">
        <v>700</v>
      </c>
      <c r="O787">
        <v>600</v>
      </c>
      <c r="P787" t="s">
        <v>25</v>
      </c>
      <c r="Q787" t="s">
        <v>26</v>
      </c>
      <c r="R787" t="str">
        <f>IF(COUNTIF(Sheet2!B:B, A787) &gt; 0, "Yes", "No")</f>
        <v>No</v>
      </c>
    </row>
    <row r="788" spans="1:18" x14ac:dyDescent="0.25">
      <c r="A788" s="3">
        <v>45181</v>
      </c>
      <c r="B788" t="s">
        <v>342</v>
      </c>
      <c r="C788" t="s">
        <v>105</v>
      </c>
      <c r="D788" t="s">
        <v>20</v>
      </c>
      <c r="E788" t="s">
        <v>67</v>
      </c>
      <c r="F788" t="s">
        <v>37</v>
      </c>
      <c r="G788" t="s">
        <v>108</v>
      </c>
      <c r="H788" t="s">
        <v>266</v>
      </c>
      <c r="I788">
        <v>3.5000000000000003E-2</v>
      </c>
      <c r="J788">
        <f t="shared" si="36"/>
        <v>21.000000000000004</v>
      </c>
      <c r="K788">
        <v>0</v>
      </c>
      <c r="L788">
        <f t="shared" si="37"/>
        <v>21.000000000000004</v>
      </c>
      <c r="M788" s="4">
        <f t="shared" si="38"/>
        <v>3.0000000000000006E-2</v>
      </c>
      <c r="N788">
        <v>700</v>
      </c>
      <c r="O788">
        <v>600</v>
      </c>
      <c r="P788" t="s">
        <v>25</v>
      </c>
      <c r="Q788" t="s">
        <v>26</v>
      </c>
      <c r="R788" t="str">
        <f>IF(COUNTIF(Sheet2!B:B, A788) &gt; 0, "Yes", "No")</f>
        <v>No</v>
      </c>
    </row>
    <row r="789" spans="1:18" x14ac:dyDescent="0.25">
      <c r="A789" s="3">
        <v>45181</v>
      </c>
      <c r="B789" t="s">
        <v>342</v>
      </c>
      <c r="C789" t="s">
        <v>105</v>
      </c>
      <c r="D789" t="s">
        <v>20</v>
      </c>
      <c r="E789" t="s">
        <v>67</v>
      </c>
      <c r="F789" t="s">
        <v>40</v>
      </c>
      <c r="G789" t="s">
        <v>164</v>
      </c>
      <c r="H789" t="s">
        <v>202</v>
      </c>
      <c r="I789">
        <v>0.05</v>
      </c>
      <c r="J789">
        <f t="shared" si="36"/>
        <v>30</v>
      </c>
      <c r="K789">
        <v>0</v>
      </c>
      <c r="L789">
        <f t="shared" si="37"/>
        <v>30</v>
      </c>
      <c r="M789" s="4">
        <f t="shared" si="38"/>
        <v>4.2857142857142858E-2</v>
      </c>
      <c r="N789">
        <v>700</v>
      </c>
      <c r="O789">
        <v>600</v>
      </c>
      <c r="P789" t="s">
        <v>25</v>
      </c>
      <c r="Q789" t="s">
        <v>26</v>
      </c>
      <c r="R789" t="str">
        <f>IF(COUNTIF(Sheet2!B:B, A789) &gt; 0, "Yes", "No")</f>
        <v>No</v>
      </c>
    </row>
    <row r="790" spans="1:18" x14ac:dyDescent="0.25">
      <c r="A790" s="3">
        <v>45181</v>
      </c>
      <c r="B790" t="s">
        <v>342</v>
      </c>
      <c r="C790" t="s">
        <v>105</v>
      </c>
      <c r="D790" t="s">
        <v>20</v>
      </c>
      <c r="E790" t="s">
        <v>67</v>
      </c>
      <c r="F790" t="s">
        <v>43</v>
      </c>
      <c r="G790" t="s">
        <v>90</v>
      </c>
      <c r="H790" t="s">
        <v>356</v>
      </c>
      <c r="I790">
        <v>0.11</v>
      </c>
      <c r="J790">
        <f t="shared" si="36"/>
        <v>66</v>
      </c>
      <c r="K790">
        <v>0.5</v>
      </c>
      <c r="L790">
        <f t="shared" si="37"/>
        <v>65.5</v>
      </c>
      <c r="M790" s="4">
        <f t="shared" si="38"/>
        <v>9.3571428571428569E-2</v>
      </c>
      <c r="N790">
        <v>700</v>
      </c>
      <c r="O790">
        <v>600</v>
      </c>
      <c r="P790" t="s">
        <v>25</v>
      </c>
      <c r="Q790" t="s">
        <v>26</v>
      </c>
      <c r="R790" t="str">
        <f>IF(COUNTIF(Sheet2!B:B, A790) &gt; 0, "Yes", "No")</f>
        <v>No</v>
      </c>
    </row>
    <row r="791" spans="1:18" x14ac:dyDescent="0.25">
      <c r="A791" s="3">
        <v>45181</v>
      </c>
      <c r="B791" t="s">
        <v>342</v>
      </c>
      <c r="C791" t="s">
        <v>105</v>
      </c>
      <c r="D791" t="s">
        <v>20</v>
      </c>
      <c r="E791" t="s">
        <v>67</v>
      </c>
      <c r="F791" t="s">
        <v>46</v>
      </c>
      <c r="G791" t="s">
        <v>175</v>
      </c>
      <c r="H791" t="s">
        <v>173</v>
      </c>
      <c r="I791">
        <v>8.5000000000000006E-2</v>
      </c>
      <c r="J791">
        <f t="shared" si="36"/>
        <v>51.000000000000007</v>
      </c>
      <c r="K791">
        <v>0</v>
      </c>
      <c r="L791">
        <f t="shared" si="37"/>
        <v>51.000000000000007</v>
      </c>
      <c r="M791" s="4">
        <f t="shared" si="38"/>
        <v>7.285714285714287E-2</v>
      </c>
      <c r="N791">
        <v>700</v>
      </c>
      <c r="O791">
        <v>600</v>
      </c>
      <c r="P791" t="s">
        <v>25</v>
      </c>
      <c r="Q791" t="s">
        <v>26</v>
      </c>
      <c r="R791" t="str">
        <f>IF(COUNTIF(Sheet2!B:B, A791) &gt; 0, "Yes", "No")</f>
        <v>No</v>
      </c>
    </row>
    <row r="792" spans="1:18" x14ac:dyDescent="0.25">
      <c r="A792" s="3">
        <v>45181</v>
      </c>
      <c r="B792" t="s">
        <v>342</v>
      </c>
      <c r="C792" t="s">
        <v>105</v>
      </c>
      <c r="D792" t="s">
        <v>20</v>
      </c>
      <c r="E792" t="s">
        <v>67</v>
      </c>
      <c r="F792" t="s">
        <v>49</v>
      </c>
      <c r="G792" t="s">
        <v>50</v>
      </c>
      <c r="H792" t="s">
        <v>49</v>
      </c>
      <c r="I792">
        <v>0.09</v>
      </c>
      <c r="J792">
        <f t="shared" si="36"/>
        <v>54</v>
      </c>
      <c r="K792">
        <v>0</v>
      </c>
      <c r="L792">
        <f t="shared" si="37"/>
        <v>54</v>
      </c>
      <c r="M792" s="4">
        <f t="shared" si="38"/>
        <v>7.7142857142857138E-2</v>
      </c>
      <c r="N792">
        <v>700</v>
      </c>
      <c r="O792">
        <v>600</v>
      </c>
      <c r="P792" t="s">
        <v>25</v>
      </c>
      <c r="Q792" t="s">
        <v>26</v>
      </c>
      <c r="R792" t="str">
        <f>IF(COUNTIF(Sheet2!B:B, A792) &gt; 0, "Yes", "No")</f>
        <v>No</v>
      </c>
    </row>
    <row r="793" spans="1:18" x14ac:dyDescent="0.25">
      <c r="A793" s="3">
        <v>45182</v>
      </c>
      <c r="B793" t="s">
        <v>342</v>
      </c>
      <c r="C793" t="s">
        <v>51</v>
      </c>
      <c r="D793" t="s">
        <v>20</v>
      </c>
      <c r="E793" t="s">
        <v>21</v>
      </c>
      <c r="F793" t="s">
        <v>22</v>
      </c>
      <c r="G793" t="s">
        <v>122</v>
      </c>
      <c r="H793" t="s">
        <v>260</v>
      </c>
      <c r="I793">
        <v>8.5000000000000006E-2</v>
      </c>
      <c r="J793">
        <f t="shared" si="36"/>
        <v>61.2</v>
      </c>
      <c r="K793">
        <v>2</v>
      </c>
      <c r="L793">
        <f t="shared" si="37"/>
        <v>59.2</v>
      </c>
      <c r="M793" s="4">
        <f t="shared" si="38"/>
        <v>7.5897435897435903E-2</v>
      </c>
      <c r="N793">
        <v>780</v>
      </c>
      <c r="O793">
        <v>720</v>
      </c>
      <c r="P793" t="s">
        <v>25</v>
      </c>
      <c r="Q793" t="s">
        <v>26</v>
      </c>
      <c r="R793" t="str">
        <f>IF(COUNTIF(Sheet2!B:B, A793) &gt; 0, "Yes", "No")</f>
        <v>No</v>
      </c>
    </row>
    <row r="794" spans="1:18" x14ac:dyDescent="0.25">
      <c r="A794" s="3">
        <v>45182</v>
      </c>
      <c r="B794" t="s">
        <v>342</v>
      </c>
      <c r="C794" t="s">
        <v>51</v>
      </c>
      <c r="D794" t="s">
        <v>20</v>
      </c>
      <c r="E794" t="s">
        <v>21</v>
      </c>
      <c r="F794" t="s">
        <v>27</v>
      </c>
      <c r="G794" t="s">
        <v>28</v>
      </c>
      <c r="H794" t="s">
        <v>357</v>
      </c>
      <c r="I794">
        <v>0.11</v>
      </c>
      <c r="J794">
        <f t="shared" si="36"/>
        <v>79.2</v>
      </c>
      <c r="K794">
        <v>5</v>
      </c>
      <c r="L794">
        <f t="shared" si="37"/>
        <v>74.2</v>
      </c>
      <c r="M794" s="4">
        <f t="shared" si="38"/>
        <v>9.5128205128205134E-2</v>
      </c>
      <c r="N794">
        <v>780</v>
      </c>
      <c r="O794">
        <v>720</v>
      </c>
      <c r="P794" t="s">
        <v>25</v>
      </c>
      <c r="Q794" t="s">
        <v>26</v>
      </c>
      <c r="R794" t="str">
        <f>IF(COUNTIF(Sheet2!B:B, A794) &gt; 0, "Yes", "No")</f>
        <v>No</v>
      </c>
    </row>
    <row r="795" spans="1:18" x14ac:dyDescent="0.25">
      <c r="A795" s="3">
        <v>45182</v>
      </c>
      <c r="B795" t="s">
        <v>342</v>
      </c>
      <c r="C795" t="s">
        <v>51</v>
      </c>
      <c r="D795" t="s">
        <v>20</v>
      </c>
      <c r="E795" t="s">
        <v>21</v>
      </c>
      <c r="F795" t="s">
        <v>30</v>
      </c>
      <c r="G795" t="s">
        <v>31</v>
      </c>
      <c r="H795" t="s">
        <v>31</v>
      </c>
      <c r="I795">
        <v>0.09</v>
      </c>
      <c r="J795">
        <f t="shared" si="36"/>
        <v>64.8</v>
      </c>
      <c r="K795">
        <v>2</v>
      </c>
      <c r="L795">
        <f t="shared" si="37"/>
        <v>62.8</v>
      </c>
      <c r="M795" s="4">
        <f t="shared" si="38"/>
        <v>8.0512820512820507E-2</v>
      </c>
      <c r="N795">
        <v>780</v>
      </c>
      <c r="O795">
        <v>720</v>
      </c>
      <c r="P795" t="s">
        <v>25</v>
      </c>
      <c r="Q795" t="s">
        <v>26</v>
      </c>
      <c r="R795" t="str">
        <f>IF(COUNTIF(Sheet2!B:B, A795) &gt; 0, "Yes", "No")</f>
        <v>No</v>
      </c>
    </row>
    <row r="796" spans="1:18" x14ac:dyDescent="0.25">
      <c r="A796" s="3">
        <v>45182</v>
      </c>
      <c r="B796" t="s">
        <v>342</v>
      </c>
      <c r="C796" t="s">
        <v>51</v>
      </c>
      <c r="D796" t="s">
        <v>33</v>
      </c>
      <c r="E796" t="s">
        <v>21</v>
      </c>
      <c r="F796" t="s">
        <v>34</v>
      </c>
      <c r="G796" t="s">
        <v>57</v>
      </c>
      <c r="H796" t="s">
        <v>314</v>
      </c>
      <c r="I796">
        <v>0.15</v>
      </c>
      <c r="J796">
        <f t="shared" si="36"/>
        <v>54</v>
      </c>
      <c r="K796">
        <v>0</v>
      </c>
      <c r="L796">
        <f t="shared" si="37"/>
        <v>54</v>
      </c>
      <c r="M796" s="4">
        <f t="shared" si="38"/>
        <v>0.13846153846153847</v>
      </c>
      <c r="N796">
        <v>390</v>
      </c>
      <c r="O796">
        <v>360</v>
      </c>
      <c r="P796" t="s">
        <v>25</v>
      </c>
      <c r="Q796" t="s">
        <v>26</v>
      </c>
      <c r="R796" t="str">
        <f>IF(COUNTIF(Sheet2!B:B, A796) &gt; 0, "Yes", "No")</f>
        <v>No</v>
      </c>
    </row>
    <row r="797" spans="1:18" x14ac:dyDescent="0.25">
      <c r="A797" s="3">
        <v>45182</v>
      </c>
      <c r="B797" t="s">
        <v>342</v>
      </c>
      <c r="C797" t="s">
        <v>51</v>
      </c>
      <c r="D797" t="s">
        <v>20</v>
      </c>
      <c r="E797" t="s">
        <v>21</v>
      </c>
      <c r="F797" t="s">
        <v>37</v>
      </c>
      <c r="G797" t="s">
        <v>87</v>
      </c>
      <c r="H797" t="s">
        <v>99</v>
      </c>
      <c r="I797">
        <v>0.03</v>
      </c>
      <c r="J797">
        <f t="shared" si="36"/>
        <v>21.599999999999998</v>
      </c>
      <c r="K797">
        <v>1.5</v>
      </c>
      <c r="L797">
        <f t="shared" si="37"/>
        <v>20.099999999999998</v>
      </c>
      <c r="M797" s="4">
        <f t="shared" si="38"/>
        <v>2.5769230769230766E-2</v>
      </c>
      <c r="N797">
        <v>780</v>
      </c>
      <c r="O797">
        <v>720</v>
      </c>
      <c r="P797" t="s">
        <v>25</v>
      </c>
      <c r="Q797" t="s">
        <v>26</v>
      </c>
      <c r="R797" t="str">
        <f>IF(COUNTIF(Sheet2!B:B, A797) &gt; 0, "Yes", "No")</f>
        <v>No</v>
      </c>
    </row>
    <row r="798" spans="1:18" x14ac:dyDescent="0.25">
      <c r="A798" s="3">
        <v>45182</v>
      </c>
      <c r="B798" t="s">
        <v>342</v>
      </c>
      <c r="C798" t="s">
        <v>51</v>
      </c>
      <c r="D798" t="s">
        <v>20</v>
      </c>
      <c r="E798" t="s">
        <v>21</v>
      </c>
      <c r="F798" t="s">
        <v>40</v>
      </c>
      <c r="G798" t="s">
        <v>127</v>
      </c>
      <c r="H798" t="s">
        <v>358</v>
      </c>
      <c r="I798">
        <v>4.4999999999999998E-2</v>
      </c>
      <c r="J798">
        <f t="shared" si="36"/>
        <v>32.4</v>
      </c>
      <c r="K798">
        <v>1</v>
      </c>
      <c r="L798">
        <f t="shared" si="37"/>
        <v>31.4</v>
      </c>
      <c r="M798" s="4">
        <f t="shared" si="38"/>
        <v>4.0256410256410254E-2</v>
      </c>
      <c r="N798">
        <v>780</v>
      </c>
      <c r="O798">
        <v>720</v>
      </c>
      <c r="P798" t="s">
        <v>25</v>
      </c>
      <c r="Q798" t="s">
        <v>26</v>
      </c>
      <c r="R798" t="str">
        <f>IF(COUNTIF(Sheet2!B:B, A798) &gt; 0, "Yes", "No")</f>
        <v>No</v>
      </c>
    </row>
    <row r="799" spans="1:18" x14ac:dyDescent="0.25">
      <c r="A799" s="3">
        <v>45182</v>
      </c>
      <c r="B799" t="s">
        <v>342</v>
      </c>
      <c r="C799" t="s">
        <v>51</v>
      </c>
      <c r="D799" t="s">
        <v>20</v>
      </c>
      <c r="E799" t="s">
        <v>21</v>
      </c>
      <c r="F799" t="s">
        <v>43</v>
      </c>
      <c r="G799" t="s">
        <v>359</v>
      </c>
      <c r="H799" t="s">
        <v>360</v>
      </c>
      <c r="I799">
        <v>0.11</v>
      </c>
      <c r="J799">
        <f t="shared" si="36"/>
        <v>79.2</v>
      </c>
      <c r="K799">
        <v>0</v>
      </c>
      <c r="L799">
        <f t="shared" si="37"/>
        <v>79.2</v>
      </c>
      <c r="M799" s="4">
        <f t="shared" si="38"/>
        <v>0.10153846153846154</v>
      </c>
      <c r="N799">
        <v>780</v>
      </c>
      <c r="O799">
        <v>720</v>
      </c>
      <c r="P799" t="s">
        <v>25</v>
      </c>
      <c r="Q799" t="s">
        <v>26</v>
      </c>
      <c r="R799" t="str">
        <f>IF(COUNTIF(Sheet2!B:B, A799) &gt; 0, "Yes", "No")</f>
        <v>No</v>
      </c>
    </row>
    <row r="800" spans="1:18" x14ac:dyDescent="0.25">
      <c r="A800" s="3">
        <v>45182</v>
      </c>
      <c r="B800" t="s">
        <v>342</v>
      </c>
      <c r="C800" t="s">
        <v>51</v>
      </c>
      <c r="D800" t="s">
        <v>20</v>
      </c>
      <c r="E800" t="s">
        <v>21</v>
      </c>
      <c r="F800" t="s">
        <v>46</v>
      </c>
      <c r="G800" t="s">
        <v>47</v>
      </c>
      <c r="H800" t="s">
        <v>350</v>
      </c>
      <c r="I800">
        <v>7.4999999999999997E-2</v>
      </c>
      <c r="J800">
        <f t="shared" si="36"/>
        <v>54</v>
      </c>
      <c r="K800">
        <v>4</v>
      </c>
      <c r="L800">
        <f t="shared" si="37"/>
        <v>50</v>
      </c>
      <c r="M800" s="4">
        <f t="shared" si="38"/>
        <v>6.4102564102564097E-2</v>
      </c>
      <c r="N800">
        <v>780</v>
      </c>
      <c r="O800">
        <v>720</v>
      </c>
      <c r="P800" t="s">
        <v>25</v>
      </c>
      <c r="Q800" t="s">
        <v>26</v>
      </c>
      <c r="R800" t="str">
        <f>IF(COUNTIF(Sheet2!B:B, A800) &gt; 0, "Yes", "No")</f>
        <v>No</v>
      </c>
    </row>
    <row r="801" spans="1:18" x14ac:dyDescent="0.25">
      <c r="A801" s="3">
        <v>45182</v>
      </c>
      <c r="B801" t="s">
        <v>342</v>
      </c>
      <c r="C801" t="s">
        <v>51</v>
      </c>
      <c r="D801" t="s">
        <v>20</v>
      </c>
      <c r="E801" t="s">
        <v>21</v>
      </c>
      <c r="F801" t="s">
        <v>49</v>
      </c>
      <c r="G801" t="s">
        <v>50</v>
      </c>
      <c r="H801" t="s">
        <v>49</v>
      </c>
      <c r="I801">
        <v>0.09</v>
      </c>
      <c r="J801">
        <f t="shared" si="36"/>
        <v>64.8</v>
      </c>
      <c r="K801">
        <v>0</v>
      </c>
      <c r="L801">
        <f t="shared" si="37"/>
        <v>64.8</v>
      </c>
      <c r="M801" s="4">
        <f t="shared" si="38"/>
        <v>8.3076923076923076E-2</v>
      </c>
      <c r="N801">
        <v>780</v>
      </c>
      <c r="O801">
        <v>720</v>
      </c>
      <c r="P801" t="s">
        <v>25</v>
      </c>
      <c r="Q801" t="s">
        <v>26</v>
      </c>
      <c r="R801" t="str">
        <f>IF(COUNTIF(Sheet2!B:B, A801) &gt; 0, "Yes", "No")</f>
        <v>No</v>
      </c>
    </row>
    <row r="802" spans="1:18" x14ac:dyDescent="0.25">
      <c r="A802" s="3">
        <v>45183</v>
      </c>
      <c r="B802" t="s">
        <v>342</v>
      </c>
      <c r="C802" t="s">
        <v>66</v>
      </c>
      <c r="D802" t="s">
        <v>20</v>
      </c>
      <c r="E802" t="s">
        <v>67</v>
      </c>
      <c r="F802" t="s">
        <v>22</v>
      </c>
      <c r="G802" t="s">
        <v>23</v>
      </c>
      <c r="H802" t="s">
        <v>196</v>
      </c>
      <c r="I802">
        <v>8.5000000000000006E-2</v>
      </c>
      <c r="J802">
        <f t="shared" si="36"/>
        <v>51.000000000000007</v>
      </c>
      <c r="K802">
        <v>0</v>
      </c>
      <c r="L802">
        <f t="shared" si="37"/>
        <v>51.000000000000007</v>
      </c>
      <c r="M802" s="4">
        <f t="shared" si="38"/>
        <v>7.8461538461538471E-2</v>
      </c>
      <c r="N802">
        <v>650</v>
      </c>
      <c r="O802">
        <v>600</v>
      </c>
      <c r="P802" t="s">
        <v>25</v>
      </c>
      <c r="Q802" t="s">
        <v>26</v>
      </c>
      <c r="R802" t="str">
        <f>IF(COUNTIF(Sheet2!B:B, A802) &gt; 0, "Yes", "No")</f>
        <v>No</v>
      </c>
    </row>
    <row r="803" spans="1:18" x14ac:dyDescent="0.25">
      <c r="A803" s="3">
        <v>45183</v>
      </c>
      <c r="B803" t="s">
        <v>342</v>
      </c>
      <c r="C803" t="s">
        <v>66</v>
      </c>
      <c r="D803" t="s">
        <v>20</v>
      </c>
      <c r="E803" t="s">
        <v>67</v>
      </c>
      <c r="F803" t="s">
        <v>27</v>
      </c>
      <c r="G803" t="s">
        <v>780</v>
      </c>
      <c r="H803" t="s">
        <v>149</v>
      </c>
      <c r="I803">
        <v>0.11</v>
      </c>
      <c r="J803">
        <f t="shared" si="36"/>
        <v>66</v>
      </c>
      <c r="K803">
        <v>0</v>
      </c>
      <c r="L803">
        <f t="shared" si="37"/>
        <v>66</v>
      </c>
      <c r="M803" s="4">
        <f t="shared" si="38"/>
        <v>0.10153846153846154</v>
      </c>
      <c r="N803">
        <v>650</v>
      </c>
      <c r="O803">
        <v>600</v>
      </c>
      <c r="P803" t="s">
        <v>25</v>
      </c>
      <c r="Q803" t="s">
        <v>26</v>
      </c>
      <c r="R803" t="str">
        <f>IF(COUNTIF(Sheet2!B:B, A803) &gt; 0, "Yes", "No")</f>
        <v>No</v>
      </c>
    </row>
    <row r="804" spans="1:18" x14ac:dyDescent="0.25">
      <c r="A804" s="3">
        <v>45183</v>
      </c>
      <c r="B804" t="s">
        <v>342</v>
      </c>
      <c r="C804" t="s">
        <v>66</v>
      </c>
      <c r="D804" t="s">
        <v>20</v>
      </c>
      <c r="E804" t="s">
        <v>67</v>
      </c>
      <c r="F804" t="s">
        <v>30</v>
      </c>
      <c r="G804" t="s">
        <v>354</v>
      </c>
      <c r="H804" t="s">
        <v>361</v>
      </c>
      <c r="I804">
        <v>0.09</v>
      </c>
      <c r="J804">
        <f t="shared" si="36"/>
        <v>54</v>
      </c>
      <c r="K804">
        <v>0</v>
      </c>
      <c r="L804">
        <f t="shared" si="37"/>
        <v>54</v>
      </c>
      <c r="M804" s="4">
        <f t="shared" si="38"/>
        <v>8.3076923076923076E-2</v>
      </c>
      <c r="N804">
        <v>650</v>
      </c>
      <c r="O804">
        <v>600</v>
      </c>
      <c r="P804" t="s">
        <v>25</v>
      </c>
      <c r="Q804" t="s">
        <v>26</v>
      </c>
      <c r="R804" t="str">
        <f>IF(COUNTIF(Sheet2!B:B, A804) &gt; 0, "Yes", "No")</f>
        <v>No</v>
      </c>
    </row>
    <row r="805" spans="1:18" x14ac:dyDescent="0.25">
      <c r="A805" s="3">
        <v>45183</v>
      </c>
      <c r="B805" t="s">
        <v>342</v>
      </c>
      <c r="C805" t="s">
        <v>66</v>
      </c>
      <c r="D805" t="s">
        <v>20</v>
      </c>
      <c r="E805" t="s">
        <v>67</v>
      </c>
      <c r="F805" t="s">
        <v>37</v>
      </c>
      <c r="G805" t="s">
        <v>38</v>
      </c>
      <c r="H805" t="s">
        <v>39</v>
      </c>
      <c r="I805">
        <v>3.5000000000000003E-2</v>
      </c>
      <c r="J805">
        <f t="shared" si="36"/>
        <v>21.000000000000004</v>
      </c>
      <c r="K805">
        <v>0</v>
      </c>
      <c r="L805">
        <f t="shared" si="37"/>
        <v>21.000000000000004</v>
      </c>
      <c r="M805" s="4">
        <f t="shared" si="38"/>
        <v>3.2307692307692315E-2</v>
      </c>
      <c r="N805">
        <v>650</v>
      </c>
      <c r="O805">
        <v>600</v>
      </c>
      <c r="P805" t="s">
        <v>25</v>
      </c>
      <c r="Q805" t="s">
        <v>26</v>
      </c>
      <c r="R805" t="str">
        <f>IF(COUNTIF(Sheet2!B:B, A805) &gt; 0, "Yes", "No")</f>
        <v>No</v>
      </c>
    </row>
    <row r="806" spans="1:18" x14ac:dyDescent="0.25">
      <c r="A806" s="3">
        <v>45183</v>
      </c>
      <c r="B806" t="s">
        <v>342</v>
      </c>
      <c r="C806" t="s">
        <v>66</v>
      </c>
      <c r="D806" t="s">
        <v>20</v>
      </c>
      <c r="E806" t="s">
        <v>67</v>
      </c>
      <c r="F806" t="s">
        <v>40</v>
      </c>
      <c r="G806" t="s">
        <v>127</v>
      </c>
      <c r="H806" t="s">
        <v>127</v>
      </c>
      <c r="I806">
        <v>0.05</v>
      </c>
      <c r="J806">
        <f t="shared" si="36"/>
        <v>30</v>
      </c>
      <c r="K806">
        <v>0</v>
      </c>
      <c r="L806">
        <f t="shared" si="37"/>
        <v>30</v>
      </c>
      <c r="M806" s="4">
        <f t="shared" si="38"/>
        <v>4.6153846153846156E-2</v>
      </c>
      <c r="N806">
        <v>650</v>
      </c>
      <c r="O806">
        <v>600</v>
      </c>
      <c r="P806" t="s">
        <v>25</v>
      </c>
      <c r="Q806" t="s">
        <v>26</v>
      </c>
      <c r="R806" t="str">
        <f>IF(COUNTIF(Sheet2!B:B, A806) &gt; 0, "Yes", "No")</f>
        <v>No</v>
      </c>
    </row>
    <row r="807" spans="1:18" x14ac:dyDescent="0.25">
      <c r="A807" s="3">
        <v>45183</v>
      </c>
      <c r="B807" t="s">
        <v>342</v>
      </c>
      <c r="C807" t="s">
        <v>66</v>
      </c>
      <c r="D807" t="s">
        <v>20</v>
      </c>
      <c r="E807" t="s">
        <v>67</v>
      </c>
      <c r="F807" t="s">
        <v>43</v>
      </c>
      <c r="G807" t="s">
        <v>75</v>
      </c>
      <c r="H807" t="s">
        <v>120</v>
      </c>
      <c r="I807">
        <v>0.11</v>
      </c>
      <c r="J807">
        <f t="shared" si="36"/>
        <v>66</v>
      </c>
      <c r="K807">
        <v>3.5</v>
      </c>
      <c r="L807">
        <f t="shared" si="37"/>
        <v>62.5</v>
      </c>
      <c r="M807" s="4">
        <f t="shared" si="38"/>
        <v>9.6153846153846159E-2</v>
      </c>
      <c r="N807">
        <v>650</v>
      </c>
      <c r="O807">
        <v>600</v>
      </c>
      <c r="P807" t="s">
        <v>25</v>
      </c>
      <c r="Q807" t="s">
        <v>26</v>
      </c>
      <c r="R807" t="str">
        <f>IF(COUNTIF(Sheet2!B:B, A807) &gt; 0, "Yes", "No")</f>
        <v>No</v>
      </c>
    </row>
    <row r="808" spans="1:18" x14ac:dyDescent="0.25">
      <c r="A808" s="3">
        <v>45183</v>
      </c>
      <c r="B808" t="s">
        <v>342</v>
      </c>
      <c r="C808" t="s">
        <v>66</v>
      </c>
      <c r="D808" t="s">
        <v>20</v>
      </c>
      <c r="E808" t="s">
        <v>67</v>
      </c>
      <c r="F808" t="s">
        <v>46</v>
      </c>
      <c r="G808" t="s">
        <v>130</v>
      </c>
      <c r="H808" t="s">
        <v>131</v>
      </c>
      <c r="I808">
        <v>8.5000000000000006E-2</v>
      </c>
      <c r="J808">
        <f t="shared" si="36"/>
        <v>51.000000000000007</v>
      </c>
      <c r="K808">
        <v>0</v>
      </c>
      <c r="L808">
        <f t="shared" si="37"/>
        <v>51.000000000000007</v>
      </c>
      <c r="M808" s="4">
        <f t="shared" si="38"/>
        <v>7.8461538461538471E-2</v>
      </c>
      <c r="N808">
        <v>650</v>
      </c>
      <c r="O808">
        <v>600</v>
      </c>
      <c r="P808" t="s">
        <v>25</v>
      </c>
      <c r="Q808" t="s">
        <v>26</v>
      </c>
      <c r="R808" t="str">
        <f>IF(COUNTIF(Sheet2!B:B, A808) &gt; 0, "Yes", "No")</f>
        <v>No</v>
      </c>
    </row>
    <row r="809" spans="1:18" x14ac:dyDescent="0.25">
      <c r="A809" s="3">
        <v>45183</v>
      </c>
      <c r="B809" t="s">
        <v>342</v>
      </c>
      <c r="C809" t="s">
        <v>66</v>
      </c>
      <c r="D809" t="s">
        <v>20</v>
      </c>
      <c r="E809" t="s">
        <v>67</v>
      </c>
      <c r="F809" t="s">
        <v>49</v>
      </c>
      <c r="G809" t="s">
        <v>50</v>
      </c>
      <c r="H809" t="s">
        <v>49</v>
      </c>
      <c r="I809">
        <v>0.09</v>
      </c>
      <c r="J809">
        <f t="shared" si="36"/>
        <v>54</v>
      </c>
      <c r="K809">
        <v>0</v>
      </c>
      <c r="L809">
        <f t="shared" si="37"/>
        <v>54</v>
      </c>
      <c r="M809" s="4">
        <f t="shared" si="38"/>
        <v>8.3076923076923076E-2</v>
      </c>
      <c r="N809">
        <v>650</v>
      </c>
      <c r="O809">
        <v>600</v>
      </c>
      <c r="P809" t="s">
        <v>25</v>
      </c>
      <c r="Q809" t="s">
        <v>26</v>
      </c>
      <c r="R809" t="str">
        <f>IF(COUNTIF(Sheet2!B:B, A809) &gt; 0, "Yes", "No")</f>
        <v>No</v>
      </c>
    </row>
    <row r="810" spans="1:18" x14ac:dyDescent="0.25">
      <c r="A810" s="3">
        <v>45184</v>
      </c>
      <c r="B810" t="s">
        <v>342</v>
      </c>
      <c r="C810" t="s">
        <v>79</v>
      </c>
      <c r="D810" t="s">
        <v>20</v>
      </c>
      <c r="E810" t="s">
        <v>21</v>
      </c>
      <c r="F810" t="s">
        <v>22</v>
      </c>
      <c r="G810" t="s">
        <v>23</v>
      </c>
      <c r="H810" t="s">
        <v>80</v>
      </c>
      <c r="I810" s="5">
        <v>0.06</v>
      </c>
      <c r="J810">
        <f t="shared" si="36"/>
        <v>27</v>
      </c>
      <c r="K810">
        <v>3</v>
      </c>
      <c r="L810">
        <f t="shared" si="37"/>
        <v>24</v>
      </c>
      <c r="M810" s="4">
        <f t="shared" si="38"/>
        <v>4.8000000000000001E-2</v>
      </c>
      <c r="N810">
        <v>500</v>
      </c>
      <c r="O810">
        <v>450</v>
      </c>
      <c r="P810" t="s">
        <v>25</v>
      </c>
      <c r="Q810" t="s">
        <v>26</v>
      </c>
      <c r="R810" t="str">
        <f>IF(COUNTIF(Sheet2!B:B, A810) &gt; 0, "Yes", "No")</f>
        <v>Yes</v>
      </c>
    </row>
    <row r="811" spans="1:18" x14ac:dyDescent="0.25">
      <c r="A811" s="3">
        <v>45184</v>
      </c>
      <c r="B811" t="s">
        <v>342</v>
      </c>
      <c r="C811" t="s">
        <v>79</v>
      </c>
      <c r="D811" t="s">
        <v>20</v>
      </c>
      <c r="E811" t="s">
        <v>21</v>
      </c>
      <c r="F811" t="s">
        <v>27</v>
      </c>
      <c r="G811" t="s">
        <v>81</v>
      </c>
      <c r="H811" t="s">
        <v>362</v>
      </c>
      <c r="I811" s="5">
        <v>0.1</v>
      </c>
      <c r="J811">
        <f t="shared" si="36"/>
        <v>45</v>
      </c>
      <c r="K811">
        <v>0</v>
      </c>
      <c r="L811">
        <f t="shared" si="37"/>
        <v>45</v>
      </c>
      <c r="M811" s="4">
        <f t="shared" si="38"/>
        <v>0.09</v>
      </c>
      <c r="N811">
        <v>500</v>
      </c>
      <c r="O811">
        <v>450</v>
      </c>
      <c r="P811" t="s">
        <v>25</v>
      </c>
      <c r="Q811" t="s">
        <v>26</v>
      </c>
      <c r="R811" t="str">
        <f>IF(COUNTIF(Sheet2!B:B, A811) &gt; 0, "Yes", "No")</f>
        <v>Yes</v>
      </c>
    </row>
    <row r="812" spans="1:18" x14ac:dyDescent="0.25">
      <c r="A812" s="3">
        <v>45184</v>
      </c>
      <c r="B812" t="s">
        <v>342</v>
      </c>
      <c r="C812" t="s">
        <v>79</v>
      </c>
      <c r="D812" t="s">
        <v>20</v>
      </c>
      <c r="E812" t="s">
        <v>21</v>
      </c>
      <c r="F812" t="s">
        <v>30</v>
      </c>
      <c r="G812" t="s">
        <v>55</v>
      </c>
      <c r="H812" t="s">
        <v>83</v>
      </c>
      <c r="I812" s="5">
        <v>0.06</v>
      </c>
      <c r="J812">
        <f t="shared" si="36"/>
        <v>27</v>
      </c>
      <c r="K812">
        <v>2</v>
      </c>
      <c r="L812">
        <f t="shared" si="37"/>
        <v>25</v>
      </c>
      <c r="M812" s="4">
        <f t="shared" si="38"/>
        <v>0.05</v>
      </c>
      <c r="N812">
        <v>500</v>
      </c>
      <c r="O812">
        <v>450</v>
      </c>
      <c r="P812" t="s">
        <v>25</v>
      </c>
      <c r="Q812" t="s">
        <v>26</v>
      </c>
      <c r="R812" t="str">
        <f>IF(COUNTIF(Sheet2!B:B, A812) &gt; 0, "Yes", "No")</f>
        <v>Yes</v>
      </c>
    </row>
    <row r="813" spans="1:18" x14ac:dyDescent="0.25">
      <c r="A813" s="3">
        <v>45184</v>
      </c>
      <c r="B813" t="s">
        <v>342</v>
      </c>
      <c r="C813" t="s">
        <v>79</v>
      </c>
      <c r="D813" t="s">
        <v>33</v>
      </c>
      <c r="E813" t="s">
        <v>21</v>
      </c>
      <c r="F813" t="s">
        <v>84</v>
      </c>
      <c r="G813" t="s">
        <v>85</v>
      </c>
      <c r="H813" t="s">
        <v>363</v>
      </c>
      <c r="I813" s="5">
        <v>0.3</v>
      </c>
      <c r="J813">
        <f t="shared" si="36"/>
        <v>87.899999999999991</v>
      </c>
      <c r="K813">
        <v>0</v>
      </c>
      <c r="L813">
        <f t="shared" si="37"/>
        <v>87.899999999999991</v>
      </c>
      <c r="M813" s="4">
        <f t="shared" si="38"/>
        <v>0.27046153846153842</v>
      </c>
      <c r="N813">
        <v>325</v>
      </c>
      <c r="O813">
        <v>293</v>
      </c>
      <c r="P813" t="s">
        <v>25</v>
      </c>
      <c r="Q813" t="s">
        <v>26</v>
      </c>
      <c r="R813" t="str">
        <f>IF(COUNTIF(Sheet2!B:B, A813) &gt; 0, "Yes", "No")</f>
        <v>Yes</v>
      </c>
    </row>
    <row r="814" spans="1:18" x14ac:dyDescent="0.25">
      <c r="A814" s="3">
        <v>45184</v>
      </c>
      <c r="B814" t="s">
        <v>342</v>
      </c>
      <c r="C814" t="s">
        <v>79</v>
      </c>
      <c r="D814" t="s">
        <v>20</v>
      </c>
      <c r="E814" t="s">
        <v>21</v>
      </c>
      <c r="F814" t="s">
        <v>37</v>
      </c>
      <c r="G814" t="s">
        <v>71</v>
      </c>
      <c r="H814" t="s">
        <v>151</v>
      </c>
      <c r="I814" s="5">
        <v>2.5000000000000001E-2</v>
      </c>
      <c r="J814">
        <f t="shared" si="36"/>
        <v>11.25</v>
      </c>
      <c r="K814">
        <v>2</v>
      </c>
      <c r="L814">
        <f t="shared" si="37"/>
        <v>9.25</v>
      </c>
      <c r="M814" s="4">
        <f t="shared" si="38"/>
        <v>1.8499999999999999E-2</v>
      </c>
      <c r="N814">
        <v>500</v>
      </c>
      <c r="O814">
        <v>450</v>
      </c>
      <c r="P814" t="s">
        <v>25</v>
      </c>
      <c r="Q814" t="s">
        <v>26</v>
      </c>
      <c r="R814" t="str">
        <f>IF(COUNTIF(Sheet2!B:B, A814) &gt; 0, "Yes", "No")</f>
        <v>Yes</v>
      </c>
    </row>
    <row r="815" spans="1:18" x14ac:dyDescent="0.25">
      <c r="A815" s="3">
        <v>45184</v>
      </c>
      <c r="B815" t="s">
        <v>342</v>
      </c>
      <c r="C815" t="s">
        <v>79</v>
      </c>
      <c r="D815" t="s">
        <v>20</v>
      </c>
      <c r="E815" t="s">
        <v>21</v>
      </c>
      <c r="F815" t="s">
        <v>40</v>
      </c>
      <c r="G815" t="s">
        <v>364</v>
      </c>
      <c r="H815" t="s">
        <v>365</v>
      </c>
      <c r="I815" s="5">
        <v>0.04</v>
      </c>
      <c r="J815">
        <f t="shared" si="36"/>
        <v>18</v>
      </c>
      <c r="K815">
        <v>3</v>
      </c>
      <c r="L815">
        <f t="shared" si="37"/>
        <v>15</v>
      </c>
      <c r="M815" s="4">
        <f t="shared" si="38"/>
        <v>0.03</v>
      </c>
      <c r="N815">
        <v>500</v>
      </c>
      <c r="O815">
        <v>450</v>
      </c>
      <c r="P815" t="s">
        <v>25</v>
      </c>
      <c r="Q815" t="s">
        <v>26</v>
      </c>
      <c r="R815" t="str">
        <f>IF(COUNTIF(Sheet2!B:B, A815) &gt; 0, "Yes", "No")</f>
        <v>Yes</v>
      </c>
    </row>
    <row r="816" spans="1:18" x14ac:dyDescent="0.25">
      <c r="A816" s="3">
        <v>45184</v>
      </c>
      <c r="B816" t="s">
        <v>342</v>
      </c>
      <c r="C816" t="s">
        <v>79</v>
      </c>
      <c r="D816" t="s">
        <v>20</v>
      </c>
      <c r="E816" t="s">
        <v>21</v>
      </c>
      <c r="F816" t="s">
        <v>43</v>
      </c>
      <c r="G816" t="s">
        <v>90</v>
      </c>
      <c r="H816" t="s">
        <v>188</v>
      </c>
      <c r="I816" s="5">
        <v>7.0000000000000007E-2</v>
      </c>
      <c r="J816">
        <f t="shared" si="36"/>
        <v>31.500000000000004</v>
      </c>
      <c r="K816">
        <v>5</v>
      </c>
      <c r="L816">
        <f t="shared" si="37"/>
        <v>26.500000000000004</v>
      </c>
      <c r="M816" s="4">
        <f t="shared" si="38"/>
        <v>5.3000000000000005E-2</v>
      </c>
      <c r="N816">
        <v>500</v>
      </c>
      <c r="O816">
        <v>450</v>
      </c>
      <c r="P816" t="s">
        <v>25</v>
      </c>
      <c r="Q816" t="s">
        <v>26</v>
      </c>
      <c r="R816" t="str">
        <f>IF(COUNTIF(Sheet2!B:B, A816) &gt; 0, "Yes", "No")</f>
        <v>Yes</v>
      </c>
    </row>
    <row r="817" spans="1:18" x14ac:dyDescent="0.25">
      <c r="A817" s="3">
        <v>45184</v>
      </c>
      <c r="B817" t="s">
        <v>342</v>
      </c>
      <c r="C817" t="s">
        <v>79</v>
      </c>
      <c r="D817" t="s">
        <v>20</v>
      </c>
      <c r="E817" t="s">
        <v>21</v>
      </c>
      <c r="F817" t="s">
        <v>46</v>
      </c>
      <c r="G817" t="s">
        <v>169</v>
      </c>
      <c r="H817" t="s">
        <v>366</v>
      </c>
      <c r="I817" s="5">
        <v>0.05</v>
      </c>
      <c r="J817">
        <f t="shared" si="36"/>
        <v>22.5</v>
      </c>
      <c r="K817">
        <v>2</v>
      </c>
      <c r="L817">
        <f t="shared" si="37"/>
        <v>20.5</v>
      </c>
      <c r="M817" s="4">
        <f t="shared" si="38"/>
        <v>4.1000000000000002E-2</v>
      </c>
      <c r="N817">
        <v>500</v>
      </c>
      <c r="O817">
        <v>450</v>
      </c>
      <c r="P817" t="s">
        <v>25</v>
      </c>
      <c r="Q817" t="s">
        <v>26</v>
      </c>
      <c r="R817" t="str">
        <f>IF(COUNTIF(Sheet2!B:B, A817) &gt; 0, "Yes", "No")</f>
        <v>Yes</v>
      </c>
    </row>
    <row r="818" spans="1:18" x14ac:dyDescent="0.25">
      <c r="A818" s="3">
        <v>45184</v>
      </c>
      <c r="B818" t="s">
        <v>342</v>
      </c>
      <c r="C818" t="s">
        <v>79</v>
      </c>
      <c r="D818" t="s">
        <v>20</v>
      </c>
      <c r="E818" t="s">
        <v>21</v>
      </c>
      <c r="F818" t="s">
        <v>49</v>
      </c>
      <c r="G818" t="s">
        <v>50</v>
      </c>
      <c r="H818" t="s">
        <v>49</v>
      </c>
      <c r="I818" s="5">
        <v>0.04</v>
      </c>
      <c r="J818">
        <f t="shared" si="36"/>
        <v>18</v>
      </c>
      <c r="K818">
        <v>2</v>
      </c>
      <c r="L818">
        <f t="shared" si="37"/>
        <v>16</v>
      </c>
      <c r="M818" s="4">
        <f t="shared" si="38"/>
        <v>3.2000000000000001E-2</v>
      </c>
      <c r="N818">
        <v>500</v>
      </c>
      <c r="O818">
        <v>450</v>
      </c>
      <c r="P818" t="s">
        <v>25</v>
      </c>
      <c r="Q818" t="s">
        <v>26</v>
      </c>
      <c r="R818" t="str">
        <f>IF(COUNTIF(Sheet2!B:B, A818) &gt; 0, "Yes", "No")</f>
        <v>Yes</v>
      </c>
    </row>
    <row r="819" spans="1:18" x14ac:dyDescent="0.25">
      <c r="A819" s="3">
        <v>45188</v>
      </c>
      <c r="B819" t="s">
        <v>342</v>
      </c>
      <c r="C819" t="s">
        <v>105</v>
      </c>
      <c r="D819" t="s">
        <v>20</v>
      </c>
      <c r="E819" t="s">
        <v>67</v>
      </c>
      <c r="F819" t="s">
        <v>22</v>
      </c>
      <c r="G819" t="s">
        <v>122</v>
      </c>
      <c r="H819" t="s">
        <v>260</v>
      </c>
      <c r="I819">
        <v>8.5000000000000006E-2</v>
      </c>
      <c r="J819">
        <f t="shared" si="36"/>
        <v>46.75</v>
      </c>
      <c r="K819">
        <v>0</v>
      </c>
      <c r="L819">
        <f t="shared" si="37"/>
        <v>46.75</v>
      </c>
      <c r="M819" s="4">
        <f t="shared" si="38"/>
        <v>7.7916666666666662E-2</v>
      </c>
      <c r="N819">
        <v>600</v>
      </c>
      <c r="O819">
        <v>550</v>
      </c>
      <c r="P819" t="s">
        <v>341</v>
      </c>
      <c r="Q819" t="s">
        <v>284</v>
      </c>
      <c r="R819" t="str">
        <f>IF(COUNTIF(Sheet2!B:B, A819) &gt; 0, "Yes", "No")</f>
        <v>No</v>
      </c>
    </row>
    <row r="820" spans="1:18" x14ac:dyDescent="0.25">
      <c r="A820" s="3">
        <v>45188</v>
      </c>
      <c r="B820" t="s">
        <v>342</v>
      </c>
      <c r="C820" t="s">
        <v>105</v>
      </c>
      <c r="D820" t="s">
        <v>20</v>
      </c>
      <c r="E820" t="s">
        <v>67</v>
      </c>
      <c r="F820" t="s">
        <v>27</v>
      </c>
      <c r="G820" t="s">
        <v>28</v>
      </c>
      <c r="H820" t="s">
        <v>207</v>
      </c>
      <c r="I820">
        <v>0.11</v>
      </c>
      <c r="J820">
        <f t="shared" si="36"/>
        <v>60.5</v>
      </c>
      <c r="K820">
        <v>0</v>
      </c>
      <c r="L820">
        <f t="shared" si="37"/>
        <v>60.5</v>
      </c>
      <c r="M820" s="4">
        <f t="shared" si="38"/>
        <v>0.10083333333333333</v>
      </c>
      <c r="N820">
        <v>600</v>
      </c>
      <c r="O820">
        <v>550</v>
      </c>
      <c r="P820" t="s">
        <v>341</v>
      </c>
      <c r="Q820" t="s">
        <v>284</v>
      </c>
      <c r="R820" t="str">
        <f>IF(COUNTIF(Sheet2!B:B, A820) &gt; 0, "Yes", "No")</f>
        <v>No</v>
      </c>
    </row>
    <row r="821" spans="1:18" x14ac:dyDescent="0.25">
      <c r="A821" s="3">
        <v>45188</v>
      </c>
      <c r="B821" t="s">
        <v>342</v>
      </c>
      <c r="C821" t="s">
        <v>105</v>
      </c>
      <c r="D821" t="s">
        <v>20</v>
      </c>
      <c r="E821" t="s">
        <v>67</v>
      </c>
      <c r="F821" t="s">
        <v>30</v>
      </c>
      <c r="G821" t="s">
        <v>55</v>
      </c>
      <c r="H821" t="s">
        <v>125</v>
      </c>
      <c r="I821">
        <v>0.09</v>
      </c>
      <c r="J821">
        <f t="shared" si="36"/>
        <v>49.5</v>
      </c>
      <c r="K821">
        <v>0</v>
      </c>
      <c r="L821">
        <f t="shared" si="37"/>
        <v>49.5</v>
      </c>
      <c r="M821" s="4">
        <f t="shared" si="38"/>
        <v>8.2500000000000004E-2</v>
      </c>
      <c r="N821">
        <v>600</v>
      </c>
      <c r="O821">
        <v>550</v>
      </c>
      <c r="P821" t="s">
        <v>341</v>
      </c>
      <c r="Q821" t="s">
        <v>284</v>
      </c>
      <c r="R821" t="str">
        <f>IF(COUNTIF(Sheet2!B:B, A821) &gt; 0, "Yes", "No")</f>
        <v>No</v>
      </c>
    </row>
    <row r="822" spans="1:18" x14ac:dyDescent="0.25">
      <c r="A822" s="3">
        <v>45188</v>
      </c>
      <c r="B822" t="s">
        <v>342</v>
      </c>
      <c r="C822" t="s">
        <v>105</v>
      </c>
      <c r="D822" t="s">
        <v>20</v>
      </c>
      <c r="E822" t="s">
        <v>67</v>
      </c>
      <c r="F822" t="s">
        <v>37</v>
      </c>
      <c r="G822" t="s">
        <v>38</v>
      </c>
      <c r="H822" t="s">
        <v>39</v>
      </c>
      <c r="I822">
        <v>3.5000000000000003E-2</v>
      </c>
      <c r="J822">
        <f t="shared" si="36"/>
        <v>19.250000000000004</v>
      </c>
      <c r="K822">
        <v>0</v>
      </c>
      <c r="L822">
        <f t="shared" si="37"/>
        <v>19.250000000000004</v>
      </c>
      <c r="M822" s="4">
        <f t="shared" si="38"/>
        <v>3.2083333333333339E-2</v>
      </c>
      <c r="N822">
        <v>600</v>
      </c>
      <c r="O822">
        <v>550</v>
      </c>
      <c r="P822" t="s">
        <v>341</v>
      </c>
      <c r="Q822" t="s">
        <v>284</v>
      </c>
      <c r="R822" t="str">
        <f>IF(COUNTIF(Sheet2!B:B, A822) &gt; 0, "Yes", "No")</f>
        <v>No</v>
      </c>
    </row>
    <row r="823" spans="1:18" x14ac:dyDescent="0.25">
      <c r="A823" s="3">
        <v>45188</v>
      </c>
      <c r="B823" t="s">
        <v>342</v>
      </c>
      <c r="C823" t="s">
        <v>105</v>
      </c>
      <c r="D823" t="s">
        <v>20</v>
      </c>
      <c r="E823" t="s">
        <v>67</v>
      </c>
      <c r="F823" t="s">
        <v>40</v>
      </c>
      <c r="G823" t="s">
        <v>164</v>
      </c>
      <c r="H823" t="s">
        <v>193</v>
      </c>
      <c r="I823">
        <v>0.05</v>
      </c>
      <c r="J823">
        <f t="shared" si="36"/>
        <v>27.5</v>
      </c>
      <c r="K823">
        <v>0</v>
      </c>
      <c r="L823">
        <f t="shared" si="37"/>
        <v>27.5</v>
      </c>
      <c r="M823" s="4">
        <f t="shared" si="38"/>
        <v>4.583333333333333E-2</v>
      </c>
      <c r="N823">
        <v>600</v>
      </c>
      <c r="O823">
        <v>550</v>
      </c>
      <c r="P823" t="s">
        <v>341</v>
      </c>
      <c r="Q823" t="s">
        <v>284</v>
      </c>
      <c r="R823" t="str">
        <f>IF(COUNTIF(Sheet2!B:B, A823) &gt; 0, "Yes", "No")</f>
        <v>No</v>
      </c>
    </row>
    <row r="824" spans="1:18" x14ac:dyDescent="0.25">
      <c r="A824" s="3">
        <v>45188</v>
      </c>
      <c r="B824" t="s">
        <v>342</v>
      </c>
      <c r="C824" t="s">
        <v>105</v>
      </c>
      <c r="D824" t="s">
        <v>20</v>
      </c>
      <c r="E824" t="s">
        <v>67</v>
      </c>
      <c r="F824" t="s">
        <v>43</v>
      </c>
      <c r="G824" t="s">
        <v>44</v>
      </c>
      <c r="H824" t="s">
        <v>185</v>
      </c>
      <c r="I824">
        <v>0.11</v>
      </c>
      <c r="J824">
        <f t="shared" si="36"/>
        <v>60.5</v>
      </c>
      <c r="K824">
        <v>0</v>
      </c>
      <c r="L824">
        <f t="shared" si="37"/>
        <v>60.5</v>
      </c>
      <c r="M824" s="4">
        <f t="shared" si="38"/>
        <v>0.10083333333333333</v>
      </c>
      <c r="N824">
        <v>600</v>
      </c>
      <c r="O824">
        <v>550</v>
      </c>
      <c r="P824" t="s">
        <v>341</v>
      </c>
      <c r="Q824" t="s">
        <v>284</v>
      </c>
      <c r="R824" t="str">
        <f>IF(COUNTIF(Sheet2!B:B, A824) &gt; 0, "Yes", "No")</f>
        <v>No</v>
      </c>
    </row>
    <row r="825" spans="1:18" x14ac:dyDescent="0.25">
      <c r="A825" s="3">
        <v>45188</v>
      </c>
      <c r="B825" t="s">
        <v>342</v>
      </c>
      <c r="C825" t="s">
        <v>105</v>
      </c>
      <c r="D825" t="s">
        <v>20</v>
      </c>
      <c r="E825" t="s">
        <v>67</v>
      </c>
      <c r="F825" t="s">
        <v>46</v>
      </c>
      <c r="G825" t="s">
        <v>77</v>
      </c>
      <c r="H825" t="s">
        <v>245</v>
      </c>
      <c r="I825">
        <v>8.5000000000000006E-2</v>
      </c>
      <c r="J825">
        <f t="shared" si="36"/>
        <v>46.75</v>
      </c>
      <c r="K825">
        <v>2</v>
      </c>
      <c r="L825">
        <f t="shared" si="37"/>
        <v>44.75</v>
      </c>
      <c r="M825" s="4">
        <f t="shared" si="38"/>
        <v>7.4583333333333335E-2</v>
      </c>
      <c r="N825">
        <v>600</v>
      </c>
      <c r="O825">
        <v>550</v>
      </c>
      <c r="P825" t="s">
        <v>341</v>
      </c>
      <c r="Q825" t="s">
        <v>284</v>
      </c>
      <c r="R825" t="str">
        <f>IF(COUNTIF(Sheet2!B:B, A825) &gt; 0, "Yes", "No")</f>
        <v>No</v>
      </c>
    </row>
    <row r="826" spans="1:18" x14ac:dyDescent="0.25">
      <c r="A826" s="3">
        <v>45188</v>
      </c>
      <c r="B826" t="s">
        <v>342</v>
      </c>
      <c r="C826" t="s">
        <v>105</v>
      </c>
      <c r="D826" t="s">
        <v>20</v>
      </c>
      <c r="E826" t="s">
        <v>67</v>
      </c>
      <c r="F826" t="s">
        <v>49</v>
      </c>
      <c r="G826" t="s">
        <v>50</v>
      </c>
      <c r="H826" t="s">
        <v>49</v>
      </c>
      <c r="I826">
        <v>0.09</v>
      </c>
      <c r="J826">
        <f t="shared" si="36"/>
        <v>49.5</v>
      </c>
      <c r="K826">
        <v>0</v>
      </c>
      <c r="L826">
        <f t="shared" si="37"/>
        <v>49.5</v>
      </c>
      <c r="M826" s="4">
        <f t="shared" si="38"/>
        <v>8.2500000000000004E-2</v>
      </c>
      <c r="N826">
        <v>600</v>
      </c>
      <c r="O826">
        <v>550</v>
      </c>
      <c r="P826" t="s">
        <v>341</v>
      </c>
      <c r="Q826" t="s">
        <v>284</v>
      </c>
      <c r="R826" t="str">
        <f>IF(COUNTIF(Sheet2!B:B, A826) &gt; 0, "Yes", "No")</f>
        <v>No</v>
      </c>
    </row>
    <row r="827" spans="1:18" x14ac:dyDescent="0.25">
      <c r="A827" s="3">
        <v>45190</v>
      </c>
      <c r="B827" t="s">
        <v>342</v>
      </c>
      <c r="C827" t="s">
        <v>66</v>
      </c>
      <c r="D827" t="s">
        <v>20</v>
      </c>
      <c r="E827" t="s">
        <v>67</v>
      </c>
      <c r="F827" t="s">
        <v>22</v>
      </c>
      <c r="G827" t="s">
        <v>23</v>
      </c>
      <c r="H827" t="s">
        <v>196</v>
      </c>
      <c r="I827">
        <v>8.5000000000000006E-2</v>
      </c>
      <c r="J827">
        <f t="shared" si="36"/>
        <v>52.7</v>
      </c>
      <c r="K827">
        <v>2</v>
      </c>
      <c r="L827">
        <f t="shared" si="37"/>
        <v>50.7</v>
      </c>
      <c r="M827" s="4">
        <f t="shared" si="38"/>
        <v>7.4558823529411775E-2</v>
      </c>
      <c r="N827">
        <v>680</v>
      </c>
      <c r="O827">
        <v>620</v>
      </c>
      <c r="P827" t="s">
        <v>25</v>
      </c>
      <c r="Q827" t="s">
        <v>26</v>
      </c>
      <c r="R827" t="str">
        <f>IF(COUNTIF(Sheet2!B:B, A827) &gt; 0, "Yes", "No")</f>
        <v>No</v>
      </c>
    </row>
    <row r="828" spans="1:18" x14ac:dyDescent="0.25">
      <c r="A828" s="3">
        <v>45190</v>
      </c>
      <c r="B828" t="s">
        <v>342</v>
      </c>
      <c r="C828" t="s">
        <v>66</v>
      </c>
      <c r="D828" t="s">
        <v>20</v>
      </c>
      <c r="E828" t="s">
        <v>67</v>
      </c>
      <c r="F828" t="s">
        <v>27</v>
      </c>
      <c r="G828" t="s">
        <v>81</v>
      </c>
      <c r="H828" t="s">
        <v>265</v>
      </c>
      <c r="I828">
        <v>0.1</v>
      </c>
      <c r="J828">
        <f t="shared" si="36"/>
        <v>62</v>
      </c>
      <c r="K828">
        <v>3</v>
      </c>
      <c r="L828">
        <f t="shared" si="37"/>
        <v>59</v>
      </c>
      <c r="M828" s="4">
        <f t="shared" si="38"/>
        <v>8.6764705882352938E-2</v>
      </c>
      <c r="N828">
        <v>680</v>
      </c>
      <c r="O828">
        <v>620</v>
      </c>
      <c r="P828" t="s">
        <v>25</v>
      </c>
      <c r="Q828" t="s">
        <v>26</v>
      </c>
      <c r="R828" t="str">
        <f>IF(COUNTIF(Sheet2!B:B, A828) &gt; 0, "Yes", "No")</f>
        <v>No</v>
      </c>
    </row>
    <row r="829" spans="1:18" x14ac:dyDescent="0.25">
      <c r="A829" s="3">
        <v>45190</v>
      </c>
      <c r="B829" t="s">
        <v>342</v>
      </c>
      <c r="C829" t="s">
        <v>66</v>
      </c>
      <c r="D829" t="s">
        <v>20</v>
      </c>
      <c r="E829" t="s">
        <v>67</v>
      </c>
      <c r="F829" t="s">
        <v>30</v>
      </c>
      <c r="G829" t="s">
        <v>31</v>
      </c>
      <c r="H829" t="s">
        <v>172</v>
      </c>
      <c r="I829">
        <v>0.09</v>
      </c>
      <c r="J829">
        <f t="shared" si="36"/>
        <v>55.8</v>
      </c>
      <c r="K829">
        <v>0</v>
      </c>
      <c r="L829">
        <f t="shared" si="37"/>
        <v>55.8</v>
      </c>
      <c r="M829" s="4">
        <f t="shared" si="38"/>
        <v>8.2058823529411767E-2</v>
      </c>
      <c r="N829">
        <v>680</v>
      </c>
      <c r="O829">
        <v>620</v>
      </c>
      <c r="P829" t="s">
        <v>25</v>
      </c>
      <c r="Q829" t="s">
        <v>26</v>
      </c>
      <c r="R829" t="str">
        <f>IF(COUNTIF(Sheet2!B:B, A829) &gt; 0, "Yes", "No")</f>
        <v>No</v>
      </c>
    </row>
    <row r="830" spans="1:18" x14ac:dyDescent="0.25">
      <c r="A830" s="3">
        <v>45190</v>
      </c>
      <c r="B830" t="s">
        <v>342</v>
      </c>
      <c r="C830" t="s">
        <v>66</v>
      </c>
      <c r="D830" t="s">
        <v>20</v>
      </c>
      <c r="E830" t="s">
        <v>67</v>
      </c>
      <c r="F830" t="s">
        <v>37</v>
      </c>
      <c r="G830" t="s">
        <v>108</v>
      </c>
      <c r="H830" t="s">
        <v>266</v>
      </c>
      <c r="I830">
        <v>3.5000000000000003E-2</v>
      </c>
      <c r="J830">
        <f t="shared" si="36"/>
        <v>21.700000000000003</v>
      </c>
      <c r="K830">
        <v>1</v>
      </c>
      <c r="L830">
        <f t="shared" si="37"/>
        <v>20.700000000000003</v>
      </c>
      <c r="M830" s="4">
        <f t="shared" si="38"/>
        <v>3.0441176470588239E-2</v>
      </c>
      <c r="N830">
        <v>680</v>
      </c>
      <c r="O830">
        <v>620</v>
      </c>
      <c r="P830" t="s">
        <v>25</v>
      </c>
      <c r="Q830" t="s">
        <v>26</v>
      </c>
      <c r="R830" t="str">
        <f>IF(COUNTIF(Sheet2!B:B, A830) &gt; 0, "Yes", "No")</f>
        <v>No</v>
      </c>
    </row>
    <row r="831" spans="1:18" x14ac:dyDescent="0.25">
      <c r="A831" s="3">
        <v>45190</v>
      </c>
      <c r="B831" t="s">
        <v>342</v>
      </c>
      <c r="C831" t="s">
        <v>66</v>
      </c>
      <c r="D831" t="s">
        <v>20</v>
      </c>
      <c r="E831" t="s">
        <v>67</v>
      </c>
      <c r="F831" t="s">
        <v>40</v>
      </c>
      <c r="G831" t="s">
        <v>127</v>
      </c>
      <c r="H831" t="s">
        <v>127</v>
      </c>
      <c r="I831">
        <v>0.05</v>
      </c>
      <c r="J831">
        <f t="shared" si="36"/>
        <v>31</v>
      </c>
      <c r="K831">
        <v>0</v>
      </c>
      <c r="L831">
        <f t="shared" si="37"/>
        <v>31</v>
      </c>
      <c r="M831" s="4">
        <f t="shared" si="38"/>
        <v>4.5588235294117645E-2</v>
      </c>
      <c r="N831">
        <v>680</v>
      </c>
      <c r="O831">
        <v>620</v>
      </c>
      <c r="P831" t="s">
        <v>25</v>
      </c>
      <c r="Q831" t="s">
        <v>26</v>
      </c>
      <c r="R831" t="str">
        <f>IF(COUNTIF(Sheet2!B:B, A831) &gt; 0, "Yes", "No")</f>
        <v>No</v>
      </c>
    </row>
    <row r="832" spans="1:18" x14ac:dyDescent="0.25">
      <c r="A832" s="3">
        <v>45190</v>
      </c>
      <c r="B832" t="s">
        <v>342</v>
      </c>
      <c r="C832" t="s">
        <v>66</v>
      </c>
      <c r="D832" t="s">
        <v>20</v>
      </c>
      <c r="E832" t="s">
        <v>67</v>
      </c>
      <c r="F832" t="s">
        <v>43</v>
      </c>
      <c r="G832" t="s">
        <v>111</v>
      </c>
      <c r="H832" t="s">
        <v>267</v>
      </c>
      <c r="I832">
        <v>0.11</v>
      </c>
      <c r="J832">
        <f t="shared" si="36"/>
        <v>68.2</v>
      </c>
      <c r="K832">
        <v>0</v>
      </c>
      <c r="L832">
        <f t="shared" si="37"/>
        <v>68.2</v>
      </c>
      <c r="M832" s="4">
        <f t="shared" si="38"/>
        <v>0.10029411764705883</v>
      </c>
      <c r="N832">
        <v>680</v>
      </c>
      <c r="O832">
        <v>620</v>
      </c>
      <c r="P832" t="s">
        <v>25</v>
      </c>
      <c r="Q832" t="s">
        <v>26</v>
      </c>
      <c r="R832" t="str">
        <f>IF(COUNTIF(Sheet2!B:B, A832) &gt; 0, "Yes", "No")</f>
        <v>No</v>
      </c>
    </row>
    <row r="833" spans="1:18" x14ac:dyDescent="0.25">
      <c r="A833" s="3">
        <v>45190</v>
      </c>
      <c r="B833" t="s">
        <v>342</v>
      </c>
      <c r="C833" t="s">
        <v>66</v>
      </c>
      <c r="D833" t="s">
        <v>20</v>
      </c>
      <c r="E833" t="s">
        <v>67</v>
      </c>
      <c r="F833" t="s">
        <v>46</v>
      </c>
      <c r="G833" t="s">
        <v>130</v>
      </c>
      <c r="H833" t="s">
        <v>367</v>
      </c>
      <c r="I833">
        <v>8.5000000000000006E-2</v>
      </c>
      <c r="J833">
        <f t="shared" si="36"/>
        <v>52.7</v>
      </c>
      <c r="K833">
        <v>0</v>
      </c>
      <c r="L833">
        <f t="shared" si="37"/>
        <v>52.7</v>
      </c>
      <c r="M833" s="4">
        <f t="shared" si="38"/>
        <v>7.7499999999999999E-2</v>
      </c>
      <c r="N833">
        <v>680</v>
      </c>
      <c r="O833">
        <v>620</v>
      </c>
      <c r="P833" t="s">
        <v>25</v>
      </c>
      <c r="Q833" t="s">
        <v>26</v>
      </c>
      <c r="R833" t="str">
        <f>IF(COUNTIF(Sheet2!B:B, A833) &gt; 0, "Yes", "No")</f>
        <v>No</v>
      </c>
    </row>
    <row r="834" spans="1:18" x14ac:dyDescent="0.25">
      <c r="A834" s="3">
        <v>45190</v>
      </c>
      <c r="B834" t="s">
        <v>342</v>
      </c>
      <c r="C834" t="s">
        <v>66</v>
      </c>
      <c r="D834" t="s">
        <v>20</v>
      </c>
      <c r="E834" t="s">
        <v>67</v>
      </c>
      <c r="F834" t="s">
        <v>49</v>
      </c>
      <c r="G834" t="s">
        <v>50</v>
      </c>
      <c r="H834" t="s">
        <v>49</v>
      </c>
      <c r="I834">
        <v>0.09</v>
      </c>
      <c r="J834">
        <f t="shared" si="36"/>
        <v>55.8</v>
      </c>
      <c r="K834">
        <v>0</v>
      </c>
      <c r="L834">
        <f t="shared" si="37"/>
        <v>55.8</v>
      </c>
      <c r="M834" s="4">
        <f t="shared" si="38"/>
        <v>8.2058823529411767E-2</v>
      </c>
      <c r="N834">
        <v>680</v>
      </c>
      <c r="O834">
        <v>620</v>
      </c>
      <c r="P834" t="s">
        <v>25</v>
      </c>
      <c r="Q834" t="s">
        <v>26</v>
      </c>
      <c r="R834" t="str">
        <f>IF(COUNTIF(Sheet2!B:B, A834) &gt; 0, "Yes", "No")</f>
        <v>No</v>
      </c>
    </row>
    <row r="835" spans="1:18" x14ac:dyDescent="0.25">
      <c r="A835" s="3">
        <v>45191</v>
      </c>
      <c r="B835" t="s">
        <v>342</v>
      </c>
      <c r="C835" t="s">
        <v>79</v>
      </c>
      <c r="D835" t="s">
        <v>20</v>
      </c>
      <c r="E835" t="s">
        <v>21</v>
      </c>
      <c r="F835" t="s">
        <v>22</v>
      </c>
      <c r="G835" t="s">
        <v>94</v>
      </c>
      <c r="H835" t="s">
        <v>368</v>
      </c>
      <c r="I835" s="5">
        <v>0.06</v>
      </c>
      <c r="J835">
        <f t="shared" ref="J835:J898" si="39">I835*O835</f>
        <v>33</v>
      </c>
      <c r="K835">
        <v>3</v>
      </c>
      <c r="L835">
        <f t="shared" ref="L835:L898" si="40">J835-K835</f>
        <v>30</v>
      </c>
      <c r="M835" s="4">
        <f t="shared" ref="M835:M898" si="41">((I835*O835)-K835)/N835</f>
        <v>0.05</v>
      </c>
      <c r="N835">
        <v>600</v>
      </c>
      <c r="O835">
        <v>550</v>
      </c>
      <c r="P835" t="s">
        <v>25</v>
      </c>
      <c r="Q835" t="s">
        <v>26</v>
      </c>
      <c r="R835" t="str">
        <f>IF(COUNTIF(Sheet2!B:B, A835) &gt; 0, "Yes", "No")</f>
        <v>Yes</v>
      </c>
    </row>
    <row r="836" spans="1:18" x14ac:dyDescent="0.25">
      <c r="A836" s="3">
        <v>45191</v>
      </c>
      <c r="B836" t="s">
        <v>342</v>
      </c>
      <c r="C836" t="s">
        <v>79</v>
      </c>
      <c r="D836" t="s">
        <v>20</v>
      </c>
      <c r="E836" t="s">
        <v>21</v>
      </c>
      <c r="F836" t="s">
        <v>27</v>
      </c>
      <c r="G836" t="s">
        <v>144</v>
      </c>
      <c r="H836" t="s">
        <v>145</v>
      </c>
      <c r="I836" s="5">
        <v>0.1</v>
      </c>
      <c r="J836">
        <f t="shared" si="39"/>
        <v>55</v>
      </c>
      <c r="K836">
        <v>5</v>
      </c>
      <c r="L836">
        <f t="shared" si="40"/>
        <v>50</v>
      </c>
      <c r="M836" s="4">
        <f t="shared" si="41"/>
        <v>8.3333333333333329E-2</v>
      </c>
      <c r="N836">
        <v>600</v>
      </c>
      <c r="O836">
        <v>550</v>
      </c>
      <c r="P836" t="s">
        <v>25</v>
      </c>
      <c r="Q836" t="s">
        <v>26</v>
      </c>
      <c r="R836" t="str">
        <f>IF(COUNTIF(Sheet2!B:B, A836) &gt; 0, "Yes", "No")</f>
        <v>Yes</v>
      </c>
    </row>
    <row r="837" spans="1:18" x14ac:dyDescent="0.25">
      <c r="A837" s="3">
        <v>45191</v>
      </c>
      <c r="B837" t="s">
        <v>342</v>
      </c>
      <c r="C837" t="s">
        <v>79</v>
      </c>
      <c r="D837" t="s">
        <v>20</v>
      </c>
      <c r="E837" t="s">
        <v>21</v>
      </c>
      <c r="F837" t="s">
        <v>30</v>
      </c>
      <c r="G837" t="s">
        <v>55</v>
      </c>
      <c r="H837" t="s">
        <v>134</v>
      </c>
      <c r="I837" s="5">
        <v>0.06</v>
      </c>
      <c r="J837">
        <f t="shared" si="39"/>
        <v>33</v>
      </c>
      <c r="K837">
        <v>2</v>
      </c>
      <c r="L837">
        <f t="shared" si="40"/>
        <v>31</v>
      </c>
      <c r="M837" s="4">
        <f t="shared" si="41"/>
        <v>5.1666666666666666E-2</v>
      </c>
      <c r="N837">
        <v>600</v>
      </c>
      <c r="O837">
        <v>550</v>
      </c>
      <c r="P837" t="s">
        <v>25</v>
      </c>
      <c r="Q837" t="s">
        <v>26</v>
      </c>
      <c r="R837" t="str">
        <f>IF(COUNTIF(Sheet2!B:B, A837) &gt; 0, "Yes", "No")</f>
        <v>Yes</v>
      </c>
    </row>
    <row r="838" spans="1:18" x14ac:dyDescent="0.25">
      <c r="A838" s="3">
        <v>45191</v>
      </c>
      <c r="B838" t="s">
        <v>342</v>
      </c>
      <c r="C838" t="s">
        <v>79</v>
      </c>
      <c r="D838" t="s">
        <v>33</v>
      </c>
      <c r="E838" t="s">
        <v>21</v>
      </c>
      <c r="F838" t="s">
        <v>84</v>
      </c>
      <c r="G838" t="s">
        <v>177</v>
      </c>
      <c r="H838" t="s">
        <v>268</v>
      </c>
      <c r="I838" s="5">
        <v>0.3</v>
      </c>
      <c r="J838">
        <f t="shared" si="39"/>
        <v>99</v>
      </c>
      <c r="K838">
        <v>0</v>
      </c>
      <c r="L838">
        <f t="shared" si="40"/>
        <v>99</v>
      </c>
      <c r="M838" s="4">
        <f t="shared" si="41"/>
        <v>0.27500000000000002</v>
      </c>
      <c r="N838">
        <v>360</v>
      </c>
      <c r="O838">
        <v>330</v>
      </c>
      <c r="P838" t="s">
        <v>25</v>
      </c>
      <c r="Q838" t="s">
        <v>26</v>
      </c>
      <c r="R838" t="str">
        <f>IF(COUNTIF(Sheet2!B:B, A838) &gt; 0, "Yes", "No")</f>
        <v>Yes</v>
      </c>
    </row>
    <row r="839" spans="1:18" x14ac:dyDescent="0.25">
      <c r="A839" s="3">
        <v>45191</v>
      </c>
      <c r="B839" t="s">
        <v>342</v>
      </c>
      <c r="C839" t="s">
        <v>79</v>
      </c>
      <c r="D839" t="s">
        <v>20</v>
      </c>
      <c r="E839" t="s">
        <v>21</v>
      </c>
      <c r="F839" t="s">
        <v>37</v>
      </c>
      <c r="G839" t="s">
        <v>108</v>
      </c>
      <c r="H839" t="s">
        <v>269</v>
      </c>
      <c r="I839" s="5">
        <v>2.5000000000000001E-2</v>
      </c>
      <c r="J839">
        <f t="shared" si="39"/>
        <v>13.75</v>
      </c>
      <c r="K839">
        <v>3</v>
      </c>
      <c r="L839">
        <f t="shared" si="40"/>
        <v>10.75</v>
      </c>
      <c r="M839" s="4">
        <f t="shared" si="41"/>
        <v>1.7916666666666668E-2</v>
      </c>
      <c r="N839">
        <v>600</v>
      </c>
      <c r="O839">
        <v>550</v>
      </c>
      <c r="P839" t="s">
        <v>25</v>
      </c>
      <c r="Q839" t="s">
        <v>26</v>
      </c>
      <c r="R839" t="str">
        <f>IF(COUNTIF(Sheet2!B:B, A839) &gt; 0, "Yes", "No")</f>
        <v>Yes</v>
      </c>
    </row>
    <row r="840" spans="1:18" x14ac:dyDescent="0.25">
      <c r="A840" s="3">
        <v>45191</v>
      </c>
      <c r="B840" t="s">
        <v>342</v>
      </c>
      <c r="C840" t="s">
        <v>79</v>
      </c>
      <c r="D840" t="s">
        <v>20</v>
      </c>
      <c r="E840" t="s">
        <v>21</v>
      </c>
      <c r="F840" t="s">
        <v>40</v>
      </c>
      <c r="G840" t="s">
        <v>61</v>
      </c>
      <c r="H840" t="s">
        <v>119</v>
      </c>
      <c r="I840" s="5">
        <v>0.04</v>
      </c>
      <c r="J840">
        <f t="shared" si="39"/>
        <v>22</v>
      </c>
      <c r="K840">
        <v>2</v>
      </c>
      <c r="L840">
        <f t="shared" si="40"/>
        <v>20</v>
      </c>
      <c r="M840" s="4">
        <f t="shared" si="41"/>
        <v>3.3333333333333333E-2</v>
      </c>
      <c r="N840">
        <v>600</v>
      </c>
      <c r="O840">
        <v>550</v>
      </c>
      <c r="P840" t="s">
        <v>25</v>
      </c>
      <c r="Q840" t="s">
        <v>26</v>
      </c>
      <c r="R840" t="str">
        <f>IF(COUNTIF(Sheet2!B:B, A840) &gt; 0, "Yes", "No")</f>
        <v>Yes</v>
      </c>
    </row>
    <row r="841" spans="1:18" x14ac:dyDescent="0.25">
      <c r="A841" s="3">
        <v>45191</v>
      </c>
      <c r="B841" t="s">
        <v>342</v>
      </c>
      <c r="C841" t="s">
        <v>79</v>
      </c>
      <c r="D841" t="s">
        <v>20</v>
      </c>
      <c r="E841" t="s">
        <v>21</v>
      </c>
      <c r="F841" t="s">
        <v>43</v>
      </c>
      <c r="G841" t="s">
        <v>90</v>
      </c>
      <c r="H841" t="s">
        <v>369</v>
      </c>
      <c r="I841" s="5">
        <v>7.0000000000000007E-2</v>
      </c>
      <c r="J841">
        <f t="shared" si="39"/>
        <v>38.500000000000007</v>
      </c>
      <c r="K841">
        <v>5</v>
      </c>
      <c r="L841">
        <f t="shared" si="40"/>
        <v>33.500000000000007</v>
      </c>
      <c r="M841" s="4">
        <f t="shared" si="41"/>
        <v>5.5833333333333346E-2</v>
      </c>
      <c r="N841">
        <v>600</v>
      </c>
      <c r="O841">
        <v>550</v>
      </c>
      <c r="P841" t="s">
        <v>25</v>
      </c>
      <c r="Q841" t="s">
        <v>26</v>
      </c>
      <c r="R841" t="str">
        <f>IF(COUNTIF(Sheet2!B:B, A841) &gt; 0, "Yes", "No")</f>
        <v>Yes</v>
      </c>
    </row>
    <row r="842" spans="1:18" x14ac:dyDescent="0.25">
      <c r="A842" s="3">
        <v>45191</v>
      </c>
      <c r="B842" t="s">
        <v>342</v>
      </c>
      <c r="C842" t="s">
        <v>79</v>
      </c>
      <c r="D842" t="s">
        <v>20</v>
      </c>
      <c r="E842" t="s">
        <v>21</v>
      </c>
      <c r="F842" t="s">
        <v>46</v>
      </c>
      <c r="G842" t="s">
        <v>169</v>
      </c>
      <c r="H842" t="s">
        <v>170</v>
      </c>
      <c r="I842" s="5">
        <v>0.06</v>
      </c>
      <c r="J842">
        <f t="shared" si="39"/>
        <v>33</v>
      </c>
      <c r="K842">
        <v>0</v>
      </c>
      <c r="L842">
        <f t="shared" si="40"/>
        <v>33</v>
      </c>
      <c r="M842" s="4">
        <f t="shared" si="41"/>
        <v>5.5E-2</v>
      </c>
      <c r="N842">
        <v>600</v>
      </c>
      <c r="O842">
        <v>550</v>
      </c>
      <c r="P842" t="s">
        <v>25</v>
      </c>
      <c r="Q842" t="s">
        <v>26</v>
      </c>
      <c r="R842" t="str">
        <f>IF(COUNTIF(Sheet2!B:B, A842) &gt; 0, "Yes", "No")</f>
        <v>Yes</v>
      </c>
    </row>
    <row r="843" spans="1:18" x14ac:dyDescent="0.25">
      <c r="A843" s="3">
        <v>45191</v>
      </c>
      <c r="B843" t="s">
        <v>342</v>
      </c>
      <c r="C843" t="s">
        <v>79</v>
      </c>
      <c r="D843" t="s">
        <v>20</v>
      </c>
      <c r="E843" t="s">
        <v>21</v>
      </c>
      <c r="F843" t="s">
        <v>49</v>
      </c>
      <c r="G843" t="s">
        <v>50</v>
      </c>
      <c r="H843" t="s">
        <v>49</v>
      </c>
      <c r="I843" s="5">
        <v>0.04</v>
      </c>
      <c r="J843">
        <f t="shared" si="39"/>
        <v>22</v>
      </c>
      <c r="K843">
        <v>0</v>
      </c>
      <c r="L843">
        <f t="shared" si="40"/>
        <v>22</v>
      </c>
      <c r="M843" s="4">
        <f t="shared" si="41"/>
        <v>3.6666666666666667E-2</v>
      </c>
      <c r="N843">
        <v>600</v>
      </c>
      <c r="O843">
        <v>550</v>
      </c>
      <c r="P843" t="s">
        <v>25</v>
      </c>
      <c r="Q843" t="s">
        <v>26</v>
      </c>
      <c r="R843" t="str">
        <f>IF(COUNTIF(Sheet2!B:B, A843) &gt; 0, "Yes", "No")</f>
        <v>Yes</v>
      </c>
    </row>
    <row r="844" spans="1:18" x14ac:dyDescent="0.25">
      <c r="A844" s="3">
        <v>45196</v>
      </c>
      <c r="B844" t="s">
        <v>342</v>
      </c>
      <c r="C844" t="s">
        <v>51</v>
      </c>
      <c r="D844" t="s">
        <v>20</v>
      </c>
      <c r="E844" t="s">
        <v>21</v>
      </c>
      <c r="F844" t="s">
        <v>22</v>
      </c>
      <c r="G844" t="s">
        <v>52</v>
      </c>
      <c r="H844" t="s">
        <v>370</v>
      </c>
      <c r="I844">
        <v>8.5000000000000006E-2</v>
      </c>
      <c r="J844">
        <f t="shared" si="39"/>
        <v>61.2</v>
      </c>
      <c r="K844">
        <v>4</v>
      </c>
      <c r="L844">
        <f t="shared" si="40"/>
        <v>57.2</v>
      </c>
      <c r="M844" s="4">
        <f t="shared" si="41"/>
        <v>7.1500000000000008E-2</v>
      </c>
      <c r="N844">
        <v>800</v>
      </c>
      <c r="O844">
        <v>720</v>
      </c>
      <c r="P844" t="s">
        <v>283</v>
      </c>
      <c r="Q844" t="s">
        <v>320</v>
      </c>
      <c r="R844" t="str">
        <f>IF(COUNTIF(Sheet2!B:B, A844) &gt; 0, "Yes", "No")</f>
        <v>No</v>
      </c>
    </row>
    <row r="845" spans="1:18" x14ac:dyDescent="0.25">
      <c r="A845" s="3">
        <v>45196</v>
      </c>
      <c r="B845" t="s">
        <v>342</v>
      </c>
      <c r="C845" t="s">
        <v>51</v>
      </c>
      <c r="D845" t="s">
        <v>20</v>
      </c>
      <c r="E845" t="s">
        <v>21</v>
      </c>
      <c r="F845" t="s">
        <v>27</v>
      </c>
      <c r="G845" t="s">
        <v>28</v>
      </c>
      <c r="H845" t="s">
        <v>156</v>
      </c>
      <c r="I845">
        <v>0.11</v>
      </c>
      <c r="J845">
        <f t="shared" si="39"/>
        <v>79.2</v>
      </c>
      <c r="K845">
        <v>6</v>
      </c>
      <c r="L845">
        <f t="shared" si="40"/>
        <v>73.2</v>
      </c>
      <c r="M845" s="4">
        <f t="shared" si="41"/>
        <v>9.1499999999999998E-2</v>
      </c>
      <c r="N845">
        <v>800</v>
      </c>
      <c r="O845">
        <v>720</v>
      </c>
      <c r="P845" t="s">
        <v>283</v>
      </c>
      <c r="Q845" t="s">
        <v>320</v>
      </c>
      <c r="R845" t="str">
        <f>IF(COUNTIF(Sheet2!B:B, A845) &gt; 0, "Yes", "No")</f>
        <v>No</v>
      </c>
    </row>
    <row r="846" spans="1:18" x14ac:dyDescent="0.25">
      <c r="A846" s="3">
        <v>45196</v>
      </c>
      <c r="B846" t="s">
        <v>342</v>
      </c>
      <c r="C846" t="s">
        <v>51</v>
      </c>
      <c r="D846" t="s">
        <v>20</v>
      </c>
      <c r="E846" t="s">
        <v>21</v>
      </c>
      <c r="F846" t="s">
        <v>30</v>
      </c>
      <c r="G846" t="s">
        <v>55</v>
      </c>
      <c r="H846" t="s">
        <v>183</v>
      </c>
      <c r="I846">
        <v>0.09</v>
      </c>
      <c r="J846">
        <f t="shared" si="39"/>
        <v>64.8</v>
      </c>
      <c r="K846">
        <v>0</v>
      </c>
      <c r="L846">
        <f t="shared" si="40"/>
        <v>64.8</v>
      </c>
      <c r="M846" s="4">
        <f t="shared" si="41"/>
        <v>8.1000000000000003E-2</v>
      </c>
      <c r="N846">
        <v>800</v>
      </c>
      <c r="O846">
        <v>720</v>
      </c>
      <c r="P846" t="s">
        <v>283</v>
      </c>
      <c r="Q846" t="s">
        <v>320</v>
      </c>
      <c r="R846" t="str">
        <f>IF(COUNTIF(Sheet2!B:B, A846) &gt; 0, "Yes", "No")</f>
        <v>No</v>
      </c>
    </row>
    <row r="847" spans="1:18" x14ac:dyDescent="0.25">
      <c r="A847" s="3">
        <v>45196</v>
      </c>
      <c r="B847" t="s">
        <v>342</v>
      </c>
      <c r="C847" t="s">
        <v>51</v>
      </c>
      <c r="D847" t="s">
        <v>33</v>
      </c>
      <c r="E847" t="s">
        <v>21</v>
      </c>
      <c r="F847" t="s">
        <v>34</v>
      </c>
      <c r="G847" t="s">
        <v>35</v>
      </c>
      <c r="H847" t="s">
        <v>344</v>
      </c>
      <c r="I847">
        <v>0.15</v>
      </c>
      <c r="J847">
        <f t="shared" si="39"/>
        <v>54</v>
      </c>
      <c r="K847">
        <v>0</v>
      </c>
      <c r="L847">
        <f t="shared" si="40"/>
        <v>54</v>
      </c>
      <c r="M847" s="4">
        <f t="shared" si="41"/>
        <v>0.13500000000000001</v>
      </c>
      <c r="N847">
        <v>400</v>
      </c>
      <c r="O847">
        <v>360</v>
      </c>
      <c r="P847" t="s">
        <v>283</v>
      </c>
      <c r="Q847" t="s">
        <v>320</v>
      </c>
      <c r="R847" t="str">
        <f>IF(COUNTIF(Sheet2!B:B, A847) &gt; 0, "Yes", "No")</f>
        <v>No</v>
      </c>
    </row>
    <row r="848" spans="1:18" x14ac:dyDescent="0.25">
      <c r="A848" s="3">
        <v>45196</v>
      </c>
      <c r="B848" t="s">
        <v>342</v>
      </c>
      <c r="C848" t="s">
        <v>51</v>
      </c>
      <c r="D848" t="s">
        <v>20</v>
      </c>
      <c r="E848" t="s">
        <v>21</v>
      </c>
      <c r="F848" t="s">
        <v>37</v>
      </c>
      <c r="G848" t="s">
        <v>117</v>
      </c>
      <c r="H848" t="s">
        <v>118</v>
      </c>
      <c r="I848">
        <v>0.03</v>
      </c>
      <c r="J848">
        <f t="shared" si="39"/>
        <v>21.599999999999998</v>
      </c>
      <c r="K848">
        <v>0</v>
      </c>
      <c r="L848">
        <f t="shared" si="40"/>
        <v>21.599999999999998</v>
      </c>
      <c r="M848" s="4">
        <f t="shared" si="41"/>
        <v>2.6999999999999996E-2</v>
      </c>
      <c r="N848">
        <v>800</v>
      </c>
      <c r="O848">
        <v>720</v>
      </c>
      <c r="P848" t="s">
        <v>283</v>
      </c>
      <c r="Q848" t="s">
        <v>320</v>
      </c>
      <c r="R848" t="str">
        <f>IF(COUNTIF(Sheet2!B:B, A848) &gt; 0, "Yes", "No")</f>
        <v>No</v>
      </c>
    </row>
    <row r="849" spans="1:18" x14ac:dyDescent="0.25">
      <c r="A849" s="3">
        <v>45196</v>
      </c>
      <c r="B849" t="s">
        <v>342</v>
      </c>
      <c r="C849" t="s">
        <v>51</v>
      </c>
      <c r="D849" t="s">
        <v>20</v>
      </c>
      <c r="E849" t="s">
        <v>21</v>
      </c>
      <c r="F849" t="s">
        <v>40</v>
      </c>
      <c r="G849" t="s">
        <v>73</v>
      </c>
      <c r="H849" t="s">
        <v>74</v>
      </c>
      <c r="I849">
        <v>4.4999999999999998E-2</v>
      </c>
      <c r="J849">
        <f t="shared" si="39"/>
        <v>32.4</v>
      </c>
      <c r="K849">
        <v>0</v>
      </c>
      <c r="L849">
        <f t="shared" si="40"/>
        <v>32.4</v>
      </c>
      <c r="M849" s="4">
        <f t="shared" si="41"/>
        <v>4.0500000000000001E-2</v>
      </c>
      <c r="N849">
        <v>800</v>
      </c>
      <c r="O849">
        <v>720</v>
      </c>
      <c r="P849" t="s">
        <v>283</v>
      </c>
      <c r="Q849" t="s">
        <v>320</v>
      </c>
      <c r="R849" t="str">
        <f>IF(COUNTIF(Sheet2!B:B, A849) &gt; 0, "Yes", "No")</f>
        <v>No</v>
      </c>
    </row>
    <row r="850" spans="1:18" x14ac:dyDescent="0.25">
      <c r="A850" s="3">
        <v>45196</v>
      </c>
      <c r="B850" t="s">
        <v>342</v>
      </c>
      <c r="C850" t="s">
        <v>51</v>
      </c>
      <c r="D850" t="s">
        <v>20</v>
      </c>
      <c r="E850" t="s">
        <v>21</v>
      </c>
      <c r="F850" t="s">
        <v>43</v>
      </c>
      <c r="G850" t="s">
        <v>159</v>
      </c>
      <c r="H850" t="s">
        <v>160</v>
      </c>
      <c r="I850">
        <v>0.11</v>
      </c>
      <c r="J850">
        <f t="shared" si="39"/>
        <v>79.2</v>
      </c>
      <c r="K850">
        <v>4</v>
      </c>
      <c r="L850">
        <f t="shared" si="40"/>
        <v>75.2</v>
      </c>
      <c r="M850" s="4">
        <f t="shared" si="41"/>
        <v>9.4E-2</v>
      </c>
      <c r="N850">
        <v>800</v>
      </c>
      <c r="O850">
        <v>720</v>
      </c>
      <c r="P850" t="s">
        <v>283</v>
      </c>
      <c r="Q850" t="s">
        <v>320</v>
      </c>
      <c r="R850" t="str">
        <f>IF(COUNTIF(Sheet2!B:B, A850) &gt; 0, "Yes", "No")</f>
        <v>No</v>
      </c>
    </row>
    <row r="851" spans="1:18" x14ac:dyDescent="0.25">
      <c r="A851" s="3">
        <v>45196</v>
      </c>
      <c r="B851" t="s">
        <v>342</v>
      </c>
      <c r="C851" t="s">
        <v>51</v>
      </c>
      <c r="D851" t="s">
        <v>20</v>
      </c>
      <c r="E851" t="s">
        <v>21</v>
      </c>
      <c r="F851" t="s">
        <v>46</v>
      </c>
      <c r="G851" t="s">
        <v>167</v>
      </c>
      <c r="H851" t="s">
        <v>167</v>
      </c>
      <c r="I851">
        <v>8.5000000000000006E-2</v>
      </c>
      <c r="J851">
        <f t="shared" si="39"/>
        <v>61.2</v>
      </c>
      <c r="K851">
        <v>5</v>
      </c>
      <c r="L851">
        <f t="shared" si="40"/>
        <v>56.2</v>
      </c>
      <c r="M851" s="4">
        <f t="shared" si="41"/>
        <v>7.0250000000000007E-2</v>
      </c>
      <c r="N851">
        <v>800</v>
      </c>
      <c r="O851">
        <v>720</v>
      </c>
      <c r="P851" t="s">
        <v>283</v>
      </c>
      <c r="Q851" t="s">
        <v>320</v>
      </c>
      <c r="R851" t="str">
        <f>IF(COUNTIF(Sheet2!B:B, A851) &gt; 0, "Yes", "No")</f>
        <v>No</v>
      </c>
    </row>
    <row r="852" spans="1:18" x14ac:dyDescent="0.25">
      <c r="A852" s="3">
        <v>45196</v>
      </c>
      <c r="B852" t="s">
        <v>342</v>
      </c>
      <c r="C852" t="s">
        <v>51</v>
      </c>
      <c r="D852" t="s">
        <v>20</v>
      </c>
      <c r="E852" t="s">
        <v>21</v>
      </c>
      <c r="F852" t="s">
        <v>49</v>
      </c>
      <c r="G852" t="s">
        <v>50</v>
      </c>
      <c r="H852" t="s">
        <v>49</v>
      </c>
      <c r="I852">
        <v>0.09</v>
      </c>
      <c r="J852">
        <f t="shared" si="39"/>
        <v>64.8</v>
      </c>
      <c r="K852">
        <v>0</v>
      </c>
      <c r="L852">
        <f t="shared" si="40"/>
        <v>64.8</v>
      </c>
      <c r="M852" s="4">
        <f t="shared" si="41"/>
        <v>8.1000000000000003E-2</v>
      </c>
      <c r="N852">
        <v>800</v>
      </c>
      <c r="O852">
        <v>720</v>
      </c>
      <c r="P852" t="s">
        <v>283</v>
      </c>
      <c r="Q852" t="s">
        <v>320</v>
      </c>
      <c r="R852" t="str">
        <f>IF(COUNTIF(Sheet2!B:B, A852) &gt; 0, "Yes", "No")</f>
        <v>No</v>
      </c>
    </row>
    <row r="853" spans="1:18" x14ac:dyDescent="0.25">
      <c r="A853" s="3">
        <v>45197</v>
      </c>
      <c r="B853" t="s">
        <v>342</v>
      </c>
      <c r="C853" t="s">
        <v>66</v>
      </c>
      <c r="D853" t="s">
        <v>20</v>
      </c>
      <c r="E853" t="s">
        <v>67</v>
      </c>
      <c r="F853" t="s">
        <v>22</v>
      </c>
      <c r="G853" t="s">
        <v>52</v>
      </c>
      <c r="H853" t="s">
        <v>53</v>
      </c>
      <c r="I853">
        <v>8.5000000000000006E-2</v>
      </c>
      <c r="J853">
        <f t="shared" si="39"/>
        <v>57.800000000000004</v>
      </c>
      <c r="K853">
        <v>2</v>
      </c>
      <c r="L853">
        <f t="shared" si="40"/>
        <v>55.800000000000004</v>
      </c>
      <c r="M853" s="4">
        <f t="shared" si="41"/>
        <v>7.4400000000000008E-2</v>
      </c>
      <c r="N853">
        <v>750</v>
      </c>
      <c r="O853">
        <v>680</v>
      </c>
      <c r="P853" t="s">
        <v>341</v>
      </c>
      <c r="Q853" t="s">
        <v>320</v>
      </c>
      <c r="R853" t="str">
        <f>IF(COUNTIF(Sheet2!B:B, A853) &gt; 0, "Yes", "No")</f>
        <v>No</v>
      </c>
    </row>
    <row r="854" spans="1:18" x14ac:dyDescent="0.25">
      <c r="A854" s="3">
        <v>45197</v>
      </c>
      <c r="B854" t="s">
        <v>342</v>
      </c>
      <c r="C854" t="s">
        <v>66</v>
      </c>
      <c r="D854" t="s">
        <v>20</v>
      </c>
      <c r="E854" t="s">
        <v>67</v>
      </c>
      <c r="F854" t="s">
        <v>27</v>
      </c>
      <c r="G854" t="s">
        <v>28</v>
      </c>
      <c r="H854" t="s">
        <v>207</v>
      </c>
      <c r="I854">
        <v>0.11</v>
      </c>
      <c r="J854">
        <f t="shared" si="39"/>
        <v>74.8</v>
      </c>
      <c r="K854">
        <v>3</v>
      </c>
      <c r="L854">
        <f t="shared" si="40"/>
        <v>71.8</v>
      </c>
      <c r="M854" s="4">
        <f t="shared" si="41"/>
        <v>9.5733333333333323E-2</v>
      </c>
      <c r="N854">
        <v>750</v>
      </c>
      <c r="O854">
        <v>680</v>
      </c>
      <c r="P854" t="s">
        <v>341</v>
      </c>
      <c r="Q854" t="s">
        <v>320</v>
      </c>
      <c r="R854" t="str">
        <f>IF(COUNTIF(Sheet2!B:B, A854) &gt; 0, "Yes", "No")</f>
        <v>No</v>
      </c>
    </row>
    <row r="855" spans="1:18" x14ac:dyDescent="0.25">
      <c r="A855" s="3">
        <v>45197</v>
      </c>
      <c r="B855" t="s">
        <v>342</v>
      </c>
      <c r="C855" t="s">
        <v>66</v>
      </c>
      <c r="D855" t="s">
        <v>20</v>
      </c>
      <c r="E855" t="s">
        <v>67</v>
      </c>
      <c r="F855" t="s">
        <v>30</v>
      </c>
      <c r="G855" t="s">
        <v>55</v>
      </c>
      <c r="H855" t="s">
        <v>270</v>
      </c>
      <c r="I855">
        <v>0.09</v>
      </c>
      <c r="J855">
        <f t="shared" si="39"/>
        <v>61.199999999999996</v>
      </c>
      <c r="K855">
        <v>1</v>
      </c>
      <c r="L855">
        <f t="shared" si="40"/>
        <v>60.199999999999996</v>
      </c>
      <c r="M855" s="4">
        <f t="shared" si="41"/>
        <v>8.0266666666666667E-2</v>
      </c>
      <c r="N855">
        <v>750</v>
      </c>
      <c r="O855">
        <v>680</v>
      </c>
      <c r="P855" t="s">
        <v>341</v>
      </c>
      <c r="Q855" t="s">
        <v>320</v>
      </c>
      <c r="R855" t="str">
        <f>IF(COUNTIF(Sheet2!B:B, A855) &gt; 0, "Yes", "No")</f>
        <v>No</v>
      </c>
    </row>
    <row r="856" spans="1:18" x14ac:dyDescent="0.25">
      <c r="A856" s="3">
        <v>45197</v>
      </c>
      <c r="B856" t="s">
        <v>342</v>
      </c>
      <c r="C856" t="s">
        <v>66</v>
      </c>
      <c r="D856" t="s">
        <v>20</v>
      </c>
      <c r="E856" t="s">
        <v>67</v>
      </c>
      <c r="F856" t="s">
        <v>37</v>
      </c>
      <c r="G856" t="s">
        <v>87</v>
      </c>
      <c r="H856" t="s">
        <v>136</v>
      </c>
      <c r="I856">
        <v>3.5000000000000003E-2</v>
      </c>
      <c r="J856">
        <f t="shared" si="39"/>
        <v>23.8</v>
      </c>
      <c r="K856">
        <v>2</v>
      </c>
      <c r="L856">
        <f t="shared" si="40"/>
        <v>21.8</v>
      </c>
      <c r="M856" s="4">
        <f t="shared" si="41"/>
        <v>2.9066666666666668E-2</v>
      </c>
      <c r="N856">
        <v>750</v>
      </c>
      <c r="O856">
        <v>680</v>
      </c>
      <c r="P856" t="s">
        <v>341</v>
      </c>
      <c r="Q856" t="s">
        <v>320</v>
      </c>
      <c r="R856" t="str">
        <f>IF(COUNTIF(Sheet2!B:B, A856) &gt; 0, "Yes", "No")</f>
        <v>No</v>
      </c>
    </row>
    <row r="857" spans="1:18" x14ac:dyDescent="0.25">
      <c r="A857" s="3">
        <v>45197</v>
      </c>
      <c r="B857" t="s">
        <v>342</v>
      </c>
      <c r="C857" t="s">
        <v>66</v>
      </c>
      <c r="D857" t="s">
        <v>20</v>
      </c>
      <c r="E857" t="s">
        <v>67</v>
      </c>
      <c r="F857" t="s">
        <v>40</v>
      </c>
      <c r="G857" t="s">
        <v>61</v>
      </c>
      <c r="H857" t="s">
        <v>62</v>
      </c>
      <c r="I857">
        <v>0.05</v>
      </c>
      <c r="J857">
        <f t="shared" si="39"/>
        <v>34</v>
      </c>
      <c r="K857">
        <v>1</v>
      </c>
      <c r="L857">
        <f t="shared" si="40"/>
        <v>33</v>
      </c>
      <c r="M857" s="4">
        <f t="shared" si="41"/>
        <v>4.3999999999999997E-2</v>
      </c>
      <c r="N857">
        <v>750</v>
      </c>
      <c r="O857">
        <v>680</v>
      </c>
      <c r="P857" t="s">
        <v>341</v>
      </c>
      <c r="Q857" t="s">
        <v>320</v>
      </c>
      <c r="R857" t="str">
        <f>IF(COUNTIF(Sheet2!B:B, A857) &gt; 0, "Yes", "No")</f>
        <v>No</v>
      </c>
    </row>
    <row r="858" spans="1:18" x14ac:dyDescent="0.25">
      <c r="A858" s="3">
        <v>45197</v>
      </c>
      <c r="B858" t="s">
        <v>342</v>
      </c>
      <c r="C858" t="s">
        <v>66</v>
      </c>
      <c r="D858" t="s">
        <v>20</v>
      </c>
      <c r="E858" t="s">
        <v>67</v>
      </c>
      <c r="F858" t="s">
        <v>43</v>
      </c>
      <c r="G858" t="s">
        <v>44</v>
      </c>
      <c r="H858" t="s">
        <v>371</v>
      </c>
      <c r="I858">
        <v>0.11</v>
      </c>
      <c r="J858">
        <f t="shared" si="39"/>
        <v>74.8</v>
      </c>
      <c r="K858">
        <v>0</v>
      </c>
      <c r="L858">
        <f t="shared" si="40"/>
        <v>74.8</v>
      </c>
      <c r="M858" s="4">
        <f t="shared" si="41"/>
        <v>9.9733333333333327E-2</v>
      </c>
      <c r="N858">
        <v>750</v>
      </c>
      <c r="O858">
        <v>680</v>
      </c>
      <c r="P858" t="s">
        <v>341</v>
      </c>
      <c r="Q858" t="s">
        <v>320</v>
      </c>
      <c r="R858" t="str">
        <f>IF(COUNTIF(Sheet2!B:B, A858) &gt; 0, "Yes", "No")</f>
        <v>No</v>
      </c>
    </row>
    <row r="859" spans="1:18" x14ac:dyDescent="0.25">
      <c r="A859" s="3">
        <v>45197</v>
      </c>
      <c r="B859" t="s">
        <v>342</v>
      </c>
      <c r="C859" t="s">
        <v>66</v>
      </c>
      <c r="D859" t="s">
        <v>20</v>
      </c>
      <c r="E859" t="s">
        <v>67</v>
      </c>
      <c r="F859" t="s">
        <v>46</v>
      </c>
      <c r="G859" t="s">
        <v>169</v>
      </c>
      <c r="H859" t="s">
        <v>282</v>
      </c>
      <c r="I859">
        <v>8.5000000000000006E-2</v>
      </c>
      <c r="J859">
        <f t="shared" si="39"/>
        <v>57.800000000000004</v>
      </c>
      <c r="K859">
        <v>6</v>
      </c>
      <c r="L859">
        <f t="shared" si="40"/>
        <v>51.800000000000004</v>
      </c>
      <c r="M859" s="4">
        <f t="shared" si="41"/>
        <v>6.9066666666666679E-2</v>
      </c>
      <c r="N859">
        <v>750</v>
      </c>
      <c r="O859">
        <v>680</v>
      </c>
      <c r="P859" t="s">
        <v>341</v>
      </c>
      <c r="Q859" t="s">
        <v>320</v>
      </c>
      <c r="R859" t="str">
        <f>IF(COUNTIF(Sheet2!B:B, A859) &gt; 0, "Yes", "No")</f>
        <v>No</v>
      </c>
    </row>
    <row r="860" spans="1:18" x14ac:dyDescent="0.25">
      <c r="A860" s="3">
        <v>45197</v>
      </c>
      <c r="B860" t="s">
        <v>342</v>
      </c>
      <c r="C860" t="s">
        <v>66</v>
      </c>
      <c r="D860" t="s">
        <v>20</v>
      </c>
      <c r="E860" t="s">
        <v>67</v>
      </c>
      <c r="F860" t="s">
        <v>49</v>
      </c>
      <c r="G860" t="s">
        <v>50</v>
      </c>
      <c r="H860" t="s">
        <v>49</v>
      </c>
      <c r="I860">
        <v>0.09</v>
      </c>
      <c r="J860">
        <f t="shared" si="39"/>
        <v>61.199999999999996</v>
      </c>
      <c r="K860">
        <v>2</v>
      </c>
      <c r="L860">
        <f t="shared" si="40"/>
        <v>59.199999999999996</v>
      </c>
      <c r="M860" s="4">
        <f t="shared" si="41"/>
        <v>7.8933333333333328E-2</v>
      </c>
      <c r="N860">
        <v>750</v>
      </c>
      <c r="O860">
        <v>680</v>
      </c>
      <c r="P860" t="s">
        <v>341</v>
      </c>
      <c r="Q860" t="s">
        <v>320</v>
      </c>
      <c r="R860" t="str">
        <f>IF(COUNTIF(Sheet2!B:B, A860) &gt; 0, "Yes", "No")</f>
        <v>No</v>
      </c>
    </row>
    <row r="861" spans="1:18" x14ac:dyDescent="0.25">
      <c r="A861" s="3">
        <v>45202</v>
      </c>
      <c r="B861" t="s">
        <v>372</v>
      </c>
      <c r="C861" t="s">
        <v>105</v>
      </c>
      <c r="D861" t="s">
        <v>20</v>
      </c>
      <c r="E861" t="s">
        <v>67</v>
      </c>
      <c r="F861" t="s">
        <v>22</v>
      </c>
      <c r="G861" t="s">
        <v>52</v>
      </c>
      <c r="H861" t="s">
        <v>373</v>
      </c>
      <c r="I861">
        <v>8.5000000000000006E-2</v>
      </c>
      <c r="J861">
        <f t="shared" si="39"/>
        <v>57.800000000000004</v>
      </c>
      <c r="K861">
        <v>0</v>
      </c>
      <c r="L861">
        <f t="shared" si="40"/>
        <v>57.800000000000004</v>
      </c>
      <c r="M861" s="4">
        <f t="shared" si="41"/>
        <v>7.7066666666666672E-2</v>
      </c>
      <c r="N861">
        <v>750</v>
      </c>
      <c r="O861">
        <v>680</v>
      </c>
      <c r="P861" t="s">
        <v>322</v>
      </c>
      <c r="Q861" t="s">
        <v>333</v>
      </c>
      <c r="R861" t="str">
        <f>IF(COUNTIF(Sheet2!B:B, A861) &gt; 0, "Yes", "No")</f>
        <v>No</v>
      </c>
    </row>
    <row r="862" spans="1:18" x14ac:dyDescent="0.25">
      <c r="A862" s="3">
        <v>45202</v>
      </c>
      <c r="B862" t="s">
        <v>372</v>
      </c>
      <c r="C862" t="s">
        <v>105</v>
      </c>
      <c r="D862" t="s">
        <v>20</v>
      </c>
      <c r="E862" t="s">
        <v>67</v>
      </c>
      <c r="F862" t="s">
        <v>27</v>
      </c>
      <c r="G862" t="s">
        <v>28</v>
      </c>
      <c r="H862" t="s">
        <v>156</v>
      </c>
      <c r="I862">
        <v>0.11</v>
      </c>
      <c r="J862">
        <f t="shared" si="39"/>
        <v>74.8</v>
      </c>
      <c r="K862">
        <v>7</v>
      </c>
      <c r="L862">
        <f t="shared" si="40"/>
        <v>67.8</v>
      </c>
      <c r="M862" s="4">
        <f t="shared" si="41"/>
        <v>9.0399999999999994E-2</v>
      </c>
      <c r="N862">
        <v>750</v>
      </c>
      <c r="O862">
        <v>680</v>
      </c>
      <c r="P862" t="s">
        <v>322</v>
      </c>
      <c r="Q862" t="s">
        <v>333</v>
      </c>
      <c r="R862" t="str">
        <f>IF(COUNTIF(Sheet2!B:B, A862) &gt; 0, "Yes", "No")</f>
        <v>No</v>
      </c>
    </row>
    <row r="863" spans="1:18" x14ac:dyDescent="0.25">
      <c r="A863" s="3">
        <v>45202</v>
      </c>
      <c r="B863" t="s">
        <v>372</v>
      </c>
      <c r="C863" t="s">
        <v>105</v>
      </c>
      <c r="D863" t="s">
        <v>20</v>
      </c>
      <c r="E863" t="s">
        <v>67</v>
      </c>
      <c r="F863" t="s">
        <v>30</v>
      </c>
      <c r="G863" t="s">
        <v>354</v>
      </c>
      <c r="H863" t="s">
        <v>355</v>
      </c>
      <c r="I863">
        <v>0.09</v>
      </c>
      <c r="J863">
        <f t="shared" si="39"/>
        <v>61.199999999999996</v>
      </c>
      <c r="K863">
        <v>1</v>
      </c>
      <c r="L863">
        <f t="shared" si="40"/>
        <v>60.199999999999996</v>
      </c>
      <c r="M863" s="4">
        <f t="shared" si="41"/>
        <v>8.0266666666666667E-2</v>
      </c>
      <c r="N863">
        <v>750</v>
      </c>
      <c r="O863">
        <v>680</v>
      </c>
      <c r="P863" t="s">
        <v>322</v>
      </c>
      <c r="Q863" t="s">
        <v>333</v>
      </c>
      <c r="R863" t="str">
        <f>IF(COUNTIF(Sheet2!B:B, A863) &gt; 0, "Yes", "No")</f>
        <v>No</v>
      </c>
    </row>
    <row r="864" spans="1:18" x14ac:dyDescent="0.25">
      <c r="A864" s="3">
        <v>45202</v>
      </c>
      <c r="B864" t="s">
        <v>372</v>
      </c>
      <c r="C864" t="s">
        <v>105</v>
      </c>
      <c r="D864" t="s">
        <v>20</v>
      </c>
      <c r="E864" t="s">
        <v>67</v>
      </c>
      <c r="F864" t="s">
        <v>37</v>
      </c>
      <c r="G864" t="s">
        <v>108</v>
      </c>
      <c r="H864" t="s">
        <v>109</v>
      </c>
      <c r="I864">
        <v>3.5000000000000003E-2</v>
      </c>
      <c r="J864">
        <f t="shared" si="39"/>
        <v>23.8</v>
      </c>
      <c r="K864">
        <v>1.5</v>
      </c>
      <c r="L864">
        <f t="shared" si="40"/>
        <v>22.3</v>
      </c>
      <c r="M864" s="4">
        <f t="shared" si="41"/>
        <v>2.9733333333333334E-2</v>
      </c>
      <c r="N864">
        <v>750</v>
      </c>
      <c r="O864">
        <v>680</v>
      </c>
      <c r="P864" t="s">
        <v>322</v>
      </c>
      <c r="Q864" t="s">
        <v>333</v>
      </c>
      <c r="R864" t="str">
        <f>IF(COUNTIF(Sheet2!B:B, A864) &gt; 0, "Yes", "No")</f>
        <v>No</v>
      </c>
    </row>
    <row r="865" spans="1:18" x14ac:dyDescent="0.25">
      <c r="A865" s="3">
        <v>45202</v>
      </c>
      <c r="B865" t="s">
        <v>372</v>
      </c>
      <c r="C865" t="s">
        <v>105</v>
      </c>
      <c r="D865" t="s">
        <v>20</v>
      </c>
      <c r="E865" t="s">
        <v>67</v>
      </c>
      <c r="F865" t="s">
        <v>40</v>
      </c>
      <c r="G865" t="s">
        <v>164</v>
      </c>
      <c r="H865" t="s">
        <v>202</v>
      </c>
      <c r="I865">
        <v>0.05</v>
      </c>
      <c r="J865">
        <f t="shared" si="39"/>
        <v>34</v>
      </c>
      <c r="K865">
        <v>2</v>
      </c>
      <c r="L865">
        <f t="shared" si="40"/>
        <v>32</v>
      </c>
      <c r="M865" s="4">
        <f t="shared" si="41"/>
        <v>4.2666666666666665E-2</v>
      </c>
      <c r="N865">
        <v>750</v>
      </c>
      <c r="O865">
        <v>680</v>
      </c>
      <c r="P865" t="s">
        <v>322</v>
      </c>
      <c r="Q865" t="s">
        <v>333</v>
      </c>
      <c r="R865" t="str">
        <f>IF(COUNTIF(Sheet2!B:B, A865) &gt; 0, "Yes", "No")</f>
        <v>No</v>
      </c>
    </row>
    <row r="866" spans="1:18" x14ac:dyDescent="0.25">
      <c r="A866" s="3">
        <v>45202</v>
      </c>
      <c r="B866" t="s">
        <v>372</v>
      </c>
      <c r="C866" t="s">
        <v>105</v>
      </c>
      <c r="D866" t="s">
        <v>20</v>
      </c>
      <c r="E866" t="s">
        <v>67</v>
      </c>
      <c r="F866" t="s">
        <v>43</v>
      </c>
      <c r="G866" t="s">
        <v>90</v>
      </c>
      <c r="H866" t="s">
        <v>356</v>
      </c>
      <c r="I866">
        <v>0.11</v>
      </c>
      <c r="J866">
        <f t="shared" si="39"/>
        <v>74.8</v>
      </c>
      <c r="K866">
        <v>0</v>
      </c>
      <c r="L866">
        <f t="shared" si="40"/>
        <v>74.8</v>
      </c>
      <c r="M866" s="4">
        <f t="shared" si="41"/>
        <v>9.9733333333333327E-2</v>
      </c>
      <c r="N866">
        <v>750</v>
      </c>
      <c r="O866">
        <v>680</v>
      </c>
      <c r="P866" t="s">
        <v>322</v>
      </c>
      <c r="Q866" t="s">
        <v>333</v>
      </c>
      <c r="R866" t="str">
        <f>IF(COUNTIF(Sheet2!B:B, A866) &gt; 0, "Yes", "No")</f>
        <v>No</v>
      </c>
    </row>
    <row r="867" spans="1:18" x14ac:dyDescent="0.25">
      <c r="A867" s="3">
        <v>45202</v>
      </c>
      <c r="B867" t="s">
        <v>372</v>
      </c>
      <c r="C867" t="s">
        <v>105</v>
      </c>
      <c r="D867" t="s">
        <v>20</v>
      </c>
      <c r="E867" t="s">
        <v>67</v>
      </c>
      <c r="F867" t="s">
        <v>46</v>
      </c>
      <c r="G867" t="s">
        <v>92</v>
      </c>
      <c r="H867" t="s">
        <v>374</v>
      </c>
      <c r="I867">
        <v>8.5000000000000006E-2</v>
      </c>
      <c r="J867">
        <f t="shared" si="39"/>
        <v>57.800000000000004</v>
      </c>
      <c r="K867">
        <v>5</v>
      </c>
      <c r="L867">
        <f t="shared" si="40"/>
        <v>52.800000000000004</v>
      </c>
      <c r="M867" s="4">
        <f t="shared" si="41"/>
        <v>7.0400000000000004E-2</v>
      </c>
      <c r="N867">
        <v>750</v>
      </c>
      <c r="O867">
        <v>680</v>
      </c>
      <c r="P867" t="s">
        <v>322</v>
      </c>
      <c r="Q867" t="s">
        <v>333</v>
      </c>
      <c r="R867" t="str">
        <f>IF(COUNTIF(Sheet2!B:B, A867) &gt; 0, "Yes", "No")</f>
        <v>No</v>
      </c>
    </row>
    <row r="868" spans="1:18" x14ac:dyDescent="0.25">
      <c r="A868" s="3">
        <v>45202</v>
      </c>
      <c r="B868" t="s">
        <v>372</v>
      </c>
      <c r="C868" t="s">
        <v>105</v>
      </c>
      <c r="D868" t="s">
        <v>20</v>
      </c>
      <c r="E868" t="s">
        <v>67</v>
      </c>
      <c r="F868" t="s">
        <v>49</v>
      </c>
      <c r="G868" t="s">
        <v>50</v>
      </c>
      <c r="H868" t="s">
        <v>49</v>
      </c>
      <c r="I868">
        <v>0.09</v>
      </c>
      <c r="J868">
        <f t="shared" si="39"/>
        <v>61.199999999999996</v>
      </c>
      <c r="K868">
        <v>0</v>
      </c>
      <c r="L868">
        <f t="shared" si="40"/>
        <v>61.199999999999996</v>
      </c>
      <c r="M868" s="4">
        <f t="shared" si="41"/>
        <v>8.1599999999999992E-2</v>
      </c>
      <c r="N868">
        <v>750</v>
      </c>
      <c r="O868">
        <v>680</v>
      </c>
      <c r="P868" t="s">
        <v>322</v>
      </c>
      <c r="Q868" t="s">
        <v>333</v>
      </c>
      <c r="R868" t="str">
        <f>IF(COUNTIF(Sheet2!B:B, A868) &gt; 0, "Yes", "No")</f>
        <v>No</v>
      </c>
    </row>
    <row r="869" spans="1:18" x14ac:dyDescent="0.25">
      <c r="A869" s="3">
        <v>45203</v>
      </c>
      <c r="B869" t="s">
        <v>372</v>
      </c>
      <c r="C869" t="s">
        <v>51</v>
      </c>
      <c r="D869" t="s">
        <v>20</v>
      </c>
      <c r="E869" t="s">
        <v>21</v>
      </c>
      <c r="F869" t="s">
        <v>22</v>
      </c>
      <c r="G869" t="s">
        <v>122</v>
      </c>
      <c r="H869" t="s">
        <v>260</v>
      </c>
      <c r="I869">
        <v>8.5000000000000006E-2</v>
      </c>
      <c r="J869">
        <f t="shared" si="39"/>
        <v>61.2</v>
      </c>
      <c r="K869">
        <v>1</v>
      </c>
      <c r="L869">
        <f t="shared" si="40"/>
        <v>60.2</v>
      </c>
      <c r="M869" s="4">
        <f t="shared" si="41"/>
        <v>7.717948717948718E-2</v>
      </c>
      <c r="N869">
        <v>780</v>
      </c>
      <c r="O869">
        <v>720</v>
      </c>
      <c r="P869" t="s">
        <v>25</v>
      </c>
      <c r="Q869" t="s">
        <v>26</v>
      </c>
      <c r="R869" t="str">
        <f>IF(COUNTIF(Sheet2!B:B, A869) &gt; 0, "Yes", "No")</f>
        <v>No</v>
      </c>
    </row>
    <row r="870" spans="1:18" x14ac:dyDescent="0.25">
      <c r="A870" s="3">
        <v>45203</v>
      </c>
      <c r="B870" t="s">
        <v>372</v>
      </c>
      <c r="C870" t="s">
        <v>51</v>
      </c>
      <c r="D870" t="s">
        <v>20</v>
      </c>
      <c r="E870" t="s">
        <v>21</v>
      </c>
      <c r="F870" t="s">
        <v>27</v>
      </c>
      <c r="G870" t="s">
        <v>144</v>
      </c>
      <c r="H870" t="s">
        <v>375</v>
      </c>
      <c r="I870">
        <v>0.11</v>
      </c>
      <c r="J870">
        <f t="shared" si="39"/>
        <v>79.2</v>
      </c>
      <c r="K870">
        <v>0</v>
      </c>
      <c r="L870">
        <f t="shared" si="40"/>
        <v>79.2</v>
      </c>
      <c r="M870" s="4">
        <f t="shared" si="41"/>
        <v>0.10153846153846154</v>
      </c>
      <c r="N870">
        <v>780</v>
      </c>
      <c r="O870">
        <v>720</v>
      </c>
      <c r="P870" t="s">
        <v>25</v>
      </c>
      <c r="Q870" t="s">
        <v>26</v>
      </c>
      <c r="R870" t="str">
        <f>IF(COUNTIF(Sheet2!B:B, A870) &gt; 0, "Yes", "No")</f>
        <v>No</v>
      </c>
    </row>
    <row r="871" spans="1:18" x14ac:dyDescent="0.25">
      <c r="A871" s="3">
        <v>45203</v>
      </c>
      <c r="B871" t="s">
        <v>372</v>
      </c>
      <c r="C871" t="s">
        <v>51</v>
      </c>
      <c r="D871" t="s">
        <v>20</v>
      </c>
      <c r="E871" t="s">
        <v>21</v>
      </c>
      <c r="F871" t="s">
        <v>30</v>
      </c>
      <c r="G871" t="s">
        <v>31</v>
      </c>
      <c r="H871" t="s">
        <v>31</v>
      </c>
      <c r="I871">
        <v>0.09</v>
      </c>
      <c r="J871">
        <f t="shared" si="39"/>
        <v>64.8</v>
      </c>
      <c r="K871">
        <v>0</v>
      </c>
      <c r="L871">
        <f t="shared" si="40"/>
        <v>64.8</v>
      </c>
      <c r="M871" s="4">
        <f t="shared" si="41"/>
        <v>8.3076923076923076E-2</v>
      </c>
      <c r="N871">
        <v>780</v>
      </c>
      <c r="O871">
        <v>720</v>
      </c>
      <c r="P871" t="s">
        <v>25</v>
      </c>
      <c r="Q871" t="s">
        <v>26</v>
      </c>
      <c r="R871" t="str">
        <f>IF(COUNTIF(Sheet2!B:B, A871) &gt; 0, "Yes", "No")</f>
        <v>No</v>
      </c>
    </row>
    <row r="872" spans="1:18" x14ac:dyDescent="0.25">
      <c r="A872" s="3">
        <v>45203</v>
      </c>
      <c r="B872" t="s">
        <v>372</v>
      </c>
      <c r="C872" t="s">
        <v>51</v>
      </c>
      <c r="D872" t="s">
        <v>33</v>
      </c>
      <c r="E872" t="s">
        <v>21</v>
      </c>
      <c r="F872" t="s">
        <v>34</v>
      </c>
      <c r="G872" t="s">
        <v>57</v>
      </c>
      <c r="H872" t="s">
        <v>314</v>
      </c>
      <c r="I872">
        <v>0.15</v>
      </c>
      <c r="J872">
        <f t="shared" si="39"/>
        <v>54</v>
      </c>
      <c r="K872">
        <v>0</v>
      </c>
      <c r="L872">
        <f t="shared" si="40"/>
        <v>54</v>
      </c>
      <c r="M872" s="4">
        <f t="shared" si="41"/>
        <v>0.13846153846153847</v>
      </c>
      <c r="N872">
        <v>390</v>
      </c>
      <c r="O872">
        <v>360</v>
      </c>
      <c r="P872" t="s">
        <v>25</v>
      </c>
      <c r="Q872" t="s">
        <v>26</v>
      </c>
      <c r="R872" t="str">
        <f>IF(COUNTIF(Sheet2!B:B, A872) &gt; 0, "Yes", "No")</f>
        <v>No</v>
      </c>
    </row>
    <row r="873" spans="1:18" x14ac:dyDescent="0.25">
      <c r="A873" s="3">
        <v>45203</v>
      </c>
      <c r="B873" t="s">
        <v>372</v>
      </c>
      <c r="C873" t="s">
        <v>51</v>
      </c>
      <c r="D873" t="s">
        <v>20</v>
      </c>
      <c r="E873" t="s">
        <v>21</v>
      </c>
      <c r="F873" t="s">
        <v>37</v>
      </c>
      <c r="G873" t="s">
        <v>87</v>
      </c>
      <c r="H873" t="s">
        <v>99</v>
      </c>
      <c r="I873">
        <v>0.03</v>
      </c>
      <c r="J873">
        <f t="shared" si="39"/>
        <v>21.599999999999998</v>
      </c>
      <c r="K873">
        <v>2</v>
      </c>
      <c r="L873">
        <f t="shared" si="40"/>
        <v>19.599999999999998</v>
      </c>
      <c r="M873" s="4">
        <f t="shared" si="41"/>
        <v>2.5128205128205124E-2</v>
      </c>
      <c r="N873">
        <v>780</v>
      </c>
      <c r="O873">
        <v>720</v>
      </c>
      <c r="P873" t="s">
        <v>25</v>
      </c>
      <c r="Q873" t="s">
        <v>26</v>
      </c>
      <c r="R873" t="str">
        <f>IF(COUNTIF(Sheet2!B:B, A873) &gt; 0, "Yes", "No")</f>
        <v>No</v>
      </c>
    </row>
    <row r="874" spans="1:18" x14ac:dyDescent="0.25">
      <c r="A874" s="3">
        <v>45203</v>
      </c>
      <c r="B874" t="s">
        <v>372</v>
      </c>
      <c r="C874" t="s">
        <v>51</v>
      </c>
      <c r="D874" t="s">
        <v>20</v>
      </c>
      <c r="E874" t="s">
        <v>21</v>
      </c>
      <c r="F874" t="s">
        <v>40</v>
      </c>
      <c r="G874" t="s">
        <v>127</v>
      </c>
      <c r="H874" t="s">
        <v>358</v>
      </c>
      <c r="I874">
        <v>4.4999999999999998E-2</v>
      </c>
      <c r="J874">
        <f t="shared" si="39"/>
        <v>32.4</v>
      </c>
      <c r="K874">
        <v>3</v>
      </c>
      <c r="L874">
        <f t="shared" si="40"/>
        <v>29.4</v>
      </c>
      <c r="M874" s="4">
        <f t="shared" si="41"/>
        <v>3.7692307692307692E-2</v>
      </c>
      <c r="N874">
        <v>780</v>
      </c>
      <c r="O874">
        <v>720</v>
      </c>
      <c r="P874" t="s">
        <v>25</v>
      </c>
      <c r="Q874" t="s">
        <v>26</v>
      </c>
      <c r="R874" t="str">
        <f>IF(COUNTIF(Sheet2!B:B, A874) &gt; 0, "Yes", "No")</f>
        <v>No</v>
      </c>
    </row>
    <row r="875" spans="1:18" x14ac:dyDescent="0.25">
      <c r="A875" s="3">
        <v>45203</v>
      </c>
      <c r="B875" t="s">
        <v>372</v>
      </c>
      <c r="C875" t="s">
        <v>51</v>
      </c>
      <c r="D875" t="s">
        <v>20</v>
      </c>
      <c r="E875" t="s">
        <v>21</v>
      </c>
      <c r="F875" t="s">
        <v>43</v>
      </c>
      <c r="G875" t="s">
        <v>111</v>
      </c>
      <c r="H875" t="s">
        <v>112</v>
      </c>
      <c r="I875">
        <v>0.11</v>
      </c>
      <c r="J875">
        <f t="shared" si="39"/>
        <v>79.2</v>
      </c>
      <c r="K875">
        <v>0</v>
      </c>
      <c r="L875">
        <f t="shared" si="40"/>
        <v>79.2</v>
      </c>
      <c r="M875" s="4">
        <f t="shared" si="41"/>
        <v>0.10153846153846154</v>
      </c>
      <c r="N875">
        <v>780</v>
      </c>
      <c r="O875">
        <v>720</v>
      </c>
      <c r="P875" t="s">
        <v>25</v>
      </c>
      <c r="Q875" t="s">
        <v>26</v>
      </c>
      <c r="R875" t="str">
        <f>IF(COUNTIF(Sheet2!B:B, A875) &gt; 0, "Yes", "No")</f>
        <v>No</v>
      </c>
    </row>
    <row r="876" spans="1:18" x14ac:dyDescent="0.25">
      <c r="A876" s="3">
        <v>45203</v>
      </c>
      <c r="B876" t="s">
        <v>372</v>
      </c>
      <c r="C876" t="s">
        <v>51</v>
      </c>
      <c r="D876" t="s">
        <v>20</v>
      </c>
      <c r="E876" t="s">
        <v>21</v>
      </c>
      <c r="F876" t="s">
        <v>46</v>
      </c>
      <c r="G876" t="s">
        <v>47</v>
      </c>
      <c r="H876" t="s">
        <v>350</v>
      </c>
      <c r="I876">
        <v>7.4999999999999997E-2</v>
      </c>
      <c r="J876">
        <f t="shared" si="39"/>
        <v>54</v>
      </c>
      <c r="K876">
        <v>5</v>
      </c>
      <c r="L876">
        <f t="shared" si="40"/>
        <v>49</v>
      </c>
      <c r="M876" s="4">
        <f t="shared" si="41"/>
        <v>6.2820512820512819E-2</v>
      </c>
      <c r="N876">
        <v>780</v>
      </c>
      <c r="O876">
        <v>720</v>
      </c>
      <c r="P876" t="s">
        <v>25</v>
      </c>
      <c r="Q876" t="s">
        <v>26</v>
      </c>
      <c r="R876" t="str">
        <f>IF(COUNTIF(Sheet2!B:B, A876) &gt; 0, "Yes", "No")</f>
        <v>No</v>
      </c>
    </row>
    <row r="877" spans="1:18" x14ac:dyDescent="0.25">
      <c r="A877" s="3">
        <v>45203</v>
      </c>
      <c r="B877" t="s">
        <v>372</v>
      </c>
      <c r="C877" t="s">
        <v>51</v>
      </c>
      <c r="D877" t="s">
        <v>20</v>
      </c>
      <c r="E877" t="s">
        <v>21</v>
      </c>
      <c r="F877" t="s">
        <v>49</v>
      </c>
      <c r="G877" t="s">
        <v>50</v>
      </c>
      <c r="H877" t="s">
        <v>49</v>
      </c>
      <c r="I877">
        <v>0.09</v>
      </c>
      <c r="J877">
        <f t="shared" si="39"/>
        <v>64.8</v>
      </c>
      <c r="K877">
        <v>0</v>
      </c>
      <c r="L877">
        <f t="shared" si="40"/>
        <v>64.8</v>
      </c>
      <c r="M877" s="4">
        <f t="shared" si="41"/>
        <v>8.3076923076923076E-2</v>
      </c>
      <c r="N877">
        <v>780</v>
      </c>
      <c r="O877">
        <v>720</v>
      </c>
      <c r="P877" t="s">
        <v>25</v>
      </c>
      <c r="Q877" t="s">
        <v>26</v>
      </c>
      <c r="R877" t="str">
        <f>IF(COUNTIF(Sheet2!B:B, A877) &gt; 0, "Yes", "No")</f>
        <v>No</v>
      </c>
    </row>
    <row r="878" spans="1:18" x14ac:dyDescent="0.25">
      <c r="A878" s="3">
        <v>45205</v>
      </c>
      <c r="B878" t="s">
        <v>372</v>
      </c>
      <c r="C878" t="s">
        <v>79</v>
      </c>
      <c r="D878" t="s">
        <v>20</v>
      </c>
      <c r="E878" t="s">
        <v>21</v>
      </c>
      <c r="F878" t="s">
        <v>22</v>
      </c>
      <c r="G878" t="s">
        <v>23</v>
      </c>
      <c r="H878" t="s">
        <v>80</v>
      </c>
      <c r="I878" s="5">
        <v>0.06</v>
      </c>
      <c r="J878">
        <f t="shared" si="39"/>
        <v>37.199999999999996</v>
      </c>
      <c r="K878">
        <v>1.5</v>
      </c>
      <c r="L878">
        <f t="shared" si="40"/>
        <v>35.699999999999996</v>
      </c>
      <c r="M878" s="4">
        <f t="shared" si="41"/>
        <v>5.0999999999999997E-2</v>
      </c>
      <c r="N878">
        <v>700</v>
      </c>
      <c r="O878">
        <v>620</v>
      </c>
      <c r="P878" t="s">
        <v>25</v>
      </c>
      <c r="Q878" t="s">
        <v>26</v>
      </c>
      <c r="R878" t="str">
        <f>IF(COUNTIF(Sheet2!B:B, A878) &gt; 0, "Yes", "No")</f>
        <v>Yes</v>
      </c>
    </row>
    <row r="879" spans="1:18" x14ac:dyDescent="0.25">
      <c r="A879" s="3">
        <v>45205</v>
      </c>
      <c r="B879" t="s">
        <v>372</v>
      </c>
      <c r="C879" t="s">
        <v>79</v>
      </c>
      <c r="D879" t="s">
        <v>20</v>
      </c>
      <c r="E879" t="s">
        <v>21</v>
      </c>
      <c r="F879" t="s">
        <v>27</v>
      </c>
      <c r="G879" t="s">
        <v>81</v>
      </c>
      <c r="H879" t="s">
        <v>362</v>
      </c>
      <c r="I879" s="5">
        <v>0.1</v>
      </c>
      <c r="J879">
        <f t="shared" si="39"/>
        <v>62</v>
      </c>
      <c r="K879">
        <v>0</v>
      </c>
      <c r="L879">
        <f t="shared" si="40"/>
        <v>62</v>
      </c>
      <c r="M879" s="4">
        <f t="shared" si="41"/>
        <v>8.8571428571428565E-2</v>
      </c>
      <c r="N879">
        <v>700</v>
      </c>
      <c r="O879">
        <v>620</v>
      </c>
      <c r="P879" t="s">
        <v>25</v>
      </c>
      <c r="Q879" t="s">
        <v>26</v>
      </c>
      <c r="R879" t="str">
        <f>IF(COUNTIF(Sheet2!B:B, A879) &gt; 0, "Yes", "No")</f>
        <v>Yes</v>
      </c>
    </row>
    <row r="880" spans="1:18" x14ac:dyDescent="0.25">
      <c r="A880" s="3">
        <v>45205</v>
      </c>
      <c r="B880" t="s">
        <v>372</v>
      </c>
      <c r="C880" t="s">
        <v>79</v>
      </c>
      <c r="D880" t="s">
        <v>20</v>
      </c>
      <c r="E880" t="s">
        <v>21</v>
      </c>
      <c r="F880" t="s">
        <v>30</v>
      </c>
      <c r="G880" t="s">
        <v>55</v>
      </c>
      <c r="H880" t="s">
        <v>83</v>
      </c>
      <c r="I880" s="5">
        <v>0.06</v>
      </c>
      <c r="J880">
        <f t="shared" si="39"/>
        <v>37.199999999999996</v>
      </c>
      <c r="K880">
        <v>1.5</v>
      </c>
      <c r="L880">
        <f t="shared" si="40"/>
        <v>35.699999999999996</v>
      </c>
      <c r="M880" s="4">
        <f t="shared" si="41"/>
        <v>5.0999999999999997E-2</v>
      </c>
      <c r="N880">
        <v>700</v>
      </c>
      <c r="O880">
        <v>620</v>
      </c>
      <c r="P880" t="s">
        <v>25</v>
      </c>
      <c r="Q880" t="s">
        <v>26</v>
      </c>
      <c r="R880" t="str">
        <f>IF(COUNTIF(Sheet2!B:B, A880) &gt; 0, "Yes", "No")</f>
        <v>Yes</v>
      </c>
    </row>
    <row r="881" spans="1:18" x14ac:dyDescent="0.25">
      <c r="A881" s="3">
        <v>45205</v>
      </c>
      <c r="B881" t="s">
        <v>372</v>
      </c>
      <c r="C881" t="s">
        <v>79</v>
      </c>
      <c r="D881" t="s">
        <v>33</v>
      </c>
      <c r="E881" t="s">
        <v>21</v>
      </c>
      <c r="F881" t="s">
        <v>84</v>
      </c>
      <c r="G881" t="s">
        <v>85</v>
      </c>
      <c r="H881" t="s">
        <v>363</v>
      </c>
      <c r="I881" s="5">
        <v>0.3</v>
      </c>
      <c r="J881">
        <f t="shared" si="39"/>
        <v>120.89999999999999</v>
      </c>
      <c r="K881">
        <v>0</v>
      </c>
      <c r="L881">
        <f t="shared" si="40"/>
        <v>120.89999999999999</v>
      </c>
      <c r="M881" s="4">
        <f t="shared" si="41"/>
        <v>0.26571428571428568</v>
      </c>
      <c r="N881">
        <v>455</v>
      </c>
      <c r="O881">
        <v>403</v>
      </c>
      <c r="P881" t="s">
        <v>25</v>
      </c>
      <c r="Q881" t="s">
        <v>26</v>
      </c>
      <c r="R881" t="str">
        <f>IF(COUNTIF(Sheet2!B:B, A881) &gt; 0, "Yes", "No")</f>
        <v>Yes</v>
      </c>
    </row>
    <row r="882" spans="1:18" x14ac:dyDescent="0.25">
      <c r="A882" s="3">
        <v>45205</v>
      </c>
      <c r="B882" t="s">
        <v>372</v>
      </c>
      <c r="C882" t="s">
        <v>79</v>
      </c>
      <c r="D882" t="s">
        <v>20</v>
      </c>
      <c r="E882" t="s">
        <v>21</v>
      </c>
      <c r="F882" t="s">
        <v>37</v>
      </c>
      <c r="G882" t="s">
        <v>71</v>
      </c>
      <c r="H882" t="s">
        <v>151</v>
      </c>
      <c r="I882" s="5">
        <v>2.5000000000000001E-2</v>
      </c>
      <c r="J882">
        <f t="shared" si="39"/>
        <v>15.5</v>
      </c>
      <c r="K882">
        <v>3</v>
      </c>
      <c r="L882">
        <f t="shared" si="40"/>
        <v>12.5</v>
      </c>
      <c r="M882" s="4">
        <f t="shared" si="41"/>
        <v>1.7857142857142856E-2</v>
      </c>
      <c r="N882">
        <v>700</v>
      </c>
      <c r="O882">
        <v>620</v>
      </c>
      <c r="P882" t="s">
        <v>25</v>
      </c>
      <c r="Q882" t="s">
        <v>26</v>
      </c>
      <c r="R882" t="str">
        <f>IF(COUNTIF(Sheet2!B:B, A882) &gt; 0, "Yes", "No")</f>
        <v>Yes</v>
      </c>
    </row>
    <row r="883" spans="1:18" x14ac:dyDescent="0.25">
      <c r="A883" s="3">
        <v>45205</v>
      </c>
      <c r="B883" t="s">
        <v>372</v>
      </c>
      <c r="C883" t="s">
        <v>79</v>
      </c>
      <c r="D883" t="s">
        <v>20</v>
      </c>
      <c r="E883" t="s">
        <v>21</v>
      </c>
      <c r="F883" t="s">
        <v>40</v>
      </c>
      <c r="G883" t="s">
        <v>364</v>
      </c>
      <c r="H883" t="s">
        <v>365</v>
      </c>
      <c r="I883" s="5">
        <v>0.04</v>
      </c>
      <c r="J883">
        <f t="shared" si="39"/>
        <v>24.8</v>
      </c>
      <c r="K883">
        <v>3</v>
      </c>
      <c r="L883">
        <f t="shared" si="40"/>
        <v>21.8</v>
      </c>
      <c r="M883" s="4">
        <f t="shared" si="41"/>
        <v>3.1142857142857142E-2</v>
      </c>
      <c r="N883">
        <v>700</v>
      </c>
      <c r="O883">
        <v>620</v>
      </c>
      <c r="P883" t="s">
        <v>25</v>
      </c>
      <c r="Q883" t="s">
        <v>26</v>
      </c>
      <c r="R883" t="str">
        <f>IF(COUNTIF(Sheet2!B:B, A883) &gt; 0, "Yes", "No")</f>
        <v>Yes</v>
      </c>
    </row>
    <row r="884" spans="1:18" x14ac:dyDescent="0.25">
      <c r="A884" s="3">
        <v>45205</v>
      </c>
      <c r="B884" t="s">
        <v>372</v>
      </c>
      <c r="C884" t="s">
        <v>79</v>
      </c>
      <c r="D884" t="s">
        <v>20</v>
      </c>
      <c r="E884" t="s">
        <v>21</v>
      </c>
      <c r="F884" t="s">
        <v>43</v>
      </c>
      <c r="G884" t="s">
        <v>90</v>
      </c>
      <c r="H884" t="s">
        <v>188</v>
      </c>
      <c r="I884" s="5">
        <v>7.0000000000000007E-2</v>
      </c>
      <c r="J884">
        <f t="shared" si="39"/>
        <v>43.400000000000006</v>
      </c>
      <c r="K884">
        <v>1</v>
      </c>
      <c r="L884">
        <f t="shared" si="40"/>
        <v>42.400000000000006</v>
      </c>
      <c r="M884" s="4">
        <f t="shared" si="41"/>
        <v>6.0571428571428582E-2</v>
      </c>
      <c r="N884">
        <v>700</v>
      </c>
      <c r="O884">
        <v>620</v>
      </c>
      <c r="P884" t="s">
        <v>25</v>
      </c>
      <c r="Q884" t="s">
        <v>26</v>
      </c>
      <c r="R884" t="str">
        <f>IF(COUNTIF(Sheet2!B:B, A884) &gt; 0, "Yes", "No")</f>
        <v>Yes</v>
      </c>
    </row>
    <row r="885" spans="1:18" x14ac:dyDescent="0.25">
      <c r="A885" s="3">
        <v>45205</v>
      </c>
      <c r="B885" t="s">
        <v>372</v>
      </c>
      <c r="C885" t="s">
        <v>79</v>
      </c>
      <c r="D885" t="s">
        <v>20</v>
      </c>
      <c r="E885" t="s">
        <v>21</v>
      </c>
      <c r="F885" t="s">
        <v>46</v>
      </c>
      <c r="G885" t="s">
        <v>169</v>
      </c>
      <c r="H885" t="s">
        <v>366</v>
      </c>
      <c r="I885" s="5">
        <v>0.05</v>
      </c>
      <c r="J885">
        <f t="shared" si="39"/>
        <v>31</v>
      </c>
      <c r="K885">
        <v>2.5</v>
      </c>
      <c r="L885">
        <f t="shared" si="40"/>
        <v>28.5</v>
      </c>
      <c r="M885" s="4">
        <f t="shared" si="41"/>
        <v>4.0714285714285717E-2</v>
      </c>
      <c r="N885">
        <v>700</v>
      </c>
      <c r="O885">
        <v>620</v>
      </c>
      <c r="P885" t="s">
        <v>25</v>
      </c>
      <c r="Q885" t="s">
        <v>26</v>
      </c>
      <c r="R885" t="str">
        <f>IF(COUNTIF(Sheet2!B:B, A885) &gt; 0, "Yes", "No")</f>
        <v>Yes</v>
      </c>
    </row>
    <row r="886" spans="1:18" x14ac:dyDescent="0.25">
      <c r="A886" s="3">
        <v>45205</v>
      </c>
      <c r="B886" t="s">
        <v>372</v>
      </c>
      <c r="C886" t="s">
        <v>79</v>
      </c>
      <c r="D886" t="s">
        <v>20</v>
      </c>
      <c r="E886" t="s">
        <v>21</v>
      </c>
      <c r="F886" t="s">
        <v>49</v>
      </c>
      <c r="G886" t="s">
        <v>50</v>
      </c>
      <c r="H886" t="s">
        <v>49</v>
      </c>
      <c r="I886" s="5">
        <v>0.04</v>
      </c>
      <c r="J886">
        <f t="shared" si="39"/>
        <v>24.8</v>
      </c>
      <c r="K886">
        <v>0</v>
      </c>
      <c r="L886">
        <f t="shared" si="40"/>
        <v>24.8</v>
      </c>
      <c r="M886" s="4">
        <f t="shared" si="41"/>
        <v>3.5428571428571427E-2</v>
      </c>
      <c r="N886">
        <v>700</v>
      </c>
      <c r="O886">
        <v>620</v>
      </c>
      <c r="P886" t="s">
        <v>25</v>
      </c>
      <c r="Q886" t="s">
        <v>26</v>
      </c>
      <c r="R886" t="str">
        <f>IF(COUNTIF(Sheet2!B:B, A886) &gt; 0, "Yes", "No")</f>
        <v>Yes</v>
      </c>
    </row>
    <row r="887" spans="1:18" x14ac:dyDescent="0.25">
      <c r="A887" s="3">
        <v>45208</v>
      </c>
      <c r="B887" t="s">
        <v>372</v>
      </c>
      <c r="C887" t="s">
        <v>19</v>
      </c>
      <c r="D887" t="s">
        <v>20</v>
      </c>
      <c r="E887" t="s">
        <v>21</v>
      </c>
      <c r="F887" t="s">
        <v>22</v>
      </c>
      <c r="G887" t="s">
        <v>94</v>
      </c>
      <c r="H887" t="s">
        <v>95</v>
      </c>
      <c r="I887">
        <v>8.5000000000000006E-2</v>
      </c>
      <c r="J887">
        <f t="shared" si="39"/>
        <v>53.550000000000004</v>
      </c>
      <c r="K887">
        <v>1</v>
      </c>
      <c r="L887">
        <f t="shared" si="40"/>
        <v>52.550000000000004</v>
      </c>
      <c r="M887" s="4">
        <f t="shared" si="41"/>
        <v>7.5071428571428581E-2</v>
      </c>
      <c r="N887">
        <v>700</v>
      </c>
      <c r="O887">
        <v>630</v>
      </c>
      <c r="P887" t="s">
        <v>25</v>
      </c>
      <c r="Q887" t="s">
        <v>26</v>
      </c>
      <c r="R887" t="str">
        <f>IF(COUNTIF(Sheet2!B:B, A887) &gt; 0, "Yes", "No")</f>
        <v>No</v>
      </c>
    </row>
    <row r="888" spans="1:18" x14ac:dyDescent="0.25">
      <c r="A888" s="3">
        <v>45208</v>
      </c>
      <c r="B888" t="s">
        <v>372</v>
      </c>
      <c r="C888" t="s">
        <v>19</v>
      </c>
      <c r="D888" t="s">
        <v>20</v>
      </c>
      <c r="E888" t="s">
        <v>21</v>
      </c>
      <c r="F888" t="s">
        <v>27</v>
      </c>
      <c r="G888" t="s">
        <v>81</v>
      </c>
      <c r="H888" t="s">
        <v>376</v>
      </c>
      <c r="I888">
        <v>0.1</v>
      </c>
      <c r="J888">
        <f t="shared" si="39"/>
        <v>63</v>
      </c>
      <c r="K888">
        <v>0</v>
      </c>
      <c r="L888">
        <f t="shared" si="40"/>
        <v>63</v>
      </c>
      <c r="M888" s="4">
        <f t="shared" si="41"/>
        <v>0.09</v>
      </c>
      <c r="N888">
        <v>700</v>
      </c>
      <c r="O888">
        <v>630</v>
      </c>
      <c r="P888" t="s">
        <v>25</v>
      </c>
      <c r="Q888" t="s">
        <v>26</v>
      </c>
      <c r="R888" t="str">
        <f>IF(COUNTIF(Sheet2!B:B, A888) &gt; 0, "Yes", "No")</f>
        <v>No</v>
      </c>
    </row>
    <row r="889" spans="1:18" x14ac:dyDescent="0.25">
      <c r="A889" s="3">
        <v>45208</v>
      </c>
      <c r="B889" t="s">
        <v>372</v>
      </c>
      <c r="C889" t="s">
        <v>19</v>
      </c>
      <c r="D889" t="s">
        <v>20</v>
      </c>
      <c r="E889" t="s">
        <v>21</v>
      </c>
      <c r="F889" t="s">
        <v>30</v>
      </c>
      <c r="G889" t="s">
        <v>55</v>
      </c>
      <c r="H889" t="s">
        <v>183</v>
      </c>
      <c r="I889">
        <v>0.09</v>
      </c>
      <c r="J889">
        <f t="shared" si="39"/>
        <v>56.699999999999996</v>
      </c>
      <c r="K889">
        <v>0</v>
      </c>
      <c r="L889">
        <f t="shared" si="40"/>
        <v>56.699999999999996</v>
      </c>
      <c r="M889" s="4">
        <f t="shared" si="41"/>
        <v>8.0999999999999989E-2</v>
      </c>
      <c r="N889">
        <v>700</v>
      </c>
      <c r="O889">
        <v>630</v>
      </c>
      <c r="P889" t="s">
        <v>25</v>
      </c>
      <c r="Q889" t="s">
        <v>26</v>
      </c>
      <c r="R889" t="str">
        <f>IF(COUNTIF(Sheet2!B:B, A889) &gt; 0, "Yes", "No")</f>
        <v>No</v>
      </c>
    </row>
    <row r="890" spans="1:18" x14ac:dyDescent="0.25">
      <c r="A890" s="3">
        <v>45208</v>
      </c>
      <c r="B890" t="s">
        <v>372</v>
      </c>
      <c r="C890" t="s">
        <v>19</v>
      </c>
      <c r="D890" t="s">
        <v>33</v>
      </c>
      <c r="E890" t="s">
        <v>21</v>
      </c>
      <c r="F890" t="s">
        <v>34</v>
      </c>
      <c r="G890" t="s">
        <v>35</v>
      </c>
      <c r="H890" t="s">
        <v>241</v>
      </c>
      <c r="I890">
        <v>0.15</v>
      </c>
      <c r="J890">
        <f t="shared" si="39"/>
        <v>56.699999999999996</v>
      </c>
      <c r="K890">
        <v>0</v>
      </c>
      <c r="L890">
        <f t="shared" si="40"/>
        <v>56.699999999999996</v>
      </c>
      <c r="M890" s="4">
        <f t="shared" si="41"/>
        <v>0.13499999999999998</v>
      </c>
      <c r="N890">
        <v>420</v>
      </c>
      <c r="O890">
        <v>378</v>
      </c>
      <c r="P890" t="s">
        <v>25</v>
      </c>
      <c r="Q890" t="s">
        <v>26</v>
      </c>
      <c r="R890" t="str">
        <f>IF(COUNTIF(Sheet2!B:B, A890) &gt; 0, "Yes", "No")</f>
        <v>No</v>
      </c>
    </row>
    <row r="891" spans="1:18" x14ac:dyDescent="0.25">
      <c r="A891" s="3">
        <v>45208</v>
      </c>
      <c r="B891" t="s">
        <v>372</v>
      </c>
      <c r="C891" t="s">
        <v>19</v>
      </c>
      <c r="D891" t="s">
        <v>20</v>
      </c>
      <c r="E891" t="s">
        <v>21</v>
      </c>
      <c r="F891" t="s">
        <v>37</v>
      </c>
      <c r="G891" t="s">
        <v>38</v>
      </c>
      <c r="H891" t="s">
        <v>39</v>
      </c>
      <c r="I891">
        <v>0.03</v>
      </c>
      <c r="J891">
        <f t="shared" si="39"/>
        <v>18.899999999999999</v>
      </c>
      <c r="K891">
        <v>2</v>
      </c>
      <c r="L891">
        <f t="shared" si="40"/>
        <v>16.899999999999999</v>
      </c>
      <c r="M891" s="4">
        <f t="shared" si="41"/>
        <v>2.414285714285714E-2</v>
      </c>
      <c r="N891">
        <v>700</v>
      </c>
      <c r="O891">
        <v>630</v>
      </c>
      <c r="P891" t="s">
        <v>25</v>
      </c>
      <c r="Q891" t="s">
        <v>26</v>
      </c>
      <c r="R891" t="str">
        <f>IF(COUNTIF(Sheet2!B:B, A891) &gt; 0, "Yes", "No")</f>
        <v>No</v>
      </c>
    </row>
    <row r="892" spans="1:18" x14ac:dyDescent="0.25">
      <c r="A892" s="3">
        <v>45208</v>
      </c>
      <c r="B892" t="s">
        <v>372</v>
      </c>
      <c r="C892" t="s">
        <v>19</v>
      </c>
      <c r="D892" t="s">
        <v>20</v>
      </c>
      <c r="E892" t="s">
        <v>21</v>
      </c>
      <c r="F892" t="s">
        <v>40</v>
      </c>
      <c r="G892" t="s">
        <v>61</v>
      </c>
      <c r="H892" t="s">
        <v>62</v>
      </c>
      <c r="I892">
        <v>4.4999999999999998E-2</v>
      </c>
      <c r="J892">
        <f t="shared" si="39"/>
        <v>28.349999999999998</v>
      </c>
      <c r="K892">
        <v>1</v>
      </c>
      <c r="L892">
        <f t="shared" si="40"/>
        <v>27.349999999999998</v>
      </c>
      <c r="M892" s="4">
        <f t="shared" si="41"/>
        <v>3.9071428571428569E-2</v>
      </c>
      <c r="N892">
        <v>700</v>
      </c>
      <c r="O892">
        <v>630</v>
      </c>
      <c r="P892" t="s">
        <v>25</v>
      </c>
      <c r="Q892" t="s">
        <v>26</v>
      </c>
      <c r="R892" t="str">
        <f>IF(COUNTIF(Sheet2!B:B, A892) &gt; 0, "Yes", "No")</f>
        <v>No</v>
      </c>
    </row>
    <row r="893" spans="1:18" x14ac:dyDescent="0.25">
      <c r="A893" s="3">
        <v>45208</v>
      </c>
      <c r="B893" t="s">
        <v>372</v>
      </c>
      <c r="C893" t="s">
        <v>19</v>
      </c>
      <c r="D893" t="s">
        <v>20</v>
      </c>
      <c r="E893" t="s">
        <v>21</v>
      </c>
      <c r="F893" t="s">
        <v>43</v>
      </c>
      <c r="G893" t="s">
        <v>215</v>
      </c>
      <c r="H893" t="s">
        <v>216</v>
      </c>
      <c r="I893">
        <v>0.11</v>
      </c>
      <c r="J893">
        <f t="shared" si="39"/>
        <v>69.3</v>
      </c>
      <c r="K893">
        <v>4</v>
      </c>
      <c r="L893">
        <f t="shared" si="40"/>
        <v>65.3</v>
      </c>
      <c r="M893" s="4">
        <f t="shared" si="41"/>
        <v>9.3285714285714277E-2</v>
      </c>
      <c r="N893">
        <v>700</v>
      </c>
      <c r="O893">
        <v>630</v>
      </c>
      <c r="P893" t="s">
        <v>25</v>
      </c>
      <c r="Q893" t="s">
        <v>26</v>
      </c>
      <c r="R893" t="str">
        <f>IF(COUNTIF(Sheet2!B:B, A893) &gt; 0, "Yes", "No")</f>
        <v>No</v>
      </c>
    </row>
    <row r="894" spans="1:18" x14ac:dyDescent="0.25">
      <c r="A894" s="3">
        <v>45208</v>
      </c>
      <c r="B894" t="s">
        <v>372</v>
      </c>
      <c r="C894" t="s">
        <v>19</v>
      </c>
      <c r="D894" t="s">
        <v>20</v>
      </c>
      <c r="E894" t="s">
        <v>21</v>
      </c>
      <c r="F894" t="s">
        <v>46</v>
      </c>
      <c r="G894" t="s">
        <v>77</v>
      </c>
      <c r="H894" t="s">
        <v>245</v>
      </c>
      <c r="I894">
        <v>8.5000000000000006E-2</v>
      </c>
      <c r="J894">
        <f t="shared" si="39"/>
        <v>53.550000000000004</v>
      </c>
      <c r="K894">
        <v>5</v>
      </c>
      <c r="L894">
        <f t="shared" si="40"/>
        <v>48.550000000000004</v>
      </c>
      <c r="M894" s="4">
        <f t="shared" si="41"/>
        <v>6.9357142857142867E-2</v>
      </c>
      <c r="N894">
        <v>700</v>
      </c>
      <c r="O894">
        <v>630</v>
      </c>
      <c r="P894" t="s">
        <v>25</v>
      </c>
      <c r="Q894" t="s">
        <v>26</v>
      </c>
      <c r="R894" t="str">
        <f>IF(COUNTIF(Sheet2!B:B, A894) &gt; 0, "Yes", "No")</f>
        <v>No</v>
      </c>
    </row>
    <row r="895" spans="1:18" x14ac:dyDescent="0.25">
      <c r="A895" s="3">
        <v>45208</v>
      </c>
      <c r="B895" t="s">
        <v>372</v>
      </c>
      <c r="C895" t="s">
        <v>19</v>
      </c>
      <c r="D895" t="s">
        <v>20</v>
      </c>
      <c r="E895" t="s">
        <v>21</v>
      </c>
      <c r="F895" t="s">
        <v>49</v>
      </c>
      <c r="G895" t="s">
        <v>50</v>
      </c>
      <c r="H895" t="s">
        <v>49</v>
      </c>
      <c r="I895">
        <v>0.09</v>
      </c>
      <c r="J895">
        <f t="shared" si="39"/>
        <v>56.699999999999996</v>
      </c>
      <c r="K895">
        <v>0</v>
      </c>
      <c r="L895">
        <f t="shared" si="40"/>
        <v>56.699999999999996</v>
      </c>
      <c r="M895" s="4">
        <f t="shared" si="41"/>
        <v>8.0999999999999989E-2</v>
      </c>
      <c r="N895">
        <v>700</v>
      </c>
      <c r="O895">
        <v>630</v>
      </c>
      <c r="P895" t="s">
        <v>25</v>
      </c>
      <c r="Q895" t="s">
        <v>26</v>
      </c>
      <c r="R895" t="str">
        <f>IF(COUNTIF(Sheet2!B:B, A895) &gt; 0, "Yes", "No")</f>
        <v>No</v>
      </c>
    </row>
    <row r="896" spans="1:18" x14ac:dyDescent="0.25">
      <c r="A896" s="3">
        <v>45209</v>
      </c>
      <c r="B896" t="s">
        <v>372</v>
      </c>
      <c r="C896" t="s">
        <v>105</v>
      </c>
      <c r="D896" t="s">
        <v>20</v>
      </c>
      <c r="E896" t="s">
        <v>67</v>
      </c>
      <c r="F896" t="s">
        <v>22</v>
      </c>
      <c r="G896" t="s">
        <v>52</v>
      </c>
      <c r="H896" t="s">
        <v>53</v>
      </c>
      <c r="I896">
        <v>8.5000000000000006E-2</v>
      </c>
      <c r="J896">
        <f t="shared" si="39"/>
        <v>61.2</v>
      </c>
      <c r="K896">
        <v>1.5</v>
      </c>
      <c r="L896">
        <f t="shared" si="40"/>
        <v>59.7</v>
      </c>
      <c r="M896" s="4">
        <f t="shared" si="41"/>
        <v>7.4624999999999997E-2</v>
      </c>
      <c r="N896">
        <v>800</v>
      </c>
      <c r="O896">
        <v>720</v>
      </c>
      <c r="P896" t="s">
        <v>25</v>
      </c>
      <c r="Q896" t="s">
        <v>26</v>
      </c>
      <c r="R896" t="str">
        <f>IF(COUNTIF(Sheet2!B:B, A896) &gt; 0, "Yes", "No")</f>
        <v>No</v>
      </c>
    </row>
    <row r="897" spans="1:18" x14ac:dyDescent="0.25">
      <c r="A897" s="3">
        <v>45209</v>
      </c>
      <c r="B897" t="s">
        <v>372</v>
      </c>
      <c r="C897" t="s">
        <v>105</v>
      </c>
      <c r="D897" t="s">
        <v>20</v>
      </c>
      <c r="E897" t="s">
        <v>67</v>
      </c>
      <c r="F897" t="s">
        <v>27</v>
      </c>
      <c r="G897" t="s">
        <v>28</v>
      </c>
      <c r="H897" t="s">
        <v>244</v>
      </c>
      <c r="I897">
        <v>0.11</v>
      </c>
      <c r="J897">
        <f t="shared" si="39"/>
        <v>79.2</v>
      </c>
      <c r="K897">
        <v>4</v>
      </c>
      <c r="L897">
        <f t="shared" si="40"/>
        <v>75.2</v>
      </c>
      <c r="M897" s="4">
        <f t="shared" si="41"/>
        <v>9.4E-2</v>
      </c>
      <c r="N897">
        <v>800</v>
      </c>
      <c r="O897">
        <v>720</v>
      </c>
      <c r="P897" t="s">
        <v>25</v>
      </c>
      <c r="Q897" t="s">
        <v>26</v>
      </c>
      <c r="R897" t="str">
        <f>IF(COUNTIF(Sheet2!B:B, A897) &gt; 0, "Yes", "No")</f>
        <v>No</v>
      </c>
    </row>
    <row r="898" spans="1:18" x14ac:dyDescent="0.25">
      <c r="A898" s="3">
        <v>45209</v>
      </c>
      <c r="B898" t="s">
        <v>372</v>
      </c>
      <c r="C898" t="s">
        <v>105</v>
      </c>
      <c r="D898" t="s">
        <v>20</v>
      </c>
      <c r="E898" t="s">
        <v>67</v>
      </c>
      <c r="F898" t="s">
        <v>30</v>
      </c>
      <c r="G898" t="s">
        <v>31</v>
      </c>
      <c r="H898" t="s">
        <v>172</v>
      </c>
      <c r="I898">
        <v>0.09</v>
      </c>
      <c r="J898">
        <f t="shared" si="39"/>
        <v>64.8</v>
      </c>
      <c r="K898">
        <v>1</v>
      </c>
      <c r="L898">
        <f t="shared" si="40"/>
        <v>63.8</v>
      </c>
      <c r="M898" s="4">
        <f t="shared" si="41"/>
        <v>7.9750000000000001E-2</v>
      </c>
      <c r="N898">
        <v>800</v>
      </c>
      <c r="O898">
        <v>720</v>
      </c>
      <c r="P898" t="s">
        <v>25</v>
      </c>
      <c r="Q898" t="s">
        <v>26</v>
      </c>
      <c r="R898" t="str">
        <f>IF(COUNTIF(Sheet2!B:B, A898) &gt; 0, "Yes", "No")</f>
        <v>No</v>
      </c>
    </row>
    <row r="899" spans="1:18" x14ac:dyDescent="0.25">
      <c r="A899" s="3">
        <v>45209</v>
      </c>
      <c r="B899" t="s">
        <v>372</v>
      </c>
      <c r="C899" t="s">
        <v>105</v>
      </c>
      <c r="D899" t="s">
        <v>20</v>
      </c>
      <c r="E899" t="s">
        <v>67</v>
      </c>
      <c r="F899" t="s">
        <v>37</v>
      </c>
      <c r="G899" t="s">
        <v>87</v>
      </c>
      <c r="H899" t="s">
        <v>88</v>
      </c>
      <c r="I899">
        <v>3.5000000000000003E-2</v>
      </c>
      <c r="J899">
        <f t="shared" ref="J899:J962" si="42">I899*O899</f>
        <v>25.200000000000003</v>
      </c>
      <c r="K899">
        <v>0</v>
      </c>
      <c r="L899">
        <f t="shared" ref="L899:L962" si="43">J899-K899</f>
        <v>25.200000000000003</v>
      </c>
      <c r="M899" s="4">
        <f t="shared" ref="M899:M962" si="44">((I899*O899)-K899)/N899</f>
        <v>3.15E-2</v>
      </c>
      <c r="N899">
        <v>800</v>
      </c>
      <c r="O899">
        <v>720</v>
      </c>
      <c r="P899" t="s">
        <v>25</v>
      </c>
      <c r="Q899" t="s">
        <v>26</v>
      </c>
      <c r="R899" t="str">
        <f>IF(COUNTIF(Sheet2!B:B, A899) &gt; 0, "Yes", "No")</f>
        <v>No</v>
      </c>
    </row>
    <row r="900" spans="1:18" x14ac:dyDescent="0.25">
      <c r="A900" s="3">
        <v>45209</v>
      </c>
      <c r="B900" t="s">
        <v>372</v>
      </c>
      <c r="C900" t="s">
        <v>105</v>
      </c>
      <c r="D900" t="s">
        <v>20</v>
      </c>
      <c r="E900" t="s">
        <v>67</v>
      </c>
      <c r="F900" t="s">
        <v>40</v>
      </c>
      <c r="G900" t="s">
        <v>164</v>
      </c>
      <c r="H900" t="s">
        <v>202</v>
      </c>
      <c r="I900">
        <v>0.05</v>
      </c>
      <c r="J900">
        <f t="shared" si="42"/>
        <v>36</v>
      </c>
      <c r="K900">
        <v>0</v>
      </c>
      <c r="L900">
        <f t="shared" si="43"/>
        <v>36</v>
      </c>
      <c r="M900" s="4">
        <f t="shared" si="44"/>
        <v>4.4999999999999998E-2</v>
      </c>
      <c r="N900">
        <v>800</v>
      </c>
      <c r="O900">
        <v>720</v>
      </c>
      <c r="P900" t="s">
        <v>25</v>
      </c>
      <c r="Q900" t="s">
        <v>26</v>
      </c>
      <c r="R900" t="str">
        <f>IF(COUNTIF(Sheet2!B:B, A900) &gt; 0, "Yes", "No")</f>
        <v>No</v>
      </c>
    </row>
    <row r="901" spans="1:18" x14ac:dyDescent="0.25">
      <c r="A901" s="3">
        <v>45209</v>
      </c>
      <c r="B901" t="s">
        <v>372</v>
      </c>
      <c r="C901" t="s">
        <v>105</v>
      </c>
      <c r="D901" t="s">
        <v>20</v>
      </c>
      <c r="E901" t="s">
        <v>67</v>
      </c>
      <c r="F901" t="s">
        <v>43</v>
      </c>
      <c r="G901" t="s">
        <v>359</v>
      </c>
      <c r="H901" t="s">
        <v>359</v>
      </c>
      <c r="I901">
        <v>0.11</v>
      </c>
      <c r="J901">
        <f t="shared" si="42"/>
        <v>79.2</v>
      </c>
      <c r="K901">
        <v>1.5</v>
      </c>
      <c r="L901">
        <f t="shared" si="43"/>
        <v>77.7</v>
      </c>
      <c r="M901" s="4">
        <f t="shared" si="44"/>
        <v>9.7125000000000003E-2</v>
      </c>
      <c r="N901">
        <v>800</v>
      </c>
      <c r="O901">
        <v>720</v>
      </c>
      <c r="P901" t="s">
        <v>25</v>
      </c>
      <c r="Q901" t="s">
        <v>26</v>
      </c>
      <c r="R901" t="str">
        <f>IF(COUNTIF(Sheet2!B:B, A901) &gt; 0, "Yes", "No")</f>
        <v>No</v>
      </c>
    </row>
    <row r="902" spans="1:18" x14ac:dyDescent="0.25">
      <c r="A902" s="3">
        <v>45209</v>
      </c>
      <c r="B902" t="s">
        <v>372</v>
      </c>
      <c r="C902" t="s">
        <v>105</v>
      </c>
      <c r="D902" t="s">
        <v>20</v>
      </c>
      <c r="E902" t="s">
        <v>67</v>
      </c>
      <c r="F902" t="s">
        <v>46</v>
      </c>
      <c r="G902" t="s">
        <v>47</v>
      </c>
      <c r="H902" t="s">
        <v>141</v>
      </c>
      <c r="I902">
        <v>8.5000000000000006E-2</v>
      </c>
      <c r="J902">
        <f t="shared" si="42"/>
        <v>61.2</v>
      </c>
      <c r="K902">
        <v>0</v>
      </c>
      <c r="L902">
        <f t="shared" si="43"/>
        <v>61.2</v>
      </c>
      <c r="M902" s="4">
        <f t="shared" si="44"/>
        <v>7.6499999999999999E-2</v>
      </c>
      <c r="N902">
        <v>800</v>
      </c>
      <c r="O902">
        <v>720</v>
      </c>
      <c r="P902" t="s">
        <v>25</v>
      </c>
      <c r="Q902" t="s">
        <v>26</v>
      </c>
      <c r="R902" t="str">
        <f>IF(COUNTIF(Sheet2!B:B, A902) &gt; 0, "Yes", "No")</f>
        <v>No</v>
      </c>
    </row>
    <row r="903" spans="1:18" x14ac:dyDescent="0.25">
      <c r="A903" s="3">
        <v>45209</v>
      </c>
      <c r="B903" t="s">
        <v>372</v>
      </c>
      <c r="C903" t="s">
        <v>105</v>
      </c>
      <c r="D903" t="s">
        <v>20</v>
      </c>
      <c r="E903" t="s">
        <v>67</v>
      </c>
      <c r="F903" t="s">
        <v>49</v>
      </c>
      <c r="G903" t="s">
        <v>50</v>
      </c>
      <c r="H903" t="s">
        <v>49</v>
      </c>
      <c r="I903">
        <v>0.09</v>
      </c>
      <c r="J903">
        <f t="shared" si="42"/>
        <v>64.8</v>
      </c>
      <c r="K903">
        <v>0</v>
      </c>
      <c r="L903">
        <f t="shared" si="43"/>
        <v>64.8</v>
      </c>
      <c r="M903" s="4">
        <f t="shared" si="44"/>
        <v>8.1000000000000003E-2</v>
      </c>
      <c r="N903">
        <v>800</v>
      </c>
      <c r="O903">
        <v>720</v>
      </c>
      <c r="P903" t="s">
        <v>25</v>
      </c>
      <c r="Q903" t="s">
        <v>26</v>
      </c>
      <c r="R903" t="str">
        <f>IF(COUNTIF(Sheet2!B:B, A903) &gt; 0, "Yes", "No")</f>
        <v>No</v>
      </c>
    </row>
    <row r="904" spans="1:18" x14ac:dyDescent="0.25">
      <c r="A904" s="3">
        <v>45210</v>
      </c>
      <c r="B904" t="s">
        <v>372</v>
      </c>
      <c r="C904" t="s">
        <v>51</v>
      </c>
      <c r="D904" t="s">
        <v>20</v>
      </c>
      <c r="E904" t="s">
        <v>21</v>
      </c>
      <c r="F904" t="s">
        <v>22</v>
      </c>
      <c r="G904" t="s">
        <v>94</v>
      </c>
      <c r="H904" t="s">
        <v>199</v>
      </c>
      <c r="I904">
        <v>8.5000000000000006E-2</v>
      </c>
      <c r="J904">
        <f t="shared" si="42"/>
        <v>61.2</v>
      </c>
      <c r="K904">
        <v>4</v>
      </c>
      <c r="L904">
        <f t="shared" si="43"/>
        <v>57.2</v>
      </c>
      <c r="M904" s="4">
        <f t="shared" si="44"/>
        <v>7.1500000000000008E-2</v>
      </c>
      <c r="N904">
        <v>800</v>
      </c>
      <c r="O904">
        <v>720</v>
      </c>
      <c r="P904" t="s">
        <v>25</v>
      </c>
      <c r="Q904" t="s">
        <v>26</v>
      </c>
      <c r="R904" t="str">
        <f>IF(COUNTIF(Sheet2!B:B, A904) &gt; 0, "Yes", "No")</f>
        <v>No</v>
      </c>
    </row>
    <row r="905" spans="1:18" x14ac:dyDescent="0.25">
      <c r="A905" s="3">
        <v>45210</v>
      </c>
      <c r="B905" t="s">
        <v>372</v>
      </c>
      <c r="C905" t="s">
        <v>51</v>
      </c>
      <c r="D905" t="s">
        <v>20</v>
      </c>
      <c r="E905" t="s">
        <v>21</v>
      </c>
      <c r="F905" t="s">
        <v>27</v>
      </c>
      <c r="G905" t="s">
        <v>780</v>
      </c>
      <c r="H905" t="s">
        <v>149</v>
      </c>
      <c r="I905">
        <v>0.11</v>
      </c>
      <c r="J905">
        <f t="shared" si="42"/>
        <v>79.2</v>
      </c>
      <c r="K905">
        <v>3</v>
      </c>
      <c r="L905">
        <f t="shared" si="43"/>
        <v>76.2</v>
      </c>
      <c r="M905" s="4">
        <f t="shared" si="44"/>
        <v>9.5250000000000001E-2</v>
      </c>
      <c r="N905">
        <v>800</v>
      </c>
      <c r="O905">
        <v>720</v>
      </c>
      <c r="P905" t="s">
        <v>25</v>
      </c>
      <c r="Q905" t="s">
        <v>26</v>
      </c>
      <c r="R905" t="str">
        <f>IF(COUNTIF(Sheet2!B:B, A905) &gt; 0, "Yes", "No")</f>
        <v>No</v>
      </c>
    </row>
    <row r="906" spans="1:18" x14ac:dyDescent="0.25">
      <c r="A906" s="3">
        <v>45210</v>
      </c>
      <c r="B906" t="s">
        <v>372</v>
      </c>
      <c r="C906" t="s">
        <v>51</v>
      </c>
      <c r="D906" t="s">
        <v>20</v>
      </c>
      <c r="E906" t="s">
        <v>21</v>
      </c>
      <c r="F906" t="s">
        <v>30</v>
      </c>
      <c r="G906" t="s">
        <v>31</v>
      </c>
      <c r="H906" t="s">
        <v>31</v>
      </c>
      <c r="I906">
        <v>0.09</v>
      </c>
      <c r="J906">
        <f t="shared" si="42"/>
        <v>64.8</v>
      </c>
      <c r="K906">
        <v>1</v>
      </c>
      <c r="L906">
        <f t="shared" si="43"/>
        <v>63.8</v>
      </c>
      <c r="M906" s="4">
        <f t="shared" si="44"/>
        <v>7.9750000000000001E-2</v>
      </c>
      <c r="N906">
        <v>800</v>
      </c>
      <c r="O906">
        <v>720</v>
      </c>
      <c r="P906" t="s">
        <v>25</v>
      </c>
      <c r="Q906" t="s">
        <v>26</v>
      </c>
      <c r="R906" t="str">
        <f>IF(COUNTIF(Sheet2!B:B, A906) &gt; 0, "Yes", "No")</f>
        <v>No</v>
      </c>
    </row>
    <row r="907" spans="1:18" x14ac:dyDescent="0.25">
      <c r="A907" s="3">
        <v>45210</v>
      </c>
      <c r="B907" t="s">
        <v>372</v>
      </c>
      <c r="C907" t="s">
        <v>51</v>
      </c>
      <c r="D907" t="s">
        <v>33</v>
      </c>
      <c r="E907" t="s">
        <v>21</v>
      </c>
      <c r="F907" t="s">
        <v>34</v>
      </c>
      <c r="G907" t="s">
        <v>35</v>
      </c>
      <c r="H907" t="s">
        <v>287</v>
      </c>
      <c r="I907">
        <v>0.15</v>
      </c>
      <c r="J907">
        <f t="shared" si="42"/>
        <v>64.8</v>
      </c>
      <c r="K907">
        <v>0</v>
      </c>
      <c r="L907">
        <f t="shared" si="43"/>
        <v>64.8</v>
      </c>
      <c r="M907" s="4">
        <f t="shared" si="44"/>
        <v>0.13499999999999998</v>
      </c>
      <c r="N907">
        <v>480</v>
      </c>
      <c r="O907">
        <v>432</v>
      </c>
      <c r="P907" t="s">
        <v>25</v>
      </c>
      <c r="Q907" t="s">
        <v>26</v>
      </c>
      <c r="R907" t="str">
        <f>IF(COUNTIF(Sheet2!B:B, A907) &gt; 0, "Yes", "No")</f>
        <v>No</v>
      </c>
    </row>
    <row r="908" spans="1:18" x14ac:dyDescent="0.25">
      <c r="A908" s="3">
        <v>45210</v>
      </c>
      <c r="B908" t="s">
        <v>372</v>
      </c>
      <c r="C908" t="s">
        <v>51</v>
      </c>
      <c r="D908" t="s">
        <v>20</v>
      </c>
      <c r="E908" t="s">
        <v>21</v>
      </c>
      <c r="F908" t="s">
        <v>37</v>
      </c>
      <c r="G908" t="s">
        <v>87</v>
      </c>
      <c r="H908" t="s">
        <v>99</v>
      </c>
      <c r="I908">
        <v>0.03</v>
      </c>
      <c r="J908">
        <f t="shared" si="42"/>
        <v>21.599999999999998</v>
      </c>
      <c r="K908">
        <v>1</v>
      </c>
      <c r="L908">
        <f t="shared" si="43"/>
        <v>20.599999999999998</v>
      </c>
      <c r="M908" s="4">
        <f t="shared" si="44"/>
        <v>2.5749999999999999E-2</v>
      </c>
      <c r="N908">
        <v>800</v>
      </c>
      <c r="O908">
        <v>720</v>
      </c>
      <c r="P908" t="s">
        <v>25</v>
      </c>
      <c r="Q908" t="s">
        <v>26</v>
      </c>
      <c r="R908" t="str">
        <f>IF(COUNTIF(Sheet2!B:B, A908) &gt; 0, "Yes", "No")</f>
        <v>No</v>
      </c>
    </row>
    <row r="909" spans="1:18" x14ac:dyDescent="0.25">
      <c r="A909" s="3">
        <v>45210</v>
      </c>
      <c r="B909" t="s">
        <v>372</v>
      </c>
      <c r="C909" t="s">
        <v>51</v>
      </c>
      <c r="D909" t="s">
        <v>20</v>
      </c>
      <c r="E909" t="s">
        <v>21</v>
      </c>
      <c r="F909" t="s">
        <v>40</v>
      </c>
      <c r="G909" t="s">
        <v>164</v>
      </c>
      <c r="H909" t="s">
        <v>193</v>
      </c>
      <c r="I909">
        <v>4.4999999999999998E-2</v>
      </c>
      <c r="J909">
        <f t="shared" si="42"/>
        <v>32.4</v>
      </c>
      <c r="K909">
        <v>1</v>
      </c>
      <c r="L909">
        <f t="shared" si="43"/>
        <v>31.4</v>
      </c>
      <c r="M909" s="4">
        <f t="shared" si="44"/>
        <v>3.925E-2</v>
      </c>
      <c r="N909">
        <v>800</v>
      </c>
      <c r="O909">
        <v>720</v>
      </c>
      <c r="P909" t="s">
        <v>25</v>
      </c>
      <c r="Q909" t="s">
        <v>26</v>
      </c>
      <c r="R909" t="str">
        <f>IF(COUNTIF(Sheet2!B:B, A909) &gt; 0, "Yes", "No")</f>
        <v>No</v>
      </c>
    </row>
    <row r="910" spans="1:18" x14ac:dyDescent="0.25">
      <c r="A910" s="3">
        <v>45210</v>
      </c>
      <c r="B910" t="s">
        <v>372</v>
      </c>
      <c r="C910" t="s">
        <v>51</v>
      </c>
      <c r="D910" t="s">
        <v>20</v>
      </c>
      <c r="E910" t="s">
        <v>21</v>
      </c>
      <c r="F910" t="s">
        <v>43</v>
      </c>
      <c r="G910" t="s">
        <v>44</v>
      </c>
      <c r="H910" t="s">
        <v>153</v>
      </c>
      <c r="I910">
        <v>0.11</v>
      </c>
      <c r="J910">
        <f t="shared" si="42"/>
        <v>79.2</v>
      </c>
      <c r="K910">
        <v>3</v>
      </c>
      <c r="L910">
        <f t="shared" si="43"/>
        <v>76.2</v>
      </c>
      <c r="M910" s="4">
        <f t="shared" si="44"/>
        <v>9.5250000000000001E-2</v>
      </c>
      <c r="N910">
        <v>800</v>
      </c>
      <c r="O910">
        <v>720</v>
      </c>
      <c r="P910" t="s">
        <v>25</v>
      </c>
      <c r="Q910" t="s">
        <v>26</v>
      </c>
      <c r="R910" t="str">
        <f>IF(COUNTIF(Sheet2!B:B, A910) &gt; 0, "Yes", "No")</f>
        <v>No</v>
      </c>
    </row>
    <row r="911" spans="1:18" x14ac:dyDescent="0.25">
      <c r="A911" s="3">
        <v>45210</v>
      </c>
      <c r="B911" t="s">
        <v>372</v>
      </c>
      <c r="C911" t="s">
        <v>51</v>
      </c>
      <c r="D911" t="s">
        <v>20</v>
      </c>
      <c r="E911" t="s">
        <v>21</v>
      </c>
      <c r="F911" t="s">
        <v>46</v>
      </c>
      <c r="G911" t="s">
        <v>92</v>
      </c>
      <c r="H911" t="s">
        <v>377</v>
      </c>
      <c r="I911">
        <v>8.5000000000000006E-2</v>
      </c>
      <c r="J911">
        <f t="shared" si="42"/>
        <v>61.2</v>
      </c>
      <c r="K911">
        <v>1</v>
      </c>
      <c r="L911">
        <f t="shared" si="43"/>
        <v>60.2</v>
      </c>
      <c r="M911" s="4">
        <f t="shared" si="44"/>
        <v>7.5249999999999997E-2</v>
      </c>
      <c r="N911">
        <v>800</v>
      </c>
      <c r="O911">
        <v>720</v>
      </c>
      <c r="P911" t="s">
        <v>25</v>
      </c>
      <c r="Q911" t="s">
        <v>26</v>
      </c>
      <c r="R911" t="str">
        <f>IF(COUNTIF(Sheet2!B:B, A911) &gt; 0, "Yes", "No")</f>
        <v>No</v>
      </c>
    </row>
    <row r="912" spans="1:18" x14ac:dyDescent="0.25">
      <c r="A912" s="3">
        <v>45210</v>
      </c>
      <c r="B912" t="s">
        <v>372</v>
      </c>
      <c r="C912" t="s">
        <v>51</v>
      </c>
      <c r="D912" t="s">
        <v>20</v>
      </c>
      <c r="E912" t="s">
        <v>21</v>
      </c>
      <c r="F912" t="s">
        <v>49</v>
      </c>
      <c r="G912" t="s">
        <v>50</v>
      </c>
      <c r="H912" t="s">
        <v>49</v>
      </c>
      <c r="I912">
        <v>0.09</v>
      </c>
      <c r="J912">
        <f t="shared" si="42"/>
        <v>64.8</v>
      </c>
      <c r="K912">
        <v>0</v>
      </c>
      <c r="L912">
        <f t="shared" si="43"/>
        <v>64.8</v>
      </c>
      <c r="M912" s="4">
        <f t="shared" si="44"/>
        <v>8.1000000000000003E-2</v>
      </c>
      <c r="N912">
        <v>800</v>
      </c>
      <c r="O912">
        <v>720</v>
      </c>
      <c r="P912" t="s">
        <v>25</v>
      </c>
      <c r="Q912" t="s">
        <v>26</v>
      </c>
      <c r="R912" t="str">
        <f>IF(COUNTIF(Sheet2!B:B, A912) &gt; 0, "Yes", "No")</f>
        <v>No</v>
      </c>
    </row>
    <row r="913" spans="1:18" x14ac:dyDescent="0.25">
      <c r="A913" s="3">
        <v>45211</v>
      </c>
      <c r="B913" t="s">
        <v>372</v>
      </c>
      <c r="C913" t="s">
        <v>66</v>
      </c>
      <c r="D913" t="s">
        <v>20</v>
      </c>
      <c r="E913" t="s">
        <v>67</v>
      </c>
      <c r="F913" t="s">
        <v>22</v>
      </c>
      <c r="G913" t="s">
        <v>23</v>
      </c>
      <c r="H913" t="s">
        <v>196</v>
      </c>
      <c r="I913">
        <v>8.5000000000000006E-2</v>
      </c>
      <c r="J913">
        <f t="shared" si="42"/>
        <v>56.95</v>
      </c>
      <c r="K913">
        <v>0</v>
      </c>
      <c r="L913">
        <f t="shared" si="43"/>
        <v>56.95</v>
      </c>
      <c r="M913" s="4">
        <f t="shared" si="44"/>
        <v>7.5933333333333339E-2</v>
      </c>
      <c r="N913">
        <v>750</v>
      </c>
      <c r="O913">
        <v>670</v>
      </c>
      <c r="P913" t="s">
        <v>25</v>
      </c>
      <c r="Q913" t="s">
        <v>26</v>
      </c>
      <c r="R913" t="str">
        <f>IF(COUNTIF(Sheet2!B:B, A913) &gt; 0, "Yes", "No")</f>
        <v>No</v>
      </c>
    </row>
    <row r="914" spans="1:18" x14ac:dyDescent="0.25">
      <c r="A914" s="3">
        <v>45211</v>
      </c>
      <c r="B914" t="s">
        <v>372</v>
      </c>
      <c r="C914" t="s">
        <v>66</v>
      </c>
      <c r="D914" t="s">
        <v>20</v>
      </c>
      <c r="E914" t="s">
        <v>67</v>
      </c>
      <c r="F914" t="s">
        <v>27</v>
      </c>
      <c r="G914" t="s">
        <v>28</v>
      </c>
      <c r="H914" t="s">
        <v>250</v>
      </c>
      <c r="I914">
        <v>0.11</v>
      </c>
      <c r="J914">
        <f t="shared" si="42"/>
        <v>73.7</v>
      </c>
      <c r="K914">
        <v>3</v>
      </c>
      <c r="L914">
        <f t="shared" si="43"/>
        <v>70.7</v>
      </c>
      <c r="M914" s="4">
        <f t="shared" si="44"/>
        <v>9.4266666666666665E-2</v>
      </c>
      <c r="N914">
        <v>750</v>
      </c>
      <c r="O914">
        <v>670</v>
      </c>
      <c r="P914" t="s">
        <v>25</v>
      </c>
      <c r="Q914" t="s">
        <v>26</v>
      </c>
      <c r="R914" t="str">
        <f>IF(COUNTIF(Sheet2!B:B, A914) &gt; 0, "Yes", "No")</f>
        <v>No</v>
      </c>
    </row>
    <row r="915" spans="1:18" x14ac:dyDescent="0.25">
      <c r="A915" s="3">
        <v>45211</v>
      </c>
      <c r="B915" t="s">
        <v>372</v>
      </c>
      <c r="C915" t="s">
        <v>66</v>
      </c>
      <c r="D915" t="s">
        <v>20</v>
      </c>
      <c r="E915" t="s">
        <v>67</v>
      </c>
      <c r="F915" t="s">
        <v>30</v>
      </c>
      <c r="G915" t="s">
        <v>55</v>
      </c>
      <c r="H915" t="s">
        <v>134</v>
      </c>
      <c r="I915">
        <v>0.09</v>
      </c>
      <c r="J915">
        <f t="shared" si="42"/>
        <v>60.3</v>
      </c>
      <c r="K915">
        <v>2</v>
      </c>
      <c r="L915">
        <f t="shared" si="43"/>
        <v>58.3</v>
      </c>
      <c r="M915" s="4">
        <f t="shared" si="44"/>
        <v>7.7733333333333335E-2</v>
      </c>
      <c r="N915">
        <v>750</v>
      </c>
      <c r="O915">
        <v>670</v>
      </c>
      <c r="P915" t="s">
        <v>25</v>
      </c>
      <c r="Q915" t="s">
        <v>26</v>
      </c>
      <c r="R915" t="str">
        <f>IF(COUNTIF(Sheet2!B:B, A915) &gt; 0, "Yes", "No")</f>
        <v>No</v>
      </c>
    </row>
    <row r="916" spans="1:18" x14ac:dyDescent="0.25">
      <c r="A916" s="3">
        <v>45211</v>
      </c>
      <c r="B916" t="s">
        <v>372</v>
      </c>
      <c r="C916" t="s">
        <v>66</v>
      </c>
      <c r="D916" t="s">
        <v>20</v>
      </c>
      <c r="E916" t="s">
        <v>67</v>
      </c>
      <c r="F916" t="s">
        <v>37</v>
      </c>
      <c r="G916" t="s">
        <v>87</v>
      </c>
      <c r="H916" t="s">
        <v>136</v>
      </c>
      <c r="I916">
        <v>3.5000000000000003E-2</v>
      </c>
      <c r="J916">
        <f t="shared" si="42"/>
        <v>23.450000000000003</v>
      </c>
      <c r="K916">
        <v>1</v>
      </c>
      <c r="L916">
        <f t="shared" si="43"/>
        <v>22.450000000000003</v>
      </c>
      <c r="M916" s="4">
        <f t="shared" si="44"/>
        <v>2.9933333333333336E-2</v>
      </c>
      <c r="N916">
        <v>750</v>
      </c>
      <c r="O916">
        <v>670</v>
      </c>
      <c r="P916" t="s">
        <v>25</v>
      </c>
      <c r="Q916" t="s">
        <v>26</v>
      </c>
      <c r="R916" t="str">
        <f>IF(COUNTIF(Sheet2!B:B, A916) &gt; 0, "Yes", "No")</f>
        <v>No</v>
      </c>
    </row>
    <row r="917" spans="1:18" x14ac:dyDescent="0.25">
      <c r="A917" s="3">
        <v>45211</v>
      </c>
      <c r="B917" t="s">
        <v>372</v>
      </c>
      <c r="C917" t="s">
        <v>66</v>
      </c>
      <c r="D917" t="s">
        <v>20</v>
      </c>
      <c r="E917" t="s">
        <v>67</v>
      </c>
      <c r="F917" t="s">
        <v>40</v>
      </c>
      <c r="G917" t="s">
        <v>157</v>
      </c>
      <c r="H917" t="s">
        <v>158</v>
      </c>
      <c r="I917">
        <v>0.05</v>
      </c>
      <c r="J917">
        <f t="shared" si="42"/>
        <v>33.5</v>
      </c>
      <c r="K917">
        <v>0</v>
      </c>
      <c r="L917">
        <f t="shared" si="43"/>
        <v>33.5</v>
      </c>
      <c r="M917" s="4">
        <f t="shared" si="44"/>
        <v>4.4666666666666667E-2</v>
      </c>
      <c r="N917">
        <v>750</v>
      </c>
      <c r="O917">
        <v>670</v>
      </c>
      <c r="P917" t="s">
        <v>25</v>
      </c>
      <c r="Q917" t="s">
        <v>26</v>
      </c>
      <c r="R917" t="str">
        <f>IF(COUNTIF(Sheet2!B:B, A917) &gt; 0, "Yes", "No")</f>
        <v>No</v>
      </c>
    </row>
    <row r="918" spans="1:18" x14ac:dyDescent="0.25">
      <c r="A918" s="3">
        <v>45211</v>
      </c>
      <c r="B918" t="s">
        <v>372</v>
      </c>
      <c r="C918" t="s">
        <v>66</v>
      </c>
      <c r="D918" t="s">
        <v>20</v>
      </c>
      <c r="E918" t="s">
        <v>67</v>
      </c>
      <c r="F918" t="s">
        <v>43</v>
      </c>
      <c r="G918" t="s">
        <v>90</v>
      </c>
      <c r="H918" t="s">
        <v>255</v>
      </c>
      <c r="I918">
        <v>0.11</v>
      </c>
      <c r="J918">
        <f t="shared" si="42"/>
        <v>73.7</v>
      </c>
      <c r="K918">
        <v>4</v>
      </c>
      <c r="L918">
        <f t="shared" si="43"/>
        <v>69.7</v>
      </c>
      <c r="M918" s="4">
        <f t="shared" si="44"/>
        <v>9.293333333333334E-2</v>
      </c>
      <c r="N918">
        <v>750</v>
      </c>
      <c r="O918">
        <v>670</v>
      </c>
      <c r="P918" t="s">
        <v>25</v>
      </c>
      <c r="Q918" t="s">
        <v>26</v>
      </c>
      <c r="R918" t="str">
        <f>IF(COUNTIF(Sheet2!B:B, A918) &gt; 0, "Yes", "No")</f>
        <v>No</v>
      </c>
    </row>
    <row r="919" spans="1:18" x14ac:dyDescent="0.25">
      <c r="A919" s="3">
        <v>45211</v>
      </c>
      <c r="B919" t="s">
        <v>372</v>
      </c>
      <c r="C919" t="s">
        <v>66</v>
      </c>
      <c r="D919" t="s">
        <v>20</v>
      </c>
      <c r="E919" t="s">
        <v>67</v>
      </c>
      <c r="F919" t="s">
        <v>46</v>
      </c>
      <c r="G919" t="s">
        <v>130</v>
      </c>
      <c r="H919" t="s">
        <v>147</v>
      </c>
      <c r="I919">
        <v>8.5000000000000006E-2</v>
      </c>
      <c r="J919">
        <f t="shared" si="42"/>
        <v>56.95</v>
      </c>
      <c r="K919">
        <v>0</v>
      </c>
      <c r="L919">
        <f t="shared" si="43"/>
        <v>56.95</v>
      </c>
      <c r="M919" s="4">
        <f t="shared" si="44"/>
        <v>7.5933333333333339E-2</v>
      </c>
      <c r="N919">
        <v>750</v>
      </c>
      <c r="O919">
        <v>670</v>
      </c>
      <c r="P919" t="s">
        <v>25</v>
      </c>
      <c r="Q919" t="s">
        <v>26</v>
      </c>
      <c r="R919" t="str">
        <f>IF(COUNTIF(Sheet2!B:B, A919) &gt; 0, "Yes", "No")</f>
        <v>No</v>
      </c>
    </row>
    <row r="920" spans="1:18" x14ac:dyDescent="0.25">
      <c r="A920" s="3">
        <v>45211</v>
      </c>
      <c r="B920" t="s">
        <v>372</v>
      </c>
      <c r="C920" t="s">
        <v>66</v>
      </c>
      <c r="D920" t="s">
        <v>20</v>
      </c>
      <c r="E920" t="s">
        <v>67</v>
      </c>
      <c r="F920" t="s">
        <v>49</v>
      </c>
      <c r="G920" t="s">
        <v>50</v>
      </c>
      <c r="H920" t="s">
        <v>49</v>
      </c>
      <c r="I920">
        <v>0.09</v>
      </c>
      <c r="J920">
        <f t="shared" si="42"/>
        <v>60.3</v>
      </c>
      <c r="K920">
        <v>0</v>
      </c>
      <c r="L920">
        <f t="shared" si="43"/>
        <v>60.3</v>
      </c>
      <c r="M920" s="4">
        <f t="shared" si="44"/>
        <v>8.0399999999999999E-2</v>
      </c>
      <c r="N920">
        <v>750</v>
      </c>
      <c r="O920">
        <v>670</v>
      </c>
      <c r="P920" t="s">
        <v>25</v>
      </c>
      <c r="Q920" t="s">
        <v>26</v>
      </c>
      <c r="R920" t="str">
        <f>IF(COUNTIF(Sheet2!B:B, A920) &gt; 0, "Yes", "No")</f>
        <v>No</v>
      </c>
    </row>
    <row r="921" spans="1:18" x14ac:dyDescent="0.25">
      <c r="A921" s="3">
        <v>45212</v>
      </c>
      <c r="B921" t="s">
        <v>372</v>
      </c>
      <c r="C921" t="s">
        <v>79</v>
      </c>
      <c r="D921" t="s">
        <v>20</v>
      </c>
      <c r="E921" t="s">
        <v>21</v>
      </c>
      <c r="F921" t="s">
        <v>22</v>
      </c>
      <c r="G921" t="s">
        <v>23</v>
      </c>
      <c r="H921" t="s">
        <v>114</v>
      </c>
      <c r="I921" s="5">
        <v>0.06</v>
      </c>
      <c r="J921">
        <f t="shared" si="42"/>
        <v>34.799999999999997</v>
      </c>
      <c r="K921">
        <v>3</v>
      </c>
      <c r="L921">
        <f t="shared" si="43"/>
        <v>31.799999999999997</v>
      </c>
      <c r="M921" s="4">
        <f t="shared" si="44"/>
        <v>4.8923076923076916E-2</v>
      </c>
      <c r="N921">
        <v>650</v>
      </c>
      <c r="O921">
        <v>580</v>
      </c>
      <c r="P921" t="s">
        <v>25</v>
      </c>
      <c r="Q921" t="s">
        <v>26</v>
      </c>
      <c r="R921" t="str">
        <f>IF(COUNTIF(Sheet2!B:B, A921) &gt; 0, "Yes", "No")</f>
        <v>Yes</v>
      </c>
    </row>
    <row r="922" spans="1:18" x14ac:dyDescent="0.25">
      <c r="A922" s="3">
        <v>45212</v>
      </c>
      <c r="B922" t="s">
        <v>372</v>
      </c>
      <c r="C922" t="s">
        <v>79</v>
      </c>
      <c r="D922" t="s">
        <v>20</v>
      </c>
      <c r="E922" t="s">
        <v>21</v>
      </c>
      <c r="F922" t="s">
        <v>27</v>
      </c>
      <c r="G922" t="s">
        <v>81</v>
      </c>
      <c r="H922" t="s">
        <v>378</v>
      </c>
      <c r="I922" s="5">
        <v>0.1</v>
      </c>
      <c r="J922">
        <f t="shared" si="42"/>
        <v>58</v>
      </c>
      <c r="K922">
        <v>5</v>
      </c>
      <c r="L922">
        <f t="shared" si="43"/>
        <v>53</v>
      </c>
      <c r="M922" s="4">
        <f t="shared" si="44"/>
        <v>8.1538461538461532E-2</v>
      </c>
      <c r="N922">
        <v>650</v>
      </c>
      <c r="O922">
        <v>580</v>
      </c>
      <c r="P922" t="s">
        <v>25</v>
      </c>
      <c r="Q922" t="s">
        <v>26</v>
      </c>
      <c r="R922" t="str">
        <f>IF(COUNTIF(Sheet2!B:B, A922) &gt; 0, "Yes", "No")</f>
        <v>Yes</v>
      </c>
    </row>
    <row r="923" spans="1:18" x14ac:dyDescent="0.25">
      <c r="A923" s="3">
        <v>45212</v>
      </c>
      <c r="B923" t="s">
        <v>372</v>
      </c>
      <c r="C923" t="s">
        <v>79</v>
      </c>
      <c r="D923" t="s">
        <v>20</v>
      </c>
      <c r="E923" t="s">
        <v>21</v>
      </c>
      <c r="F923" t="s">
        <v>30</v>
      </c>
      <c r="G923" t="s">
        <v>55</v>
      </c>
      <c r="H923" t="s">
        <v>56</v>
      </c>
      <c r="I923" s="5">
        <v>0.06</v>
      </c>
      <c r="J923">
        <f t="shared" si="42"/>
        <v>34.799999999999997</v>
      </c>
      <c r="K923">
        <v>3</v>
      </c>
      <c r="L923">
        <f t="shared" si="43"/>
        <v>31.799999999999997</v>
      </c>
      <c r="M923" s="4">
        <f t="shared" si="44"/>
        <v>4.8923076923076916E-2</v>
      </c>
      <c r="N923">
        <v>650</v>
      </c>
      <c r="O923">
        <v>580</v>
      </c>
      <c r="P923" t="s">
        <v>25</v>
      </c>
      <c r="Q923" t="s">
        <v>26</v>
      </c>
      <c r="R923" t="str">
        <f>IF(COUNTIF(Sheet2!B:B, A923) &gt; 0, "Yes", "No")</f>
        <v>Yes</v>
      </c>
    </row>
    <row r="924" spans="1:18" x14ac:dyDescent="0.25">
      <c r="A924" s="3">
        <v>45212</v>
      </c>
      <c r="B924" t="s">
        <v>372</v>
      </c>
      <c r="C924" t="s">
        <v>79</v>
      </c>
      <c r="D924" t="s">
        <v>33</v>
      </c>
      <c r="E924" t="s">
        <v>21</v>
      </c>
      <c r="F924" t="s">
        <v>84</v>
      </c>
      <c r="G924" t="s">
        <v>85</v>
      </c>
      <c r="H924" t="s">
        <v>86</v>
      </c>
      <c r="I924" s="5">
        <v>0.3</v>
      </c>
      <c r="J924">
        <f t="shared" si="42"/>
        <v>113.1</v>
      </c>
      <c r="K924">
        <v>0</v>
      </c>
      <c r="L924">
        <f t="shared" si="43"/>
        <v>113.1</v>
      </c>
      <c r="M924" s="4">
        <f t="shared" si="44"/>
        <v>0.26737588652482269</v>
      </c>
      <c r="N924">
        <v>423</v>
      </c>
      <c r="O924">
        <v>377</v>
      </c>
      <c r="P924" t="s">
        <v>25</v>
      </c>
      <c r="Q924" t="s">
        <v>26</v>
      </c>
      <c r="R924" t="str">
        <f>IF(COUNTIF(Sheet2!B:B, A924) &gt; 0, "Yes", "No")</f>
        <v>Yes</v>
      </c>
    </row>
    <row r="925" spans="1:18" x14ac:dyDescent="0.25">
      <c r="A925" s="3">
        <v>45212</v>
      </c>
      <c r="B925" t="s">
        <v>372</v>
      </c>
      <c r="C925" t="s">
        <v>79</v>
      </c>
      <c r="D925" t="s">
        <v>20</v>
      </c>
      <c r="E925" t="s">
        <v>21</v>
      </c>
      <c r="F925" t="s">
        <v>37</v>
      </c>
      <c r="G925" t="s">
        <v>59</v>
      </c>
      <c r="H925" t="s">
        <v>60</v>
      </c>
      <c r="I925" s="5">
        <v>2.5000000000000001E-2</v>
      </c>
      <c r="J925">
        <f t="shared" si="42"/>
        <v>14.5</v>
      </c>
      <c r="K925">
        <v>3</v>
      </c>
      <c r="L925">
        <f t="shared" si="43"/>
        <v>11.5</v>
      </c>
      <c r="M925" s="4">
        <f t="shared" si="44"/>
        <v>1.7692307692307691E-2</v>
      </c>
      <c r="N925">
        <v>650</v>
      </c>
      <c r="O925">
        <v>580</v>
      </c>
      <c r="P925" t="s">
        <v>25</v>
      </c>
      <c r="Q925" t="s">
        <v>26</v>
      </c>
      <c r="R925" t="str">
        <f>IF(COUNTIF(Sheet2!B:B, A925) &gt; 0, "Yes", "No")</f>
        <v>Yes</v>
      </c>
    </row>
    <row r="926" spans="1:18" x14ac:dyDescent="0.25">
      <c r="A926" s="3">
        <v>45212</v>
      </c>
      <c r="B926" t="s">
        <v>372</v>
      </c>
      <c r="C926" t="s">
        <v>79</v>
      </c>
      <c r="D926" t="s">
        <v>20</v>
      </c>
      <c r="E926" t="s">
        <v>21</v>
      </c>
      <c r="F926" t="s">
        <v>40</v>
      </c>
      <c r="G926" t="s">
        <v>61</v>
      </c>
      <c r="H926" t="s">
        <v>62</v>
      </c>
      <c r="I926" s="5">
        <v>0.04</v>
      </c>
      <c r="J926">
        <f t="shared" si="42"/>
        <v>23.2</v>
      </c>
      <c r="K926">
        <v>3</v>
      </c>
      <c r="L926">
        <f t="shared" si="43"/>
        <v>20.2</v>
      </c>
      <c r="M926" s="4">
        <f t="shared" si="44"/>
        <v>3.1076923076923075E-2</v>
      </c>
      <c r="N926">
        <v>650</v>
      </c>
      <c r="O926">
        <v>580</v>
      </c>
      <c r="P926" t="s">
        <v>25</v>
      </c>
      <c r="Q926" t="s">
        <v>26</v>
      </c>
      <c r="R926" t="str">
        <f>IF(COUNTIF(Sheet2!B:B, A926) &gt; 0, "Yes", "No")</f>
        <v>Yes</v>
      </c>
    </row>
    <row r="927" spans="1:18" x14ac:dyDescent="0.25">
      <c r="A927" s="3">
        <v>45212</v>
      </c>
      <c r="B927" t="s">
        <v>372</v>
      </c>
      <c r="C927" t="s">
        <v>79</v>
      </c>
      <c r="D927" t="s">
        <v>20</v>
      </c>
      <c r="E927" t="s">
        <v>21</v>
      </c>
      <c r="F927" t="s">
        <v>43</v>
      </c>
      <c r="G927" t="s">
        <v>75</v>
      </c>
      <c r="H927" t="s">
        <v>76</v>
      </c>
      <c r="I927" s="5">
        <v>7.4999999999999997E-2</v>
      </c>
      <c r="J927">
        <f t="shared" si="42"/>
        <v>43.5</v>
      </c>
      <c r="K927">
        <v>3</v>
      </c>
      <c r="L927">
        <f t="shared" si="43"/>
        <v>40.5</v>
      </c>
      <c r="M927" s="4">
        <f t="shared" si="44"/>
        <v>6.2307692307692307E-2</v>
      </c>
      <c r="N927">
        <v>650</v>
      </c>
      <c r="O927">
        <v>580</v>
      </c>
      <c r="P927" t="s">
        <v>25</v>
      </c>
      <c r="Q927" t="s">
        <v>26</v>
      </c>
      <c r="R927" t="str">
        <f>IF(COUNTIF(Sheet2!B:B, A927) &gt; 0, "Yes", "No")</f>
        <v>Yes</v>
      </c>
    </row>
    <row r="928" spans="1:18" x14ac:dyDescent="0.25">
      <c r="A928" s="3">
        <v>45212</v>
      </c>
      <c r="B928" t="s">
        <v>372</v>
      </c>
      <c r="C928" t="s">
        <v>79</v>
      </c>
      <c r="D928" t="s">
        <v>20</v>
      </c>
      <c r="E928" t="s">
        <v>21</v>
      </c>
      <c r="F928" t="s">
        <v>46</v>
      </c>
      <c r="G928" t="s">
        <v>47</v>
      </c>
      <c r="H928" t="s">
        <v>350</v>
      </c>
      <c r="I928" s="5">
        <v>0.05</v>
      </c>
      <c r="J928">
        <f t="shared" si="42"/>
        <v>29</v>
      </c>
      <c r="K928">
        <v>1</v>
      </c>
      <c r="L928">
        <f t="shared" si="43"/>
        <v>28</v>
      </c>
      <c r="M928" s="4">
        <f t="shared" si="44"/>
        <v>4.3076923076923075E-2</v>
      </c>
      <c r="N928">
        <v>650</v>
      </c>
      <c r="O928">
        <v>580</v>
      </c>
      <c r="P928" t="s">
        <v>25</v>
      </c>
      <c r="Q928" t="s">
        <v>26</v>
      </c>
      <c r="R928" t="str">
        <f>IF(COUNTIF(Sheet2!B:B, A928) &gt; 0, "Yes", "No")</f>
        <v>Yes</v>
      </c>
    </row>
    <row r="929" spans="1:18" x14ac:dyDescent="0.25">
      <c r="A929" s="3">
        <v>45212</v>
      </c>
      <c r="B929" t="s">
        <v>372</v>
      </c>
      <c r="C929" t="s">
        <v>79</v>
      </c>
      <c r="D929" t="s">
        <v>20</v>
      </c>
      <c r="E929" t="s">
        <v>21</v>
      </c>
      <c r="F929" t="s">
        <v>49</v>
      </c>
      <c r="G929" t="s">
        <v>50</v>
      </c>
      <c r="H929" t="s">
        <v>49</v>
      </c>
      <c r="I929" s="5">
        <v>0.04</v>
      </c>
      <c r="J929">
        <f t="shared" si="42"/>
        <v>23.2</v>
      </c>
      <c r="K929">
        <v>3</v>
      </c>
      <c r="L929">
        <f t="shared" si="43"/>
        <v>20.2</v>
      </c>
      <c r="M929" s="4">
        <f t="shared" si="44"/>
        <v>3.1076923076923075E-2</v>
      </c>
      <c r="N929">
        <v>650</v>
      </c>
      <c r="O929">
        <v>580</v>
      </c>
      <c r="P929" t="s">
        <v>25</v>
      </c>
      <c r="Q929" t="s">
        <v>26</v>
      </c>
      <c r="R929" t="str">
        <f>IF(COUNTIF(Sheet2!B:B, A929) &gt; 0, "Yes", "No")</f>
        <v>Yes</v>
      </c>
    </row>
    <row r="930" spans="1:18" x14ac:dyDescent="0.25">
      <c r="A930" s="3">
        <v>45215</v>
      </c>
      <c r="B930" t="s">
        <v>372</v>
      </c>
      <c r="C930" t="s">
        <v>19</v>
      </c>
      <c r="D930" t="s">
        <v>20</v>
      </c>
      <c r="E930" t="s">
        <v>21</v>
      </c>
      <c r="F930" t="s">
        <v>22</v>
      </c>
      <c r="G930" t="s">
        <v>23</v>
      </c>
      <c r="H930" t="s">
        <v>24</v>
      </c>
      <c r="I930">
        <v>8.5000000000000006E-2</v>
      </c>
      <c r="J930">
        <f t="shared" si="42"/>
        <v>51.000000000000007</v>
      </c>
      <c r="K930">
        <v>0</v>
      </c>
      <c r="L930">
        <f t="shared" si="43"/>
        <v>51.000000000000007</v>
      </c>
      <c r="M930" s="4">
        <f t="shared" si="44"/>
        <v>7.8461538461538471E-2</v>
      </c>
      <c r="N930">
        <v>650</v>
      </c>
      <c r="O930">
        <v>600</v>
      </c>
      <c r="P930" t="s">
        <v>25</v>
      </c>
      <c r="Q930" t="s">
        <v>26</v>
      </c>
      <c r="R930" t="str">
        <f>IF(COUNTIF(Sheet2!B:B, A930) &gt; 0, "Yes", "No")</f>
        <v>No</v>
      </c>
    </row>
    <row r="931" spans="1:18" x14ac:dyDescent="0.25">
      <c r="A931" s="3">
        <v>45215</v>
      </c>
      <c r="B931" t="s">
        <v>372</v>
      </c>
      <c r="C931" t="s">
        <v>19</v>
      </c>
      <c r="D931" t="s">
        <v>20</v>
      </c>
      <c r="E931" t="s">
        <v>21</v>
      </c>
      <c r="F931" t="s">
        <v>27</v>
      </c>
      <c r="G931" t="s">
        <v>115</v>
      </c>
      <c r="H931" t="s">
        <v>115</v>
      </c>
      <c r="I931">
        <v>0.11</v>
      </c>
      <c r="J931">
        <f t="shared" si="42"/>
        <v>66</v>
      </c>
      <c r="K931">
        <v>0</v>
      </c>
      <c r="L931">
        <f t="shared" si="43"/>
        <v>66</v>
      </c>
      <c r="M931" s="4">
        <f t="shared" si="44"/>
        <v>0.10153846153846154</v>
      </c>
      <c r="N931">
        <v>650</v>
      </c>
      <c r="O931">
        <v>600</v>
      </c>
      <c r="P931" t="s">
        <v>25</v>
      </c>
      <c r="Q931" t="s">
        <v>26</v>
      </c>
      <c r="R931" t="str">
        <f>IF(COUNTIF(Sheet2!B:B, A931) &gt; 0, "Yes", "No")</f>
        <v>No</v>
      </c>
    </row>
    <row r="932" spans="1:18" x14ac:dyDescent="0.25">
      <c r="A932" s="3">
        <v>45215</v>
      </c>
      <c r="B932" t="s">
        <v>372</v>
      </c>
      <c r="C932" t="s">
        <v>19</v>
      </c>
      <c r="D932" t="s">
        <v>20</v>
      </c>
      <c r="E932" t="s">
        <v>21</v>
      </c>
      <c r="F932" t="s">
        <v>30</v>
      </c>
      <c r="G932" t="s">
        <v>31</v>
      </c>
      <c r="H932" t="s">
        <v>32</v>
      </c>
      <c r="I932">
        <v>0.09</v>
      </c>
      <c r="J932">
        <f t="shared" si="42"/>
        <v>54</v>
      </c>
      <c r="K932">
        <v>0</v>
      </c>
      <c r="L932">
        <f t="shared" si="43"/>
        <v>54</v>
      </c>
      <c r="M932" s="4">
        <f t="shared" si="44"/>
        <v>8.3076923076923076E-2</v>
      </c>
      <c r="N932">
        <v>650</v>
      </c>
      <c r="O932">
        <v>600</v>
      </c>
      <c r="P932" t="s">
        <v>25</v>
      </c>
      <c r="Q932" t="s">
        <v>26</v>
      </c>
      <c r="R932" t="str">
        <f>IF(COUNTIF(Sheet2!B:B, A932) &gt; 0, "Yes", "No")</f>
        <v>No</v>
      </c>
    </row>
    <row r="933" spans="1:18" x14ac:dyDescent="0.25">
      <c r="A933" s="3">
        <v>45215</v>
      </c>
      <c r="B933" t="s">
        <v>372</v>
      </c>
      <c r="C933" t="s">
        <v>19</v>
      </c>
      <c r="D933" t="s">
        <v>33</v>
      </c>
      <c r="E933" t="s">
        <v>21</v>
      </c>
      <c r="F933" t="s">
        <v>34</v>
      </c>
      <c r="G933" t="s">
        <v>35</v>
      </c>
      <c r="H933" t="s">
        <v>287</v>
      </c>
      <c r="I933">
        <v>0.15</v>
      </c>
      <c r="J933">
        <f t="shared" si="42"/>
        <v>45</v>
      </c>
      <c r="K933">
        <v>0</v>
      </c>
      <c r="L933">
        <f t="shared" si="43"/>
        <v>45</v>
      </c>
      <c r="M933" s="4">
        <f t="shared" si="44"/>
        <v>0.13846153846153847</v>
      </c>
      <c r="N933">
        <v>325</v>
      </c>
      <c r="O933">
        <v>300</v>
      </c>
      <c r="P933" t="s">
        <v>25</v>
      </c>
      <c r="Q933" t="s">
        <v>26</v>
      </c>
      <c r="R933" t="str">
        <f>IF(COUNTIF(Sheet2!B:B, A933) &gt; 0, "Yes", "No")</f>
        <v>No</v>
      </c>
    </row>
    <row r="934" spans="1:18" x14ac:dyDescent="0.25">
      <c r="A934" s="3">
        <v>45215</v>
      </c>
      <c r="B934" t="s">
        <v>372</v>
      </c>
      <c r="C934" t="s">
        <v>19</v>
      </c>
      <c r="D934" t="s">
        <v>20</v>
      </c>
      <c r="E934" t="s">
        <v>21</v>
      </c>
      <c r="F934" t="s">
        <v>37</v>
      </c>
      <c r="G934" t="s">
        <v>87</v>
      </c>
      <c r="H934" t="s">
        <v>88</v>
      </c>
      <c r="I934">
        <v>0.03</v>
      </c>
      <c r="J934">
        <f t="shared" si="42"/>
        <v>18</v>
      </c>
      <c r="K934">
        <v>1</v>
      </c>
      <c r="L934">
        <f t="shared" si="43"/>
        <v>17</v>
      </c>
      <c r="M934" s="4">
        <f t="shared" si="44"/>
        <v>2.6153846153846153E-2</v>
      </c>
      <c r="N934">
        <v>650</v>
      </c>
      <c r="O934">
        <v>600</v>
      </c>
      <c r="P934" t="s">
        <v>25</v>
      </c>
      <c r="Q934" t="s">
        <v>26</v>
      </c>
      <c r="R934" t="str">
        <f>IF(COUNTIF(Sheet2!B:B, A934) &gt; 0, "Yes", "No")</f>
        <v>No</v>
      </c>
    </row>
    <row r="935" spans="1:18" x14ac:dyDescent="0.25">
      <c r="A935" s="3">
        <v>45215</v>
      </c>
      <c r="B935" t="s">
        <v>372</v>
      </c>
      <c r="C935" t="s">
        <v>19</v>
      </c>
      <c r="D935" t="s">
        <v>20</v>
      </c>
      <c r="E935" t="s">
        <v>21</v>
      </c>
      <c r="F935" t="s">
        <v>40</v>
      </c>
      <c r="G935" t="s">
        <v>41</v>
      </c>
      <c r="H935" t="s">
        <v>42</v>
      </c>
      <c r="I935">
        <v>4.4999999999999998E-2</v>
      </c>
      <c r="J935">
        <f t="shared" si="42"/>
        <v>27</v>
      </c>
      <c r="K935">
        <v>0</v>
      </c>
      <c r="L935">
        <f t="shared" si="43"/>
        <v>27</v>
      </c>
      <c r="M935" s="4">
        <f t="shared" si="44"/>
        <v>4.1538461538461538E-2</v>
      </c>
      <c r="N935">
        <v>650</v>
      </c>
      <c r="O935">
        <v>600</v>
      </c>
      <c r="P935" t="s">
        <v>25</v>
      </c>
      <c r="Q935" t="s">
        <v>26</v>
      </c>
      <c r="R935" t="str">
        <f>IF(COUNTIF(Sheet2!B:B, A935) &gt; 0, "Yes", "No")</f>
        <v>No</v>
      </c>
    </row>
    <row r="936" spans="1:18" x14ac:dyDescent="0.25">
      <c r="A936" s="3">
        <v>45215</v>
      </c>
      <c r="B936" t="s">
        <v>372</v>
      </c>
      <c r="C936" t="s">
        <v>19</v>
      </c>
      <c r="D936" t="s">
        <v>20</v>
      </c>
      <c r="E936" t="s">
        <v>21</v>
      </c>
      <c r="F936" t="s">
        <v>43</v>
      </c>
      <c r="G936" t="s">
        <v>44</v>
      </c>
      <c r="H936" t="s">
        <v>293</v>
      </c>
      <c r="I936">
        <v>0.11</v>
      </c>
      <c r="J936">
        <f t="shared" si="42"/>
        <v>66</v>
      </c>
      <c r="K936">
        <v>5</v>
      </c>
      <c r="L936">
        <f t="shared" si="43"/>
        <v>61</v>
      </c>
      <c r="M936" s="4">
        <f t="shared" si="44"/>
        <v>9.3846153846153843E-2</v>
      </c>
      <c r="N936">
        <v>650</v>
      </c>
      <c r="O936">
        <v>600</v>
      </c>
      <c r="P936" t="s">
        <v>25</v>
      </c>
      <c r="Q936" t="s">
        <v>26</v>
      </c>
      <c r="R936" t="str">
        <f>IF(COUNTIF(Sheet2!B:B, A936) &gt; 0, "Yes", "No")</f>
        <v>No</v>
      </c>
    </row>
    <row r="937" spans="1:18" x14ac:dyDescent="0.25">
      <c r="A937" s="3">
        <v>45215</v>
      </c>
      <c r="B937" t="s">
        <v>372</v>
      </c>
      <c r="C937" t="s">
        <v>19</v>
      </c>
      <c r="D937" t="s">
        <v>20</v>
      </c>
      <c r="E937" t="s">
        <v>21</v>
      </c>
      <c r="F937" t="s">
        <v>46</v>
      </c>
      <c r="G937" t="s">
        <v>92</v>
      </c>
      <c r="H937" t="s">
        <v>321</v>
      </c>
      <c r="I937">
        <v>8.5000000000000006E-2</v>
      </c>
      <c r="J937">
        <f t="shared" si="42"/>
        <v>51.000000000000007</v>
      </c>
      <c r="K937">
        <v>2</v>
      </c>
      <c r="L937">
        <f t="shared" si="43"/>
        <v>49.000000000000007</v>
      </c>
      <c r="M937" s="4">
        <f t="shared" si="44"/>
        <v>7.5384615384615397E-2</v>
      </c>
      <c r="N937">
        <v>650</v>
      </c>
      <c r="O937">
        <v>600</v>
      </c>
      <c r="P937" t="s">
        <v>25</v>
      </c>
      <c r="Q937" t="s">
        <v>26</v>
      </c>
      <c r="R937" t="str">
        <f>IF(COUNTIF(Sheet2!B:B, A937) &gt; 0, "Yes", "No")</f>
        <v>No</v>
      </c>
    </row>
    <row r="938" spans="1:18" x14ac:dyDescent="0.25">
      <c r="A938" s="3">
        <v>45215</v>
      </c>
      <c r="B938" t="s">
        <v>372</v>
      </c>
      <c r="C938" t="s">
        <v>19</v>
      </c>
      <c r="D938" t="s">
        <v>20</v>
      </c>
      <c r="E938" t="s">
        <v>21</v>
      </c>
      <c r="F938" t="s">
        <v>49</v>
      </c>
      <c r="G938" t="s">
        <v>50</v>
      </c>
      <c r="H938" t="s">
        <v>49</v>
      </c>
      <c r="I938">
        <v>0.09</v>
      </c>
      <c r="J938">
        <f t="shared" si="42"/>
        <v>54</v>
      </c>
      <c r="K938">
        <v>0</v>
      </c>
      <c r="L938">
        <f t="shared" si="43"/>
        <v>54</v>
      </c>
      <c r="M938" s="4">
        <f t="shared" si="44"/>
        <v>8.3076923076923076E-2</v>
      </c>
      <c r="N938">
        <v>650</v>
      </c>
      <c r="O938">
        <v>600</v>
      </c>
      <c r="P938" t="s">
        <v>25</v>
      </c>
      <c r="Q938" t="s">
        <v>26</v>
      </c>
      <c r="R938" t="str">
        <f>IF(COUNTIF(Sheet2!B:B, A938) &gt; 0, "Yes", "No")</f>
        <v>No</v>
      </c>
    </row>
    <row r="939" spans="1:18" x14ac:dyDescent="0.25">
      <c r="A939" s="3">
        <v>45216</v>
      </c>
      <c r="B939" t="s">
        <v>372</v>
      </c>
      <c r="C939" t="s">
        <v>105</v>
      </c>
      <c r="D939" t="s">
        <v>20</v>
      </c>
      <c r="E939" t="s">
        <v>67</v>
      </c>
      <c r="F939" t="s">
        <v>22</v>
      </c>
      <c r="G939" t="s">
        <v>94</v>
      </c>
      <c r="H939" t="s">
        <v>143</v>
      </c>
      <c r="I939">
        <v>8.5000000000000006E-2</v>
      </c>
      <c r="J939">
        <f t="shared" si="42"/>
        <v>55.250000000000007</v>
      </c>
      <c r="K939">
        <v>0</v>
      </c>
      <c r="L939">
        <f t="shared" si="43"/>
        <v>55.250000000000007</v>
      </c>
      <c r="M939" s="4">
        <f t="shared" si="44"/>
        <v>7.6736111111111116E-2</v>
      </c>
      <c r="N939">
        <v>720</v>
      </c>
      <c r="O939">
        <v>650</v>
      </c>
      <c r="P939" t="s">
        <v>25</v>
      </c>
      <c r="Q939" t="s">
        <v>26</v>
      </c>
      <c r="R939" t="str">
        <f>IF(COUNTIF(Sheet2!B:B, A939) &gt; 0, "Yes", "No")</f>
        <v>No</v>
      </c>
    </row>
    <row r="940" spans="1:18" x14ac:dyDescent="0.25">
      <c r="A940" s="3">
        <v>45216</v>
      </c>
      <c r="B940" t="s">
        <v>372</v>
      </c>
      <c r="C940" t="s">
        <v>105</v>
      </c>
      <c r="D940" t="s">
        <v>20</v>
      </c>
      <c r="E940" t="s">
        <v>67</v>
      </c>
      <c r="F940" t="s">
        <v>27</v>
      </c>
      <c r="G940" t="s">
        <v>28</v>
      </c>
      <c r="H940" t="s">
        <v>291</v>
      </c>
      <c r="I940">
        <v>0.11</v>
      </c>
      <c r="J940">
        <f t="shared" si="42"/>
        <v>71.5</v>
      </c>
      <c r="K940">
        <v>8</v>
      </c>
      <c r="L940">
        <f t="shared" si="43"/>
        <v>63.5</v>
      </c>
      <c r="M940" s="4">
        <f t="shared" si="44"/>
        <v>8.819444444444445E-2</v>
      </c>
      <c r="N940">
        <v>720</v>
      </c>
      <c r="O940">
        <v>650</v>
      </c>
      <c r="P940" t="s">
        <v>25</v>
      </c>
      <c r="Q940" t="s">
        <v>26</v>
      </c>
      <c r="R940" t="str">
        <f>IF(COUNTIF(Sheet2!B:B, A940) &gt; 0, "Yes", "No")</f>
        <v>No</v>
      </c>
    </row>
    <row r="941" spans="1:18" x14ac:dyDescent="0.25">
      <c r="A941" s="3">
        <v>45216</v>
      </c>
      <c r="B941" t="s">
        <v>372</v>
      </c>
      <c r="C941" t="s">
        <v>105</v>
      </c>
      <c r="D941" t="s">
        <v>20</v>
      </c>
      <c r="E941" t="s">
        <v>67</v>
      </c>
      <c r="F941" t="s">
        <v>30</v>
      </c>
      <c r="G941" t="s">
        <v>55</v>
      </c>
      <c r="H941" t="s">
        <v>183</v>
      </c>
      <c r="I941">
        <v>0.09</v>
      </c>
      <c r="J941">
        <f t="shared" si="42"/>
        <v>58.5</v>
      </c>
      <c r="K941">
        <v>0</v>
      </c>
      <c r="L941">
        <f t="shared" si="43"/>
        <v>58.5</v>
      </c>
      <c r="M941" s="4">
        <f t="shared" si="44"/>
        <v>8.1250000000000003E-2</v>
      </c>
      <c r="N941">
        <v>720</v>
      </c>
      <c r="O941">
        <v>650</v>
      </c>
      <c r="P941" t="s">
        <v>25</v>
      </c>
      <c r="Q941" t="s">
        <v>26</v>
      </c>
      <c r="R941" t="str">
        <f>IF(COUNTIF(Sheet2!B:B, A941) &gt; 0, "Yes", "No")</f>
        <v>No</v>
      </c>
    </row>
    <row r="942" spans="1:18" x14ac:dyDescent="0.25">
      <c r="A942" s="3">
        <v>45216</v>
      </c>
      <c r="B942" t="s">
        <v>372</v>
      </c>
      <c r="C942" t="s">
        <v>105</v>
      </c>
      <c r="D942" t="s">
        <v>20</v>
      </c>
      <c r="E942" t="s">
        <v>67</v>
      </c>
      <c r="F942" t="s">
        <v>37</v>
      </c>
      <c r="G942" t="s">
        <v>59</v>
      </c>
      <c r="H942" t="s">
        <v>60</v>
      </c>
      <c r="I942">
        <v>3.5000000000000003E-2</v>
      </c>
      <c r="J942">
        <f t="shared" si="42"/>
        <v>22.750000000000004</v>
      </c>
      <c r="K942">
        <v>2</v>
      </c>
      <c r="L942">
        <f t="shared" si="43"/>
        <v>20.750000000000004</v>
      </c>
      <c r="M942" s="4">
        <f t="shared" si="44"/>
        <v>2.881944444444445E-2</v>
      </c>
      <c r="N942">
        <v>720</v>
      </c>
      <c r="O942">
        <v>650</v>
      </c>
      <c r="P942" t="s">
        <v>25</v>
      </c>
      <c r="Q942" t="s">
        <v>26</v>
      </c>
      <c r="R942" t="str">
        <f>IF(COUNTIF(Sheet2!B:B, A942) &gt; 0, "Yes", "No")</f>
        <v>No</v>
      </c>
    </row>
    <row r="943" spans="1:18" x14ac:dyDescent="0.25">
      <c r="A943" s="3">
        <v>45216</v>
      </c>
      <c r="B943" t="s">
        <v>372</v>
      </c>
      <c r="C943" t="s">
        <v>105</v>
      </c>
      <c r="D943" t="s">
        <v>20</v>
      </c>
      <c r="E943" t="s">
        <v>67</v>
      </c>
      <c r="F943" t="s">
        <v>40</v>
      </c>
      <c r="G943" t="s">
        <v>164</v>
      </c>
      <c r="H943" t="s">
        <v>202</v>
      </c>
      <c r="I943">
        <v>0.05</v>
      </c>
      <c r="J943">
        <f t="shared" si="42"/>
        <v>32.5</v>
      </c>
      <c r="K943">
        <v>2</v>
      </c>
      <c r="L943">
        <f t="shared" si="43"/>
        <v>30.5</v>
      </c>
      <c r="M943" s="4">
        <f t="shared" si="44"/>
        <v>4.2361111111111113E-2</v>
      </c>
      <c r="N943">
        <v>720</v>
      </c>
      <c r="O943">
        <v>650</v>
      </c>
      <c r="P943" t="s">
        <v>25</v>
      </c>
      <c r="Q943" t="s">
        <v>26</v>
      </c>
      <c r="R943" t="str">
        <f>IF(COUNTIF(Sheet2!B:B, A943) &gt; 0, "Yes", "No")</f>
        <v>No</v>
      </c>
    </row>
    <row r="944" spans="1:18" x14ac:dyDescent="0.25">
      <c r="A944" s="3">
        <v>45216</v>
      </c>
      <c r="B944" t="s">
        <v>372</v>
      </c>
      <c r="C944" t="s">
        <v>105</v>
      </c>
      <c r="D944" t="s">
        <v>20</v>
      </c>
      <c r="E944" t="s">
        <v>67</v>
      </c>
      <c r="F944" t="s">
        <v>43</v>
      </c>
      <c r="G944" t="s">
        <v>288</v>
      </c>
      <c r="H944" t="s">
        <v>289</v>
      </c>
      <c r="I944">
        <v>0.11</v>
      </c>
      <c r="J944">
        <f t="shared" si="42"/>
        <v>71.5</v>
      </c>
      <c r="K944">
        <v>2</v>
      </c>
      <c r="L944">
        <f t="shared" si="43"/>
        <v>69.5</v>
      </c>
      <c r="M944" s="4">
        <f t="shared" si="44"/>
        <v>9.6527777777777782E-2</v>
      </c>
      <c r="N944">
        <v>720</v>
      </c>
      <c r="O944">
        <v>650</v>
      </c>
      <c r="P944" t="s">
        <v>25</v>
      </c>
      <c r="Q944" t="s">
        <v>26</v>
      </c>
      <c r="R944" t="str">
        <f>IF(COUNTIF(Sheet2!B:B, A944) &gt; 0, "Yes", "No")</f>
        <v>No</v>
      </c>
    </row>
    <row r="945" spans="1:18" x14ac:dyDescent="0.25">
      <c r="A945" s="3">
        <v>45216</v>
      </c>
      <c r="B945" t="s">
        <v>372</v>
      </c>
      <c r="C945" t="s">
        <v>105</v>
      </c>
      <c r="D945" t="s">
        <v>20</v>
      </c>
      <c r="E945" t="s">
        <v>67</v>
      </c>
      <c r="F945" t="s">
        <v>46</v>
      </c>
      <c r="G945" t="s">
        <v>47</v>
      </c>
      <c r="H945" t="s">
        <v>65</v>
      </c>
      <c r="I945">
        <v>8.5000000000000006E-2</v>
      </c>
      <c r="J945">
        <f t="shared" si="42"/>
        <v>55.250000000000007</v>
      </c>
      <c r="K945">
        <v>0</v>
      </c>
      <c r="L945">
        <f t="shared" si="43"/>
        <v>55.250000000000007</v>
      </c>
      <c r="M945" s="4">
        <f t="shared" si="44"/>
        <v>7.6736111111111116E-2</v>
      </c>
      <c r="N945">
        <v>720</v>
      </c>
      <c r="O945">
        <v>650</v>
      </c>
      <c r="P945" t="s">
        <v>25</v>
      </c>
      <c r="Q945" t="s">
        <v>26</v>
      </c>
      <c r="R945" t="str">
        <f>IF(COUNTIF(Sheet2!B:B, A945) &gt; 0, "Yes", "No")</f>
        <v>No</v>
      </c>
    </row>
    <row r="946" spans="1:18" x14ac:dyDescent="0.25">
      <c r="A946" s="3">
        <v>45216</v>
      </c>
      <c r="B946" t="s">
        <v>372</v>
      </c>
      <c r="C946" t="s">
        <v>105</v>
      </c>
      <c r="D946" t="s">
        <v>20</v>
      </c>
      <c r="E946" t="s">
        <v>67</v>
      </c>
      <c r="F946" t="s">
        <v>49</v>
      </c>
      <c r="G946" t="s">
        <v>50</v>
      </c>
      <c r="H946" t="s">
        <v>49</v>
      </c>
      <c r="I946">
        <v>0.09</v>
      </c>
      <c r="J946">
        <f t="shared" si="42"/>
        <v>58.5</v>
      </c>
      <c r="K946">
        <v>0</v>
      </c>
      <c r="L946">
        <f t="shared" si="43"/>
        <v>58.5</v>
      </c>
      <c r="M946" s="4">
        <f t="shared" si="44"/>
        <v>8.1250000000000003E-2</v>
      </c>
      <c r="N946">
        <v>720</v>
      </c>
      <c r="O946">
        <v>650</v>
      </c>
      <c r="P946" t="s">
        <v>25</v>
      </c>
      <c r="Q946" t="s">
        <v>26</v>
      </c>
      <c r="R946" t="str">
        <f>IF(COUNTIF(Sheet2!B:B, A946) &gt; 0, "Yes", "No")</f>
        <v>No</v>
      </c>
    </row>
    <row r="947" spans="1:18" x14ac:dyDescent="0.25">
      <c r="A947" s="3">
        <v>45217</v>
      </c>
      <c r="B947" t="s">
        <v>372</v>
      </c>
      <c r="C947" t="s">
        <v>51</v>
      </c>
      <c r="D947" t="s">
        <v>20</v>
      </c>
      <c r="E947" t="s">
        <v>21</v>
      </c>
      <c r="F947" t="s">
        <v>22</v>
      </c>
      <c r="G947" t="s">
        <v>94</v>
      </c>
      <c r="H947" t="s">
        <v>199</v>
      </c>
      <c r="I947">
        <v>8.5000000000000006E-2</v>
      </c>
      <c r="J947">
        <f t="shared" si="42"/>
        <v>59.500000000000007</v>
      </c>
      <c r="K947">
        <v>2</v>
      </c>
      <c r="L947">
        <f t="shared" si="43"/>
        <v>57.500000000000007</v>
      </c>
      <c r="M947" s="4">
        <f t="shared" si="44"/>
        <v>7.3717948717948734E-2</v>
      </c>
      <c r="N947">
        <v>780</v>
      </c>
      <c r="O947">
        <v>700</v>
      </c>
      <c r="P947" t="s">
        <v>25</v>
      </c>
      <c r="Q947" t="s">
        <v>26</v>
      </c>
      <c r="R947" t="str">
        <f>IF(COUNTIF(Sheet2!B:B, A947) &gt; 0, "Yes", "No")</f>
        <v>No</v>
      </c>
    </row>
    <row r="948" spans="1:18" x14ac:dyDescent="0.25">
      <c r="A948" s="3">
        <v>45217</v>
      </c>
      <c r="B948" t="s">
        <v>372</v>
      </c>
      <c r="C948" t="s">
        <v>51</v>
      </c>
      <c r="D948" t="s">
        <v>20</v>
      </c>
      <c r="E948" t="s">
        <v>21</v>
      </c>
      <c r="F948" t="s">
        <v>27</v>
      </c>
      <c r="G948" t="s">
        <v>81</v>
      </c>
      <c r="H948" t="s">
        <v>297</v>
      </c>
      <c r="I948">
        <v>0.1</v>
      </c>
      <c r="J948">
        <f t="shared" si="42"/>
        <v>70</v>
      </c>
      <c r="K948">
        <v>0</v>
      </c>
      <c r="L948">
        <f t="shared" si="43"/>
        <v>70</v>
      </c>
      <c r="M948" s="4">
        <f t="shared" si="44"/>
        <v>8.9743589743589744E-2</v>
      </c>
      <c r="N948">
        <v>780</v>
      </c>
      <c r="O948">
        <v>700</v>
      </c>
      <c r="P948" t="s">
        <v>25</v>
      </c>
      <c r="Q948" t="s">
        <v>26</v>
      </c>
      <c r="R948" t="str">
        <f>IF(COUNTIF(Sheet2!B:B, A948) &gt; 0, "Yes", "No")</f>
        <v>No</v>
      </c>
    </row>
    <row r="949" spans="1:18" x14ac:dyDescent="0.25">
      <c r="A949" s="3">
        <v>45217</v>
      </c>
      <c r="B949" t="s">
        <v>372</v>
      </c>
      <c r="C949" t="s">
        <v>51</v>
      </c>
      <c r="D949" t="s">
        <v>20</v>
      </c>
      <c r="E949" t="s">
        <v>21</v>
      </c>
      <c r="F949" t="s">
        <v>30</v>
      </c>
      <c r="G949" t="s">
        <v>55</v>
      </c>
      <c r="H949" t="s">
        <v>125</v>
      </c>
      <c r="I949">
        <v>0.09</v>
      </c>
      <c r="J949">
        <f t="shared" si="42"/>
        <v>63</v>
      </c>
      <c r="K949">
        <v>0</v>
      </c>
      <c r="L949">
        <f t="shared" si="43"/>
        <v>63</v>
      </c>
      <c r="M949" s="4">
        <f t="shared" si="44"/>
        <v>8.0769230769230774E-2</v>
      </c>
      <c r="N949">
        <v>780</v>
      </c>
      <c r="O949">
        <v>700</v>
      </c>
      <c r="P949" t="s">
        <v>25</v>
      </c>
      <c r="Q949" t="s">
        <v>26</v>
      </c>
      <c r="R949" t="str">
        <f>IF(COUNTIF(Sheet2!B:B, A949) &gt; 0, "Yes", "No")</f>
        <v>No</v>
      </c>
    </row>
    <row r="950" spans="1:18" x14ac:dyDescent="0.25">
      <c r="A950" s="3">
        <v>45217</v>
      </c>
      <c r="B950" t="s">
        <v>372</v>
      </c>
      <c r="C950" t="s">
        <v>51</v>
      </c>
      <c r="D950" t="s">
        <v>33</v>
      </c>
      <c r="E950" t="s">
        <v>21</v>
      </c>
      <c r="F950" t="s">
        <v>34</v>
      </c>
      <c r="G950" t="s">
        <v>57</v>
      </c>
      <c r="H950" t="s">
        <v>379</v>
      </c>
      <c r="I950">
        <v>0.15</v>
      </c>
      <c r="J950">
        <f t="shared" si="42"/>
        <v>52.5</v>
      </c>
      <c r="K950">
        <v>7</v>
      </c>
      <c r="L950">
        <f t="shared" si="43"/>
        <v>45.5</v>
      </c>
      <c r="M950" s="4">
        <f t="shared" si="44"/>
        <v>0.11666666666666667</v>
      </c>
      <c r="N950">
        <v>390</v>
      </c>
      <c r="O950">
        <v>350</v>
      </c>
      <c r="P950" t="s">
        <v>25</v>
      </c>
      <c r="Q950" t="s">
        <v>26</v>
      </c>
      <c r="R950" t="str">
        <f>IF(COUNTIF(Sheet2!B:B, A950) &gt; 0, "Yes", "No")</f>
        <v>No</v>
      </c>
    </row>
    <row r="951" spans="1:18" x14ac:dyDescent="0.25">
      <c r="A951" s="3">
        <v>45217</v>
      </c>
      <c r="B951" t="s">
        <v>372</v>
      </c>
      <c r="C951" t="s">
        <v>51</v>
      </c>
      <c r="D951" t="s">
        <v>20</v>
      </c>
      <c r="E951" t="s">
        <v>21</v>
      </c>
      <c r="F951" t="s">
        <v>37</v>
      </c>
      <c r="G951" t="s">
        <v>59</v>
      </c>
      <c r="H951" t="s">
        <v>60</v>
      </c>
      <c r="I951">
        <v>0.03</v>
      </c>
      <c r="J951">
        <f t="shared" si="42"/>
        <v>21</v>
      </c>
      <c r="K951">
        <v>2</v>
      </c>
      <c r="L951">
        <f t="shared" si="43"/>
        <v>19</v>
      </c>
      <c r="M951" s="4">
        <f t="shared" si="44"/>
        <v>2.4358974358974359E-2</v>
      </c>
      <c r="N951">
        <v>780</v>
      </c>
      <c r="O951">
        <v>700</v>
      </c>
      <c r="P951" t="s">
        <v>25</v>
      </c>
      <c r="Q951" t="s">
        <v>26</v>
      </c>
      <c r="R951" t="str">
        <f>IF(COUNTIF(Sheet2!B:B, A951) &gt; 0, "Yes", "No")</f>
        <v>No</v>
      </c>
    </row>
    <row r="952" spans="1:18" x14ac:dyDescent="0.25">
      <c r="A952" s="3">
        <v>45217</v>
      </c>
      <c r="B952" t="s">
        <v>372</v>
      </c>
      <c r="C952" t="s">
        <v>51</v>
      </c>
      <c r="D952" t="s">
        <v>20</v>
      </c>
      <c r="E952" t="s">
        <v>21</v>
      </c>
      <c r="F952" t="s">
        <v>40</v>
      </c>
      <c r="G952" t="s">
        <v>127</v>
      </c>
      <c r="H952" t="s">
        <v>127</v>
      </c>
      <c r="I952">
        <v>4.4999999999999998E-2</v>
      </c>
      <c r="J952">
        <f t="shared" si="42"/>
        <v>31.5</v>
      </c>
      <c r="K952">
        <v>2</v>
      </c>
      <c r="L952">
        <f t="shared" si="43"/>
        <v>29.5</v>
      </c>
      <c r="M952" s="4">
        <f t="shared" si="44"/>
        <v>3.7820512820512818E-2</v>
      </c>
      <c r="N952">
        <v>780</v>
      </c>
      <c r="O952">
        <v>700</v>
      </c>
      <c r="P952" t="s">
        <v>25</v>
      </c>
      <c r="Q952" t="s">
        <v>26</v>
      </c>
      <c r="R952" t="str">
        <f>IF(COUNTIF(Sheet2!B:B, A952) &gt; 0, "Yes", "No")</f>
        <v>No</v>
      </c>
    </row>
    <row r="953" spans="1:18" x14ac:dyDescent="0.25">
      <c r="A953" s="3">
        <v>45217</v>
      </c>
      <c r="B953" t="s">
        <v>372</v>
      </c>
      <c r="C953" t="s">
        <v>51</v>
      </c>
      <c r="D953" t="s">
        <v>20</v>
      </c>
      <c r="E953" t="s">
        <v>21</v>
      </c>
      <c r="F953" t="s">
        <v>43</v>
      </c>
      <c r="G953" t="s">
        <v>44</v>
      </c>
      <c r="H953" t="s">
        <v>380</v>
      </c>
      <c r="I953">
        <v>0.11</v>
      </c>
      <c r="J953">
        <f t="shared" si="42"/>
        <v>77</v>
      </c>
      <c r="K953">
        <v>0</v>
      </c>
      <c r="L953">
        <f t="shared" si="43"/>
        <v>77</v>
      </c>
      <c r="M953" s="4">
        <f t="shared" si="44"/>
        <v>9.8717948717948714E-2</v>
      </c>
      <c r="N953">
        <v>780</v>
      </c>
      <c r="O953">
        <v>700</v>
      </c>
      <c r="P953" t="s">
        <v>25</v>
      </c>
      <c r="Q953" t="s">
        <v>26</v>
      </c>
      <c r="R953" t="str">
        <f>IF(COUNTIF(Sheet2!B:B, A953) &gt; 0, "Yes", "No")</f>
        <v>No</v>
      </c>
    </row>
    <row r="954" spans="1:18" x14ac:dyDescent="0.25">
      <c r="A954" s="3">
        <v>45217</v>
      </c>
      <c r="B954" t="s">
        <v>372</v>
      </c>
      <c r="C954" t="s">
        <v>51</v>
      </c>
      <c r="D954" t="s">
        <v>20</v>
      </c>
      <c r="E954" t="s">
        <v>21</v>
      </c>
      <c r="F954" t="s">
        <v>46</v>
      </c>
      <c r="G954" t="s">
        <v>92</v>
      </c>
      <c r="H954" t="s">
        <v>186</v>
      </c>
      <c r="I954">
        <v>8.5000000000000006E-2</v>
      </c>
      <c r="J954">
        <f t="shared" si="42"/>
        <v>59.500000000000007</v>
      </c>
      <c r="K954">
        <v>0</v>
      </c>
      <c r="L954">
        <f t="shared" si="43"/>
        <v>59.500000000000007</v>
      </c>
      <c r="M954" s="4">
        <f t="shared" si="44"/>
        <v>7.6282051282051289E-2</v>
      </c>
      <c r="N954">
        <v>780</v>
      </c>
      <c r="O954">
        <v>700</v>
      </c>
      <c r="P954" t="s">
        <v>25</v>
      </c>
      <c r="Q954" t="s">
        <v>26</v>
      </c>
      <c r="R954" t="str">
        <f>IF(COUNTIF(Sheet2!B:B, A954) &gt; 0, "Yes", "No")</f>
        <v>No</v>
      </c>
    </row>
    <row r="955" spans="1:18" x14ac:dyDescent="0.25">
      <c r="A955" s="3">
        <v>45217</v>
      </c>
      <c r="B955" t="s">
        <v>372</v>
      </c>
      <c r="C955" t="s">
        <v>51</v>
      </c>
      <c r="D955" t="s">
        <v>20</v>
      </c>
      <c r="E955" t="s">
        <v>21</v>
      </c>
      <c r="F955" t="s">
        <v>49</v>
      </c>
      <c r="G955" t="s">
        <v>50</v>
      </c>
      <c r="H955" t="s">
        <v>49</v>
      </c>
      <c r="I955">
        <v>0.09</v>
      </c>
      <c r="J955">
        <f t="shared" si="42"/>
        <v>63</v>
      </c>
      <c r="K955">
        <v>13</v>
      </c>
      <c r="L955">
        <f t="shared" si="43"/>
        <v>50</v>
      </c>
      <c r="M955" s="4">
        <f t="shared" si="44"/>
        <v>6.4102564102564097E-2</v>
      </c>
      <c r="N955">
        <v>780</v>
      </c>
      <c r="O955">
        <v>700</v>
      </c>
      <c r="P955" t="s">
        <v>25</v>
      </c>
      <c r="Q955" t="s">
        <v>26</v>
      </c>
      <c r="R955" t="str">
        <f>IF(COUNTIF(Sheet2!B:B, A955) &gt; 0, "Yes", "No")</f>
        <v>No</v>
      </c>
    </row>
    <row r="956" spans="1:18" x14ac:dyDescent="0.25">
      <c r="A956" s="3">
        <v>45218</v>
      </c>
      <c r="B956" t="s">
        <v>372</v>
      </c>
      <c r="C956" t="s">
        <v>66</v>
      </c>
      <c r="D956" t="s">
        <v>20</v>
      </c>
      <c r="E956" t="s">
        <v>67</v>
      </c>
      <c r="F956" t="s">
        <v>22</v>
      </c>
      <c r="G956" t="s">
        <v>122</v>
      </c>
      <c r="H956" t="s">
        <v>296</v>
      </c>
      <c r="I956">
        <v>8.5000000000000006E-2</v>
      </c>
      <c r="J956">
        <f t="shared" si="42"/>
        <v>51.000000000000007</v>
      </c>
      <c r="K956">
        <v>2</v>
      </c>
      <c r="L956">
        <f t="shared" si="43"/>
        <v>49.000000000000007</v>
      </c>
      <c r="M956" s="4">
        <f t="shared" si="44"/>
        <v>7.5384615384615397E-2</v>
      </c>
      <c r="N956">
        <v>650</v>
      </c>
      <c r="O956">
        <v>600</v>
      </c>
      <c r="P956" t="s">
        <v>25</v>
      </c>
      <c r="Q956" t="s">
        <v>26</v>
      </c>
      <c r="R956" t="str">
        <f>IF(COUNTIF(Sheet2!B:B, A956) &gt; 0, "Yes", "No")</f>
        <v>No</v>
      </c>
    </row>
    <row r="957" spans="1:18" x14ac:dyDescent="0.25">
      <c r="A957" s="3">
        <v>45218</v>
      </c>
      <c r="B957" t="s">
        <v>372</v>
      </c>
      <c r="C957" t="s">
        <v>66</v>
      </c>
      <c r="D957" t="s">
        <v>20</v>
      </c>
      <c r="E957" t="s">
        <v>67</v>
      </c>
      <c r="F957" t="s">
        <v>27</v>
      </c>
      <c r="G957" t="s">
        <v>780</v>
      </c>
      <c r="H957" t="s">
        <v>149</v>
      </c>
      <c r="I957">
        <v>0.11</v>
      </c>
      <c r="J957">
        <f t="shared" si="42"/>
        <v>66</v>
      </c>
      <c r="K957">
        <v>8</v>
      </c>
      <c r="L957">
        <f t="shared" si="43"/>
        <v>58</v>
      </c>
      <c r="M957" s="4">
        <f t="shared" si="44"/>
        <v>8.9230769230769225E-2</v>
      </c>
      <c r="N957">
        <v>650</v>
      </c>
      <c r="O957">
        <v>600</v>
      </c>
      <c r="P957" t="s">
        <v>25</v>
      </c>
      <c r="Q957" t="s">
        <v>26</v>
      </c>
      <c r="R957" t="str">
        <f>IF(COUNTIF(Sheet2!B:B, A957) &gt; 0, "Yes", "No")</f>
        <v>No</v>
      </c>
    </row>
    <row r="958" spans="1:18" x14ac:dyDescent="0.25">
      <c r="A958" s="3">
        <v>45218</v>
      </c>
      <c r="B958" t="s">
        <v>372</v>
      </c>
      <c r="C958" t="s">
        <v>66</v>
      </c>
      <c r="D958" t="s">
        <v>20</v>
      </c>
      <c r="E958" t="s">
        <v>67</v>
      </c>
      <c r="F958" t="s">
        <v>30</v>
      </c>
      <c r="G958" t="s">
        <v>31</v>
      </c>
      <c r="H958" t="s">
        <v>70</v>
      </c>
      <c r="I958">
        <v>0.09</v>
      </c>
      <c r="J958">
        <f t="shared" si="42"/>
        <v>54</v>
      </c>
      <c r="K958">
        <v>0</v>
      </c>
      <c r="L958">
        <f t="shared" si="43"/>
        <v>54</v>
      </c>
      <c r="M958" s="4">
        <f t="shared" si="44"/>
        <v>8.3076923076923076E-2</v>
      </c>
      <c r="N958">
        <v>650</v>
      </c>
      <c r="O958">
        <v>600</v>
      </c>
      <c r="P958" t="s">
        <v>25</v>
      </c>
      <c r="Q958" t="s">
        <v>26</v>
      </c>
      <c r="R958" t="str">
        <f>IF(COUNTIF(Sheet2!B:B, A958) &gt; 0, "Yes", "No")</f>
        <v>No</v>
      </c>
    </row>
    <row r="959" spans="1:18" x14ac:dyDescent="0.25">
      <c r="A959" s="3">
        <v>45218</v>
      </c>
      <c r="B959" t="s">
        <v>372</v>
      </c>
      <c r="C959" t="s">
        <v>66</v>
      </c>
      <c r="D959" t="s">
        <v>20</v>
      </c>
      <c r="E959" t="s">
        <v>67</v>
      </c>
      <c r="F959" t="s">
        <v>37</v>
      </c>
      <c r="G959" t="s">
        <v>87</v>
      </c>
      <c r="H959" t="s">
        <v>136</v>
      </c>
      <c r="I959">
        <v>3.5000000000000003E-2</v>
      </c>
      <c r="J959">
        <f t="shared" si="42"/>
        <v>21.000000000000004</v>
      </c>
      <c r="K959">
        <v>0</v>
      </c>
      <c r="L959">
        <f t="shared" si="43"/>
        <v>21.000000000000004</v>
      </c>
      <c r="M959" s="4">
        <f t="shared" si="44"/>
        <v>3.2307692307692315E-2</v>
      </c>
      <c r="N959">
        <v>650</v>
      </c>
      <c r="O959">
        <v>600</v>
      </c>
      <c r="P959" t="s">
        <v>25</v>
      </c>
      <c r="Q959" t="s">
        <v>26</v>
      </c>
      <c r="R959" t="str">
        <f>IF(COUNTIF(Sheet2!B:B, A959) &gt; 0, "Yes", "No")</f>
        <v>No</v>
      </c>
    </row>
    <row r="960" spans="1:18" x14ac:dyDescent="0.25">
      <c r="A960" s="3">
        <v>45218</v>
      </c>
      <c r="B960" t="s">
        <v>372</v>
      </c>
      <c r="C960" t="s">
        <v>66</v>
      </c>
      <c r="D960" t="s">
        <v>20</v>
      </c>
      <c r="E960" t="s">
        <v>67</v>
      </c>
      <c r="F960" t="s">
        <v>40</v>
      </c>
      <c r="G960" t="s">
        <v>73</v>
      </c>
      <c r="H960" t="s">
        <v>74</v>
      </c>
      <c r="I960">
        <v>0.05</v>
      </c>
      <c r="J960">
        <f t="shared" si="42"/>
        <v>30</v>
      </c>
      <c r="K960">
        <v>0</v>
      </c>
      <c r="L960">
        <f t="shared" si="43"/>
        <v>30</v>
      </c>
      <c r="M960" s="4">
        <f t="shared" si="44"/>
        <v>4.6153846153846156E-2</v>
      </c>
      <c r="N960">
        <v>650</v>
      </c>
      <c r="O960">
        <v>600</v>
      </c>
      <c r="P960" t="s">
        <v>25</v>
      </c>
      <c r="Q960" t="s">
        <v>26</v>
      </c>
      <c r="R960" t="str">
        <f>IF(COUNTIF(Sheet2!B:B, A960) &gt; 0, "Yes", "No")</f>
        <v>No</v>
      </c>
    </row>
    <row r="961" spans="1:18" x14ac:dyDescent="0.25">
      <c r="A961" s="3">
        <v>45218</v>
      </c>
      <c r="B961" t="s">
        <v>372</v>
      </c>
      <c r="C961" t="s">
        <v>66</v>
      </c>
      <c r="D961" t="s">
        <v>20</v>
      </c>
      <c r="E961" t="s">
        <v>67</v>
      </c>
      <c r="F961" t="s">
        <v>43</v>
      </c>
      <c r="G961" t="s">
        <v>159</v>
      </c>
      <c r="H961" t="s">
        <v>160</v>
      </c>
      <c r="I961">
        <v>0.11</v>
      </c>
      <c r="J961">
        <f t="shared" si="42"/>
        <v>66</v>
      </c>
      <c r="K961">
        <v>0</v>
      </c>
      <c r="L961">
        <f t="shared" si="43"/>
        <v>66</v>
      </c>
      <c r="M961" s="4">
        <f t="shared" si="44"/>
        <v>0.10153846153846154</v>
      </c>
      <c r="N961">
        <v>650</v>
      </c>
      <c r="O961">
        <v>600</v>
      </c>
      <c r="P961" t="s">
        <v>25</v>
      </c>
      <c r="Q961" t="s">
        <v>26</v>
      </c>
      <c r="R961" t="str">
        <f>IF(COUNTIF(Sheet2!B:B, A961) &gt; 0, "Yes", "No")</f>
        <v>No</v>
      </c>
    </row>
    <row r="962" spans="1:18" x14ac:dyDescent="0.25">
      <c r="A962" s="3">
        <v>45218</v>
      </c>
      <c r="B962" t="s">
        <v>372</v>
      </c>
      <c r="C962" t="s">
        <v>66</v>
      </c>
      <c r="D962" t="s">
        <v>20</v>
      </c>
      <c r="E962" t="s">
        <v>67</v>
      </c>
      <c r="F962" t="s">
        <v>46</v>
      </c>
      <c r="G962" t="s">
        <v>130</v>
      </c>
      <c r="H962" t="s">
        <v>147</v>
      </c>
      <c r="I962">
        <v>8.5000000000000006E-2</v>
      </c>
      <c r="J962">
        <f t="shared" si="42"/>
        <v>51.000000000000007</v>
      </c>
      <c r="K962">
        <v>0</v>
      </c>
      <c r="L962">
        <f t="shared" si="43"/>
        <v>51.000000000000007</v>
      </c>
      <c r="M962" s="4">
        <f t="shared" si="44"/>
        <v>7.8461538461538471E-2</v>
      </c>
      <c r="N962">
        <v>650</v>
      </c>
      <c r="O962">
        <v>600</v>
      </c>
      <c r="P962" t="s">
        <v>25</v>
      </c>
      <c r="Q962" t="s">
        <v>26</v>
      </c>
      <c r="R962" t="str">
        <f>IF(COUNTIF(Sheet2!B:B, A962) &gt; 0, "Yes", "No")</f>
        <v>No</v>
      </c>
    </row>
    <row r="963" spans="1:18" x14ac:dyDescent="0.25">
      <c r="A963" s="3">
        <v>45218</v>
      </c>
      <c r="B963" t="s">
        <v>372</v>
      </c>
      <c r="C963" t="s">
        <v>66</v>
      </c>
      <c r="D963" t="s">
        <v>20</v>
      </c>
      <c r="E963" t="s">
        <v>67</v>
      </c>
      <c r="F963" t="s">
        <v>49</v>
      </c>
      <c r="G963" t="s">
        <v>50</v>
      </c>
      <c r="H963" t="s">
        <v>49</v>
      </c>
      <c r="I963">
        <v>0.09</v>
      </c>
      <c r="J963">
        <f t="shared" ref="J963:J1026" si="45">I963*O963</f>
        <v>54</v>
      </c>
      <c r="K963">
        <v>0</v>
      </c>
      <c r="L963">
        <f t="shared" ref="L963:L1026" si="46">J963-K963</f>
        <v>54</v>
      </c>
      <c r="M963" s="4">
        <f t="shared" ref="M963:M1026" si="47">((I963*O963)-K963)/N963</f>
        <v>8.3076923076923076E-2</v>
      </c>
      <c r="N963">
        <v>650</v>
      </c>
      <c r="O963">
        <v>600</v>
      </c>
      <c r="P963" t="s">
        <v>25</v>
      </c>
      <c r="Q963" t="s">
        <v>26</v>
      </c>
      <c r="R963" t="str">
        <f>IF(COUNTIF(Sheet2!B:B, A963) &gt; 0, "Yes", "No")</f>
        <v>No</v>
      </c>
    </row>
    <row r="964" spans="1:18" x14ac:dyDescent="0.25">
      <c r="A964" s="3">
        <v>45219</v>
      </c>
      <c r="B964" t="s">
        <v>372</v>
      </c>
      <c r="C964" t="s">
        <v>79</v>
      </c>
      <c r="D964" t="s">
        <v>20</v>
      </c>
      <c r="E964" t="s">
        <v>67</v>
      </c>
      <c r="F964" t="s">
        <v>22</v>
      </c>
      <c r="G964" t="s">
        <v>94</v>
      </c>
      <c r="H964" t="s">
        <v>168</v>
      </c>
      <c r="I964">
        <v>8.5000000000000006E-2</v>
      </c>
      <c r="J964">
        <f t="shared" si="45"/>
        <v>46.75</v>
      </c>
      <c r="K964">
        <v>3</v>
      </c>
      <c r="L964">
        <f t="shared" si="46"/>
        <v>43.75</v>
      </c>
      <c r="M964" s="4">
        <f t="shared" si="47"/>
        <v>7.2916666666666671E-2</v>
      </c>
      <c r="N964">
        <v>600</v>
      </c>
      <c r="O964">
        <v>550</v>
      </c>
      <c r="P964" t="s">
        <v>25</v>
      </c>
      <c r="Q964" t="s">
        <v>26</v>
      </c>
      <c r="R964" t="str">
        <f>IF(COUNTIF(Sheet2!B:B, A964) &gt; 0, "Yes", "No")</f>
        <v>No</v>
      </c>
    </row>
    <row r="965" spans="1:18" x14ac:dyDescent="0.25">
      <c r="A965" s="3">
        <v>45219</v>
      </c>
      <c r="B965" t="s">
        <v>372</v>
      </c>
      <c r="C965" t="s">
        <v>79</v>
      </c>
      <c r="D965" t="s">
        <v>20</v>
      </c>
      <c r="E965" t="s">
        <v>67</v>
      </c>
      <c r="F965" t="s">
        <v>27</v>
      </c>
      <c r="G965" t="s">
        <v>28</v>
      </c>
      <c r="H965" t="s">
        <v>207</v>
      </c>
      <c r="I965">
        <v>0.11</v>
      </c>
      <c r="J965">
        <f t="shared" si="45"/>
        <v>60.5</v>
      </c>
      <c r="K965">
        <v>0</v>
      </c>
      <c r="L965">
        <f t="shared" si="46"/>
        <v>60.5</v>
      </c>
      <c r="M965" s="4">
        <f t="shared" si="47"/>
        <v>0.10083333333333333</v>
      </c>
      <c r="N965">
        <v>600</v>
      </c>
      <c r="O965">
        <v>550</v>
      </c>
      <c r="P965" t="s">
        <v>25</v>
      </c>
      <c r="Q965" t="s">
        <v>26</v>
      </c>
      <c r="R965" t="str">
        <f>IF(COUNTIF(Sheet2!B:B, A965) &gt; 0, "Yes", "No")</f>
        <v>No</v>
      </c>
    </row>
    <row r="966" spans="1:18" x14ac:dyDescent="0.25">
      <c r="A966" s="3">
        <v>45219</v>
      </c>
      <c r="B966" t="s">
        <v>372</v>
      </c>
      <c r="C966" t="s">
        <v>79</v>
      </c>
      <c r="D966" t="s">
        <v>20</v>
      </c>
      <c r="E966" t="s">
        <v>67</v>
      </c>
      <c r="F966" t="s">
        <v>30</v>
      </c>
      <c r="G966" t="s">
        <v>354</v>
      </c>
      <c r="H966" t="s">
        <v>381</v>
      </c>
      <c r="I966">
        <v>0.09</v>
      </c>
      <c r="J966">
        <f t="shared" si="45"/>
        <v>49.5</v>
      </c>
      <c r="K966">
        <v>0</v>
      </c>
      <c r="L966">
        <f t="shared" si="46"/>
        <v>49.5</v>
      </c>
      <c r="M966" s="4">
        <f t="shared" si="47"/>
        <v>8.2500000000000004E-2</v>
      </c>
      <c r="N966">
        <v>600</v>
      </c>
      <c r="O966">
        <v>550</v>
      </c>
      <c r="P966" t="s">
        <v>25</v>
      </c>
      <c r="Q966" t="s">
        <v>26</v>
      </c>
      <c r="R966" t="str">
        <f>IF(COUNTIF(Sheet2!B:B, A966) &gt; 0, "Yes", "No")</f>
        <v>No</v>
      </c>
    </row>
    <row r="967" spans="1:18" x14ac:dyDescent="0.25">
      <c r="A967" s="3">
        <v>45219</v>
      </c>
      <c r="B967" t="s">
        <v>372</v>
      </c>
      <c r="C967" t="s">
        <v>79</v>
      </c>
      <c r="D967" t="s">
        <v>20</v>
      </c>
      <c r="E967" t="s">
        <v>67</v>
      </c>
      <c r="F967" t="s">
        <v>37</v>
      </c>
      <c r="G967" t="s">
        <v>87</v>
      </c>
      <c r="H967" t="s">
        <v>99</v>
      </c>
      <c r="I967">
        <v>2.5000000000000001E-2</v>
      </c>
      <c r="J967">
        <f t="shared" si="45"/>
        <v>13.75</v>
      </c>
      <c r="K967">
        <v>0</v>
      </c>
      <c r="L967">
        <f t="shared" si="46"/>
        <v>13.75</v>
      </c>
      <c r="M967" s="4">
        <f t="shared" si="47"/>
        <v>2.2916666666666665E-2</v>
      </c>
      <c r="N967">
        <v>600</v>
      </c>
      <c r="O967">
        <v>550</v>
      </c>
      <c r="P967" t="s">
        <v>25</v>
      </c>
      <c r="Q967" t="s">
        <v>26</v>
      </c>
      <c r="R967" t="str">
        <f>IF(COUNTIF(Sheet2!B:B, A967) &gt; 0, "Yes", "No")</f>
        <v>No</v>
      </c>
    </row>
    <row r="968" spans="1:18" x14ac:dyDescent="0.25">
      <c r="A968" s="3">
        <v>45219</v>
      </c>
      <c r="B968" t="s">
        <v>372</v>
      </c>
      <c r="C968" t="s">
        <v>79</v>
      </c>
      <c r="D968" t="s">
        <v>20</v>
      </c>
      <c r="E968" t="s">
        <v>67</v>
      </c>
      <c r="F968" t="s">
        <v>40</v>
      </c>
      <c r="G968" t="s">
        <v>164</v>
      </c>
      <c r="H968" t="s">
        <v>202</v>
      </c>
      <c r="I968">
        <v>0.04</v>
      </c>
      <c r="J968">
        <f t="shared" si="45"/>
        <v>22</v>
      </c>
      <c r="K968">
        <v>0</v>
      </c>
      <c r="L968">
        <f t="shared" si="46"/>
        <v>22</v>
      </c>
      <c r="M968" s="4">
        <f t="shared" si="47"/>
        <v>3.6666666666666667E-2</v>
      </c>
      <c r="N968">
        <v>600</v>
      </c>
      <c r="O968">
        <v>550</v>
      </c>
      <c r="P968" t="s">
        <v>25</v>
      </c>
      <c r="Q968" t="s">
        <v>26</v>
      </c>
      <c r="R968" t="str">
        <f>IF(COUNTIF(Sheet2!B:B, A968) &gt; 0, "Yes", "No")</f>
        <v>No</v>
      </c>
    </row>
    <row r="969" spans="1:18" x14ac:dyDescent="0.25">
      <c r="A969" s="3">
        <v>45219</v>
      </c>
      <c r="B969" t="s">
        <v>372</v>
      </c>
      <c r="C969" t="s">
        <v>79</v>
      </c>
      <c r="D969" t="s">
        <v>20</v>
      </c>
      <c r="E969" t="s">
        <v>67</v>
      </c>
      <c r="F969" t="s">
        <v>43</v>
      </c>
      <c r="G969" t="s">
        <v>44</v>
      </c>
      <c r="H969" t="s">
        <v>382</v>
      </c>
      <c r="I969">
        <v>0.11</v>
      </c>
      <c r="J969">
        <f t="shared" si="45"/>
        <v>60.5</v>
      </c>
      <c r="K969">
        <v>0</v>
      </c>
      <c r="L969">
        <f t="shared" si="46"/>
        <v>60.5</v>
      </c>
      <c r="M969" s="4">
        <f t="shared" si="47"/>
        <v>0.10083333333333333</v>
      </c>
      <c r="N969">
        <v>600</v>
      </c>
      <c r="O969">
        <v>550</v>
      </c>
      <c r="P969" t="s">
        <v>25</v>
      </c>
      <c r="Q969" t="s">
        <v>26</v>
      </c>
      <c r="R969" t="str">
        <f>IF(COUNTIF(Sheet2!B:B, A969) &gt; 0, "Yes", "No")</f>
        <v>No</v>
      </c>
    </row>
    <row r="970" spans="1:18" x14ac:dyDescent="0.25">
      <c r="A970" s="3">
        <v>45219</v>
      </c>
      <c r="B970" t="s">
        <v>372</v>
      </c>
      <c r="C970" t="s">
        <v>79</v>
      </c>
      <c r="D970" t="s">
        <v>20</v>
      </c>
      <c r="E970" t="s">
        <v>67</v>
      </c>
      <c r="F970" t="s">
        <v>46</v>
      </c>
      <c r="G970" t="s">
        <v>47</v>
      </c>
      <c r="H970" t="s">
        <v>319</v>
      </c>
      <c r="I970">
        <v>8.5000000000000006E-2</v>
      </c>
      <c r="J970">
        <f t="shared" si="45"/>
        <v>46.75</v>
      </c>
      <c r="K970">
        <v>3</v>
      </c>
      <c r="L970">
        <f t="shared" si="46"/>
        <v>43.75</v>
      </c>
      <c r="M970" s="4">
        <f t="shared" si="47"/>
        <v>7.2916666666666671E-2</v>
      </c>
      <c r="N970">
        <v>600</v>
      </c>
      <c r="O970">
        <v>550</v>
      </c>
      <c r="P970" t="s">
        <v>25</v>
      </c>
      <c r="Q970" t="s">
        <v>26</v>
      </c>
      <c r="R970" t="str">
        <f>IF(COUNTIF(Sheet2!B:B, A970) &gt; 0, "Yes", "No")</f>
        <v>No</v>
      </c>
    </row>
    <row r="971" spans="1:18" x14ac:dyDescent="0.25">
      <c r="A971" s="3">
        <v>45219</v>
      </c>
      <c r="B971" t="s">
        <v>372</v>
      </c>
      <c r="C971" t="s">
        <v>79</v>
      </c>
      <c r="D971" t="s">
        <v>20</v>
      </c>
      <c r="E971" t="s">
        <v>67</v>
      </c>
      <c r="F971" t="s">
        <v>49</v>
      </c>
      <c r="G971" t="s">
        <v>50</v>
      </c>
      <c r="H971" t="s">
        <v>49</v>
      </c>
      <c r="I971">
        <v>0.09</v>
      </c>
      <c r="J971">
        <f t="shared" si="45"/>
        <v>49.5</v>
      </c>
      <c r="K971">
        <v>6</v>
      </c>
      <c r="L971">
        <f t="shared" si="46"/>
        <v>43.5</v>
      </c>
      <c r="M971" s="4">
        <f t="shared" si="47"/>
        <v>7.2499999999999995E-2</v>
      </c>
      <c r="N971">
        <v>600</v>
      </c>
      <c r="O971">
        <v>550</v>
      </c>
      <c r="P971" t="s">
        <v>25</v>
      </c>
      <c r="Q971" t="s">
        <v>26</v>
      </c>
      <c r="R971" t="str">
        <f>IF(COUNTIF(Sheet2!B:B, A971) &gt; 0, "Yes", "No")</f>
        <v>No</v>
      </c>
    </row>
    <row r="972" spans="1:18" x14ac:dyDescent="0.25">
      <c r="A972" s="3">
        <v>45223</v>
      </c>
      <c r="B972" t="s">
        <v>372</v>
      </c>
      <c r="C972" t="s">
        <v>105</v>
      </c>
      <c r="D972" t="s">
        <v>20</v>
      </c>
      <c r="E972" t="s">
        <v>67</v>
      </c>
      <c r="F972" t="s">
        <v>22</v>
      </c>
      <c r="G972" t="s">
        <v>23</v>
      </c>
      <c r="H972" t="s">
        <v>114</v>
      </c>
      <c r="I972">
        <v>8.5000000000000006E-2</v>
      </c>
      <c r="J972">
        <f t="shared" si="45"/>
        <v>38.25</v>
      </c>
      <c r="K972">
        <v>0</v>
      </c>
      <c r="L972">
        <f t="shared" si="46"/>
        <v>38.25</v>
      </c>
      <c r="M972" s="4">
        <f t="shared" si="47"/>
        <v>7.6499999999999999E-2</v>
      </c>
      <c r="N972">
        <v>500</v>
      </c>
      <c r="O972">
        <v>450</v>
      </c>
      <c r="P972" t="s">
        <v>341</v>
      </c>
      <c r="Q972" t="s">
        <v>284</v>
      </c>
      <c r="R972" t="str">
        <f>IF(COUNTIF(Sheet2!B:B, A972) &gt; 0, "Yes", "No")</f>
        <v>No</v>
      </c>
    </row>
    <row r="973" spans="1:18" x14ac:dyDescent="0.25">
      <c r="A973" s="3">
        <v>45223</v>
      </c>
      <c r="B973" t="s">
        <v>372</v>
      </c>
      <c r="C973" t="s">
        <v>105</v>
      </c>
      <c r="D973" t="s">
        <v>20</v>
      </c>
      <c r="E973" t="s">
        <v>67</v>
      </c>
      <c r="F973" t="s">
        <v>27</v>
      </c>
      <c r="G973" t="s">
        <v>28</v>
      </c>
      <c r="H973" t="s">
        <v>124</v>
      </c>
      <c r="I973">
        <v>0.11</v>
      </c>
      <c r="J973">
        <f t="shared" si="45"/>
        <v>49.5</v>
      </c>
      <c r="K973">
        <v>8</v>
      </c>
      <c r="L973">
        <f t="shared" si="46"/>
        <v>41.5</v>
      </c>
      <c r="M973" s="4">
        <f t="shared" si="47"/>
        <v>8.3000000000000004E-2</v>
      </c>
      <c r="N973">
        <v>500</v>
      </c>
      <c r="O973">
        <v>450</v>
      </c>
      <c r="P973" t="s">
        <v>341</v>
      </c>
      <c r="Q973" t="s">
        <v>284</v>
      </c>
      <c r="R973" t="str">
        <f>IF(COUNTIF(Sheet2!B:B, A973) &gt; 0, "Yes", "No")</f>
        <v>No</v>
      </c>
    </row>
    <row r="974" spans="1:18" x14ac:dyDescent="0.25">
      <c r="A974" s="3">
        <v>45223</v>
      </c>
      <c r="B974" t="s">
        <v>372</v>
      </c>
      <c r="C974" t="s">
        <v>105</v>
      </c>
      <c r="D974" t="s">
        <v>20</v>
      </c>
      <c r="E974" t="s">
        <v>67</v>
      </c>
      <c r="F974" t="s">
        <v>30</v>
      </c>
      <c r="G974" t="s">
        <v>31</v>
      </c>
      <c r="H974" t="s">
        <v>31</v>
      </c>
      <c r="I974">
        <v>0.09</v>
      </c>
      <c r="J974">
        <f t="shared" si="45"/>
        <v>40.5</v>
      </c>
      <c r="K974">
        <v>2</v>
      </c>
      <c r="L974">
        <f t="shared" si="46"/>
        <v>38.5</v>
      </c>
      <c r="M974" s="4">
        <f t="shared" si="47"/>
        <v>7.6999999999999999E-2</v>
      </c>
      <c r="N974">
        <v>500</v>
      </c>
      <c r="O974">
        <v>450</v>
      </c>
      <c r="P974" t="s">
        <v>341</v>
      </c>
      <c r="Q974" t="s">
        <v>284</v>
      </c>
      <c r="R974" t="str">
        <f>IF(COUNTIF(Sheet2!B:B, A974) &gt; 0, "Yes", "No")</f>
        <v>No</v>
      </c>
    </row>
    <row r="975" spans="1:18" x14ac:dyDescent="0.25">
      <c r="A975" s="3">
        <v>45223</v>
      </c>
      <c r="B975" t="s">
        <v>372</v>
      </c>
      <c r="C975" t="s">
        <v>105</v>
      </c>
      <c r="D975" t="s">
        <v>20</v>
      </c>
      <c r="E975" t="s">
        <v>67</v>
      </c>
      <c r="F975" t="s">
        <v>37</v>
      </c>
      <c r="G975" t="s">
        <v>108</v>
      </c>
      <c r="H975" t="s">
        <v>109</v>
      </c>
      <c r="I975">
        <v>3.5000000000000003E-2</v>
      </c>
      <c r="J975">
        <f t="shared" si="45"/>
        <v>15.750000000000002</v>
      </c>
      <c r="K975">
        <v>0</v>
      </c>
      <c r="L975">
        <f t="shared" si="46"/>
        <v>15.750000000000002</v>
      </c>
      <c r="M975" s="4">
        <f t="shared" si="47"/>
        <v>3.15E-2</v>
      </c>
      <c r="N975">
        <v>500</v>
      </c>
      <c r="O975">
        <v>450</v>
      </c>
      <c r="P975" t="s">
        <v>341</v>
      </c>
      <c r="Q975" t="s">
        <v>284</v>
      </c>
      <c r="R975" t="str">
        <f>IF(COUNTIF(Sheet2!B:B, A975) &gt; 0, "Yes", "No")</f>
        <v>No</v>
      </c>
    </row>
    <row r="976" spans="1:18" x14ac:dyDescent="0.25">
      <c r="A976" s="3">
        <v>45223</v>
      </c>
      <c r="B976" t="s">
        <v>372</v>
      </c>
      <c r="C976" t="s">
        <v>105</v>
      </c>
      <c r="D976" t="s">
        <v>20</v>
      </c>
      <c r="E976" t="s">
        <v>67</v>
      </c>
      <c r="F976" t="s">
        <v>40</v>
      </c>
      <c r="G976" t="s">
        <v>61</v>
      </c>
      <c r="H976" t="s">
        <v>119</v>
      </c>
      <c r="I976">
        <v>0.05</v>
      </c>
      <c r="J976">
        <f t="shared" si="45"/>
        <v>22.5</v>
      </c>
      <c r="K976">
        <v>0</v>
      </c>
      <c r="L976">
        <f t="shared" si="46"/>
        <v>22.5</v>
      </c>
      <c r="M976" s="4">
        <f t="shared" si="47"/>
        <v>4.4999999999999998E-2</v>
      </c>
      <c r="N976">
        <v>500</v>
      </c>
      <c r="O976">
        <v>450</v>
      </c>
      <c r="P976" t="s">
        <v>341</v>
      </c>
      <c r="Q976" t="s">
        <v>284</v>
      </c>
      <c r="R976" t="str">
        <f>IF(COUNTIF(Sheet2!B:B, A976) &gt; 0, "Yes", "No")</f>
        <v>No</v>
      </c>
    </row>
    <row r="977" spans="1:18" x14ac:dyDescent="0.25">
      <c r="A977" s="3">
        <v>45223</v>
      </c>
      <c r="B977" t="s">
        <v>372</v>
      </c>
      <c r="C977" t="s">
        <v>105</v>
      </c>
      <c r="D977" t="s">
        <v>20</v>
      </c>
      <c r="E977" t="s">
        <v>67</v>
      </c>
      <c r="F977" t="s">
        <v>43</v>
      </c>
      <c r="G977" t="s">
        <v>90</v>
      </c>
      <c r="H977" t="s">
        <v>281</v>
      </c>
      <c r="I977">
        <v>0.11</v>
      </c>
      <c r="J977">
        <f t="shared" si="45"/>
        <v>49.5</v>
      </c>
      <c r="K977">
        <v>2</v>
      </c>
      <c r="L977">
        <f t="shared" si="46"/>
        <v>47.5</v>
      </c>
      <c r="M977" s="4">
        <f t="shared" si="47"/>
        <v>9.5000000000000001E-2</v>
      </c>
      <c r="N977">
        <v>500</v>
      </c>
      <c r="O977">
        <v>450</v>
      </c>
      <c r="P977" t="s">
        <v>341</v>
      </c>
      <c r="Q977" t="s">
        <v>284</v>
      </c>
      <c r="R977" t="str">
        <f>IF(COUNTIF(Sheet2!B:B, A977) &gt; 0, "Yes", "No")</f>
        <v>No</v>
      </c>
    </row>
    <row r="978" spans="1:18" x14ac:dyDescent="0.25">
      <c r="A978" s="3">
        <v>45223</v>
      </c>
      <c r="B978" t="s">
        <v>372</v>
      </c>
      <c r="C978" t="s">
        <v>105</v>
      </c>
      <c r="D978" t="s">
        <v>20</v>
      </c>
      <c r="E978" t="s">
        <v>67</v>
      </c>
      <c r="F978" t="s">
        <v>46</v>
      </c>
      <c r="G978" t="s">
        <v>256</v>
      </c>
      <c r="H978" t="s">
        <v>383</v>
      </c>
      <c r="I978">
        <v>8.5000000000000006E-2</v>
      </c>
      <c r="J978">
        <f t="shared" si="45"/>
        <v>38.25</v>
      </c>
      <c r="K978">
        <v>0</v>
      </c>
      <c r="L978">
        <f t="shared" si="46"/>
        <v>38.25</v>
      </c>
      <c r="M978" s="4">
        <f t="shared" si="47"/>
        <v>7.6499999999999999E-2</v>
      </c>
      <c r="N978">
        <v>500</v>
      </c>
      <c r="O978">
        <v>450</v>
      </c>
      <c r="P978" t="s">
        <v>341</v>
      </c>
      <c r="Q978" t="s">
        <v>284</v>
      </c>
      <c r="R978" t="str">
        <f>IF(COUNTIF(Sheet2!B:B, A978) &gt; 0, "Yes", "No")</f>
        <v>No</v>
      </c>
    </row>
    <row r="979" spans="1:18" x14ac:dyDescent="0.25">
      <c r="A979" s="3">
        <v>45223</v>
      </c>
      <c r="B979" t="s">
        <v>372</v>
      </c>
      <c r="C979" t="s">
        <v>105</v>
      </c>
      <c r="D979" t="s">
        <v>20</v>
      </c>
      <c r="E979" t="s">
        <v>67</v>
      </c>
      <c r="F979" t="s">
        <v>49</v>
      </c>
      <c r="G979" t="s">
        <v>50</v>
      </c>
      <c r="H979" t="s">
        <v>49</v>
      </c>
      <c r="I979">
        <v>0.09</v>
      </c>
      <c r="J979">
        <f t="shared" si="45"/>
        <v>40.5</v>
      </c>
      <c r="K979">
        <v>0</v>
      </c>
      <c r="L979">
        <f t="shared" si="46"/>
        <v>40.5</v>
      </c>
      <c r="M979" s="4">
        <f t="shared" si="47"/>
        <v>8.1000000000000003E-2</v>
      </c>
      <c r="N979">
        <v>500</v>
      </c>
      <c r="O979">
        <v>450</v>
      </c>
      <c r="P979" t="s">
        <v>341</v>
      </c>
      <c r="Q979" t="s">
        <v>284</v>
      </c>
      <c r="R979" t="str">
        <f>IF(COUNTIF(Sheet2!B:B, A979) &gt; 0, "Yes", "No")</f>
        <v>No</v>
      </c>
    </row>
    <row r="980" spans="1:18" x14ac:dyDescent="0.25">
      <c r="A980" s="3">
        <v>45224</v>
      </c>
      <c r="B980" t="s">
        <v>372</v>
      </c>
      <c r="C980" t="s">
        <v>51</v>
      </c>
      <c r="D980" t="s">
        <v>20</v>
      </c>
      <c r="E980" t="s">
        <v>21</v>
      </c>
      <c r="F980" t="s">
        <v>22</v>
      </c>
      <c r="G980" t="s">
        <v>94</v>
      </c>
      <c r="H980" t="s">
        <v>168</v>
      </c>
      <c r="I980">
        <v>8.5000000000000006E-2</v>
      </c>
      <c r="J980">
        <f t="shared" si="45"/>
        <v>53.550000000000004</v>
      </c>
      <c r="K980">
        <v>0</v>
      </c>
      <c r="L980">
        <f t="shared" si="46"/>
        <v>53.550000000000004</v>
      </c>
      <c r="M980" s="4">
        <f t="shared" si="47"/>
        <v>7.6500000000000012E-2</v>
      </c>
      <c r="N980">
        <v>700</v>
      </c>
      <c r="O980">
        <v>630</v>
      </c>
      <c r="P980" t="s">
        <v>322</v>
      </c>
      <c r="Q980" t="s">
        <v>284</v>
      </c>
      <c r="R980" t="str">
        <f>IF(COUNTIF(Sheet2!B:B, A980) &gt; 0, "Yes", "No")</f>
        <v>No</v>
      </c>
    </row>
    <row r="981" spans="1:18" x14ac:dyDescent="0.25">
      <c r="A981" s="3">
        <v>45224</v>
      </c>
      <c r="B981" t="s">
        <v>372</v>
      </c>
      <c r="C981" t="s">
        <v>51</v>
      </c>
      <c r="D981" t="s">
        <v>20</v>
      </c>
      <c r="E981" t="s">
        <v>21</v>
      </c>
      <c r="F981" t="s">
        <v>27</v>
      </c>
      <c r="G981" t="s">
        <v>28</v>
      </c>
      <c r="H981" t="s">
        <v>182</v>
      </c>
      <c r="I981">
        <v>0.11</v>
      </c>
      <c r="J981">
        <f t="shared" si="45"/>
        <v>69.3</v>
      </c>
      <c r="K981">
        <v>9</v>
      </c>
      <c r="L981">
        <f t="shared" si="46"/>
        <v>60.3</v>
      </c>
      <c r="M981" s="4">
        <f t="shared" si="47"/>
        <v>8.6142857142857132E-2</v>
      </c>
      <c r="N981">
        <v>700</v>
      </c>
      <c r="O981">
        <v>630</v>
      </c>
      <c r="P981" t="s">
        <v>322</v>
      </c>
      <c r="Q981" t="s">
        <v>284</v>
      </c>
      <c r="R981" t="str">
        <f>IF(COUNTIF(Sheet2!B:B, A981) &gt; 0, "Yes", "No")</f>
        <v>No</v>
      </c>
    </row>
    <row r="982" spans="1:18" x14ac:dyDescent="0.25">
      <c r="A982" s="3">
        <v>45224</v>
      </c>
      <c r="B982" t="s">
        <v>372</v>
      </c>
      <c r="C982" t="s">
        <v>51</v>
      </c>
      <c r="D982" t="s">
        <v>20</v>
      </c>
      <c r="E982" t="s">
        <v>21</v>
      </c>
      <c r="F982" t="s">
        <v>30</v>
      </c>
      <c r="G982" t="s">
        <v>31</v>
      </c>
      <c r="H982" t="s">
        <v>172</v>
      </c>
      <c r="I982">
        <v>0.09</v>
      </c>
      <c r="J982">
        <f t="shared" si="45"/>
        <v>56.699999999999996</v>
      </c>
      <c r="K982">
        <v>0</v>
      </c>
      <c r="L982">
        <f t="shared" si="46"/>
        <v>56.699999999999996</v>
      </c>
      <c r="M982" s="4">
        <f t="shared" si="47"/>
        <v>8.0999999999999989E-2</v>
      </c>
      <c r="N982">
        <v>700</v>
      </c>
      <c r="O982">
        <v>630</v>
      </c>
      <c r="P982" t="s">
        <v>322</v>
      </c>
      <c r="Q982" t="s">
        <v>284</v>
      </c>
      <c r="R982" t="str">
        <f>IF(COUNTIF(Sheet2!B:B, A982) &gt; 0, "Yes", "No")</f>
        <v>No</v>
      </c>
    </row>
    <row r="983" spans="1:18" x14ac:dyDescent="0.25">
      <c r="A983" s="3">
        <v>45224</v>
      </c>
      <c r="B983" t="s">
        <v>372</v>
      </c>
      <c r="C983" t="s">
        <v>51</v>
      </c>
      <c r="D983" t="s">
        <v>33</v>
      </c>
      <c r="E983" t="s">
        <v>21</v>
      </c>
      <c r="F983" t="s">
        <v>34</v>
      </c>
      <c r="G983" t="s">
        <v>57</v>
      </c>
      <c r="H983" t="s">
        <v>327</v>
      </c>
      <c r="I983">
        <v>0.15</v>
      </c>
      <c r="J983">
        <f t="shared" si="45"/>
        <v>61.5</v>
      </c>
      <c r="K983">
        <v>0</v>
      </c>
      <c r="L983">
        <f t="shared" si="46"/>
        <v>61.5</v>
      </c>
      <c r="M983" s="4">
        <f t="shared" si="47"/>
        <v>0.13516483516483516</v>
      </c>
      <c r="N983">
        <v>455</v>
      </c>
      <c r="O983">
        <v>410</v>
      </c>
      <c r="P983" t="s">
        <v>322</v>
      </c>
      <c r="Q983" t="s">
        <v>284</v>
      </c>
      <c r="R983" t="str">
        <f>IF(COUNTIF(Sheet2!B:B, A983) &gt; 0, "Yes", "No")</f>
        <v>No</v>
      </c>
    </row>
    <row r="984" spans="1:18" x14ac:dyDescent="0.25">
      <c r="A984" s="3">
        <v>45224</v>
      </c>
      <c r="B984" t="s">
        <v>372</v>
      </c>
      <c r="C984" t="s">
        <v>51</v>
      </c>
      <c r="D984" t="s">
        <v>20</v>
      </c>
      <c r="E984" t="s">
        <v>21</v>
      </c>
      <c r="F984" t="s">
        <v>37</v>
      </c>
      <c r="G984" t="s">
        <v>38</v>
      </c>
      <c r="H984" t="s">
        <v>39</v>
      </c>
      <c r="I984">
        <v>0.03</v>
      </c>
      <c r="J984">
        <f t="shared" si="45"/>
        <v>18.899999999999999</v>
      </c>
      <c r="K984">
        <v>0</v>
      </c>
      <c r="L984">
        <f t="shared" si="46"/>
        <v>18.899999999999999</v>
      </c>
      <c r="M984" s="4">
        <f t="shared" si="47"/>
        <v>2.7E-2</v>
      </c>
      <c r="N984">
        <v>700</v>
      </c>
      <c r="O984">
        <v>630</v>
      </c>
      <c r="P984" t="s">
        <v>322</v>
      </c>
      <c r="Q984" t="s">
        <v>284</v>
      </c>
      <c r="R984" t="str">
        <f>IF(COUNTIF(Sheet2!B:B, A984) &gt; 0, "Yes", "No")</f>
        <v>No</v>
      </c>
    </row>
    <row r="985" spans="1:18" x14ac:dyDescent="0.25">
      <c r="A985" s="3">
        <v>45224</v>
      </c>
      <c r="B985" t="s">
        <v>372</v>
      </c>
      <c r="C985" t="s">
        <v>51</v>
      </c>
      <c r="D985" t="s">
        <v>20</v>
      </c>
      <c r="E985" t="s">
        <v>21</v>
      </c>
      <c r="F985" t="s">
        <v>40</v>
      </c>
      <c r="G985" t="s">
        <v>137</v>
      </c>
      <c r="H985" t="s">
        <v>138</v>
      </c>
      <c r="I985">
        <v>4.4999999999999998E-2</v>
      </c>
      <c r="J985">
        <f t="shared" si="45"/>
        <v>28.349999999999998</v>
      </c>
      <c r="K985">
        <v>0</v>
      </c>
      <c r="L985">
        <f t="shared" si="46"/>
        <v>28.349999999999998</v>
      </c>
      <c r="M985" s="4">
        <f t="shared" si="47"/>
        <v>4.0499999999999994E-2</v>
      </c>
      <c r="N985">
        <v>700</v>
      </c>
      <c r="O985">
        <v>630</v>
      </c>
      <c r="P985" t="s">
        <v>322</v>
      </c>
      <c r="Q985" t="s">
        <v>284</v>
      </c>
      <c r="R985" t="str">
        <f>IF(COUNTIF(Sheet2!B:B, A985) &gt; 0, "Yes", "No")</f>
        <v>No</v>
      </c>
    </row>
    <row r="986" spans="1:18" x14ac:dyDescent="0.25">
      <c r="A986" s="3">
        <v>45224</v>
      </c>
      <c r="B986" t="s">
        <v>372</v>
      </c>
      <c r="C986" t="s">
        <v>51</v>
      </c>
      <c r="D986" t="s">
        <v>20</v>
      </c>
      <c r="E986" t="s">
        <v>21</v>
      </c>
      <c r="F986" t="s">
        <v>43</v>
      </c>
      <c r="G986" t="s">
        <v>44</v>
      </c>
      <c r="H986" t="s">
        <v>264</v>
      </c>
      <c r="I986">
        <v>0.11</v>
      </c>
      <c r="J986">
        <f t="shared" si="45"/>
        <v>69.3</v>
      </c>
      <c r="K986">
        <v>0</v>
      </c>
      <c r="L986">
        <f t="shared" si="46"/>
        <v>69.3</v>
      </c>
      <c r="M986" s="4">
        <f t="shared" si="47"/>
        <v>9.8999999999999991E-2</v>
      </c>
      <c r="N986">
        <v>700</v>
      </c>
      <c r="O986">
        <v>630</v>
      </c>
      <c r="P986" t="s">
        <v>322</v>
      </c>
      <c r="Q986" t="s">
        <v>284</v>
      </c>
      <c r="R986" t="str">
        <f>IF(COUNTIF(Sheet2!B:B, A986) &gt; 0, "Yes", "No")</f>
        <v>No</v>
      </c>
    </row>
    <row r="987" spans="1:18" x14ac:dyDescent="0.25">
      <c r="A987" s="3">
        <v>45224</v>
      </c>
      <c r="B987" t="s">
        <v>372</v>
      </c>
      <c r="C987" t="s">
        <v>51</v>
      </c>
      <c r="D987" t="s">
        <v>20</v>
      </c>
      <c r="E987" t="s">
        <v>21</v>
      </c>
      <c r="F987" t="s">
        <v>46</v>
      </c>
      <c r="G987" t="s">
        <v>130</v>
      </c>
      <c r="H987" t="s">
        <v>367</v>
      </c>
      <c r="I987">
        <v>8.5000000000000006E-2</v>
      </c>
      <c r="J987">
        <f t="shared" si="45"/>
        <v>53.550000000000004</v>
      </c>
      <c r="K987">
        <v>3</v>
      </c>
      <c r="L987">
        <f t="shared" si="46"/>
        <v>50.550000000000004</v>
      </c>
      <c r="M987" s="4">
        <f t="shared" si="47"/>
        <v>7.2214285714285717E-2</v>
      </c>
      <c r="N987">
        <v>700</v>
      </c>
      <c r="O987">
        <v>630</v>
      </c>
      <c r="P987" t="s">
        <v>322</v>
      </c>
      <c r="Q987" t="s">
        <v>284</v>
      </c>
      <c r="R987" t="str">
        <f>IF(COUNTIF(Sheet2!B:B, A987) &gt; 0, "Yes", "No")</f>
        <v>No</v>
      </c>
    </row>
    <row r="988" spans="1:18" x14ac:dyDescent="0.25">
      <c r="A988" s="3">
        <v>45224</v>
      </c>
      <c r="B988" t="s">
        <v>372</v>
      </c>
      <c r="C988" t="s">
        <v>51</v>
      </c>
      <c r="D988" t="s">
        <v>20</v>
      </c>
      <c r="E988" t="s">
        <v>21</v>
      </c>
      <c r="F988" t="s">
        <v>49</v>
      </c>
      <c r="G988" t="s">
        <v>50</v>
      </c>
      <c r="H988" t="s">
        <v>49</v>
      </c>
      <c r="I988">
        <v>0.09</v>
      </c>
      <c r="J988">
        <f t="shared" si="45"/>
        <v>56.699999999999996</v>
      </c>
      <c r="K988">
        <v>0</v>
      </c>
      <c r="L988">
        <f t="shared" si="46"/>
        <v>56.699999999999996</v>
      </c>
      <c r="M988" s="4">
        <f t="shared" si="47"/>
        <v>8.0999999999999989E-2</v>
      </c>
      <c r="N988">
        <v>700</v>
      </c>
      <c r="O988">
        <v>630</v>
      </c>
      <c r="P988" t="s">
        <v>322</v>
      </c>
      <c r="Q988" t="s">
        <v>284</v>
      </c>
      <c r="R988" t="str">
        <f>IF(COUNTIF(Sheet2!B:B, A988) &gt; 0, "Yes", "No")</f>
        <v>No</v>
      </c>
    </row>
    <row r="989" spans="1:18" x14ac:dyDescent="0.25">
      <c r="A989" s="3">
        <v>45225</v>
      </c>
      <c r="B989" t="s">
        <v>372</v>
      </c>
      <c r="C989" t="s">
        <v>66</v>
      </c>
      <c r="D989" t="s">
        <v>20</v>
      </c>
      <c r="E989" t="s">
        <v>67</v>
      </c>
      <c r="F989" t="s">
        <v>22</v>
      </c>
      <c r="G989" t="s">
        <v>23</v>
      </c>
      <c r="H989" t="s">
        <v>80</v>
      </c>
      <c r="I989">
        <v>8.5000000000000006E-2</v>
      </c>
      <c r="J989">
        <f t="shared" si="45"/>
        <v>51.000000000000007</v>
      </c>
      <c r="K989">
        <v>0</v>
      </c>
      <c r="L989">
        <f t="shared" si="46"/>
        <v>51.000000000000007</v>
      </c>
      <c r="M989" s="4">
        <f t="shared" si="47"/>
        <v>7.285714285714287E-2</v>
      </c>
      <c r="N989">
        <v>700</v>
      </c>
      <c r="O989">
        <v>600</v>
      </c>
      <c r="P989" t="s">
        <v>25</v>
      </c>
      <c r="Q989" t="s">
        <v>26</v>
      </c>
      <c r="R989" t="str">
        <f>IF(COUNTIF(Sheet2!B:B, A989) &gt; 0, "Yes", "No")</f>
        <v>No</v>
      </c>
    </row>
    <row r="990" spans="1:18" x14ac:dyDescent="0.25">
      <c r="A990" s="3">
        <v>45225</v>
      </c>
      <c r="B990" t="s">
        <v>372</v>
      </c>
      <c r="C990" t="s">
        <v>66</v>
      </c>
      <c r="D990" t="s">
        <v>20</v>
      </c>
      <c r="E990" t="s">
        <v>67</v>
      </c>
      <c r="F990" t="s">
        <v>27</v>
      </c>
      <c r="G990" t="s">
        <v>190</v>
      </c>
      <c r="H990" t="s">
        <v>384</v>
      </c>
      <c r="I990">
        <v>0.11</v>
      </c>
      <c r="J990">
        <f t="shared" si="45"/>
        <v>66</v>
      </c>
      <c r="K990">
        <v>4</v>
      </c>
      <c r="L990">
        <f t="shared" si="46"/>
        <v>62</v>
      </c>
      <c r="M990" s="4">
        <f t="shared" si="47"/>
        <v>8.8571428571428565E-2</v>
      </c>
      <c r="N990">
        <v>700</v>
      </c>
      <c r="O990">
        <v>600</v>
      </c>
      <c r="P990" t="s">
        <v>25</v>
      </c>
      <c r="Q990" t="s">
        <v>26</v>
      </c>
      <c r="R990" t="str">
        <f>IF(COUNTIF(Sheet2!B:B, A990) &gt; 0, "Yes", "No")</f>
        <v>No</v>
      </c>
    </row>
    <row r="991" spans="1:18" x14ac:dyDescent="0.25">
      <c r="A991" s="3">
        <v>45225</v>
      </c>
      <c r="B991" t="s">
        <v>372</v>
      </c>
      <c r="C991" t="s">
        <v>66</v>
      </c>
      <c r="D991" t="s">
        <v>20</v>
      </c>
      <c r="E991" t="s">
        <v>67</v>
      </c>
      <c r="F991" t="s">
        <v>30</v>
      </c>
      <c r="G991" t="s">
        <v>55</v>
      </c>
      <c r="H991" t="s">
        <v>134</v>
      </c>
      <c r="I991">
        <v>0.09</v>
      </c>
      <c r="J991">
        <f t="shared" si="45"/>
        <v>54</v>
      </c>
      <c r="K991">
        <v>4</v>
      </c>
      <c r="L991">
        <f t="shared" si="46"/>
        <v>50</v>
      </c>
      <c r="M991" s="4">
        <f t="shared" si="47"/>
        <v>7.1428571428571425E-2</v>
      </c>
      <c r="N991">
        <v>700</v>
      </c>
      <c r="O991">
        <v>600</v>
      </c>
      <c r="P991" t="s">
        <v>25</v>
      </c>
      <c r="Q991" t="s">
        <v>26</v>
      </c>
      <c r="R991" t="str">
        <f>IF(COUNTIF(Sheet2!B:B, A991) &gt; 0, "Yes", "No")</f>
        <v>No</v>
      </c>
    </row>
    <row r="992" spans="1:18" x14ac:dyDescent="0.25">
      <c r="A992" s="3">
        <v>45225</v>
      </c>
      <c r="B992" t="s">
        <v>372</v>
      </c>
      <c r="C992" t="s">
        <v>66</v>
      </c>
      <c r="D992" t="s">
        <v>20</v>
      </c>
      <c r="E992" t="s">
        <v>67</v>
      </c>
      <c r="F992" t="s">
        <v>37</v>
      </c>
      <c r="G992" t="s">
        <v>71</v>
      </c>
      <c r="H992" t="s">
        <v>151</v>
      </c>
      <c r="I992">
        <v>3.5000000000000003E-2</v>
      </c>
      <c r="J992">
        <f t="shared" si="45"/>
        <v>21.000000000000004</v>
      </c>
      <c r="K992">
        <v>0</v>
      </c>
      <c r="L992">
        <f t="shared" si="46"/>
        <v>21.000000000000004</v>
      </c>
      <c r="M992" s="4">
        <f t="shared" si="47"/>
        <v>3.0000000000000006E-2</v>
      </c>
      <c r="N992">
        <v>700</v>
      </c>
      <c r="O992">
        <v>600</v>
      </c>
      <c r="P992" t="s">
        <v>25</v>
      </c>
      <c r="Q992" t="s">
        <v>26</v>
      </c>
      <c r="R992" t="str">
        <f>IF(COUNTIF(Sheet2!B:B, A992) &gt; 0, "Yes", "No")</f>
        <v>No</v>
      </c>
    </row>
    <row r="993" spans="1:18" x14ac:dyDescent="0.25">
      <c r="A993" s="3">
        <v>45225</v>
      </c>
      <c r="B993" t="s">
        <v>372</v>
      </c>
      <c r="C993" t="s">
        <v>66</v>
      </c>
      <c r="D993" t="s">
        <v>20</v>
      </c>
      <c r="E993" t="s">
        <v>67</v>
      </c>
      <c r="F993" t="s">
        <v>40</v>
      </c>
      <c r="G993" t="s">
        <v>73</v>
      </c>
      <c r="H993" t="s">
        <v>74</v>
      </c>
      <c r="I993">
        <v>0.05</v>
      </c>
      <c r="J993">
        <f t="shared" si="45"/>
        <v>30</v>
      </c>
      <c r="K993">
        <v>0</v>
      </c>
      <c r="L993">
        <f t="shared" si="46"/>
        <v>30</v>
      </c>
      <c r="M993" s="4">
        <f t="shared" si="47"/>
        <v>4.2857142857142858E-2</v>
      </c>
      <c r="N993">
        <v>700</v>
      </c>
      <c r="O993">
        <v>600</v>
      </c>
      <c r="P993" t="s">
        <v>25</v>
      </c>
      <c r="Q993" t="s">
        <v>26</v>
      </c>
      <c r="R993" t="str">
        <f>IF(COUNTIF(Sheet2!B:B, A993) &gt; 0, "Yes", "No")</f>
        <v>No</v>
      </c>
    </row>
    <row r="994" spans="1:18" x14ac:dyDescent="0.25">
      <c r="A994" s="3">
        <v>45225</v>
      </c>
      <c r="B994" t="s">
        <v>372</v>
      </c>
      <c r="C994" t="s">
        <v>66</v>
      </c>
      <c r="D994" t="s">
        <v>20</v>
      </c>
      <c r="E994" t="s">
        <v>67</v>
      </c>
      <c r="F994" t="s">
        <v>43</v>
      </c>
      <c r="G994" t="s">
        <v>139</v>
      </c>
      <c r="H994" t="s">
        <v>318</v>
      </c>
      <c r="I994">
        <v>0.11</v>
      </c>
      <c r="J994">
        <f t="shared" si="45"/>
        <v>66</v>
      </c>
      <c r="K994">
        <v>0</v>
      </c>
      <c r="L994">
        <f t="shared" si="46"/>
        <v>66</v>
      </c>
      <c r="M994" s="4">
        <f t="shared" si="47"/>
        <v>9.4285714285714292E-2</v>
      </c>
      <c r="N994">
        <v>700</v>
      </c>
      <c r="O994">
        <v>600</v>
      </c>
      <c r="P994" t="s">
        <v>25</v>
      </c>
      <c r="Q994" t="s">
        <v>26</v>
      </c>
      <c r="R994" t="str">
        <f>IF(COUNTIF(Sheet2!B:B, A994) &gt; 0, "Yes", "No")</f>
        <v>No</v>
      </c>
    </row>
    <row r="995" spans="1:18" x14ac:dyDescent="0.25">
      <c r="A995" s="3">
        <v>45225</v>
      </c>
      <c r="B995" t="s">
        <v>372</v>
      </c>
      <c r="C995" t="s">
        <v>66</v>
      </c>
      <c r="D995" t="s">
        <v>20</v>
      </c>
      <c r="E995" t="s">
        <v>67</v>
      </c>
      <c r="F995" t="s">
        <v>46</v>
      </c>
      <c r="G995" t="s">
        <v>47</v>
      </c>
      <c r="H995" t="s">
        <v>141</v>
      </c>
      <c r="I995">
        <v>8.5000000000000006E-2</v>
      </c>
      <c r="J995">
        <f t="shared" si="45"/>
        <v>51.000000000000007</v>
      </c>
      <c r="K995">
        <v>2</v>
      </c>
      <c r="L995">
        <f t="shared" si="46"/>
        <v>49.000000000000007</v>
      </c>
      <c r="M995" s="4">
        <f t="shared" si="47"/>
        <v>7.0000000000000007E-2</v>
      </c>
      <c r="N995">
        <v>700</v>
      </c>
      <c r="O995">
        <v>600</v>
      </c>
      <c r="P995" t="s">
        <v>25</v>
      </c>
      <c r="Q995" t="s">
        <v>26</v>
      </c>
      <c r="R995" t="str">
        <f>IF(COUNTIF(Sheet2!B:B, A995) &gt; 0, "Yes", "No")</f>
        <v>No</v>
      </c>
    </row>
    <row r="996" spans="1:18" x14ac:dyDescent="0.25">
      <c r="A996" s="3">
        <v>45225</v>
      </c>
      <c r="B996" t="s">
        <v>372</v>
      </c>
      <c r="C996" t="s">
        <v>66</v>
      </c>
      <c r="D996" t="s">
        <v>20</v>
      </c>
      <c r="E996" t="s">
        <v>67</v>
      </c>
      <c r="F996" t="s">
        <v>49</v>
      </c>
      <c r="G996" t="s">
        <v>50</v>
      </c>
      <c r="H996" t="s">
        <v>49</v>
      </c>
      <c r="I996">
        <v>0.09</v>
      </c>
      <c r="J996">
        <f t="shared" si="45"/>
        <v>54</v>
      </c>
      <c r="K996">
        <v>0</v>
      </c>
      <c r="L996">
        <f t="shared" si="46"/>
        <v>54</v>
      </c>
      <c r="M996" s="4">
        <f t="shared" si="47"/>
        <v>7.7142857142857138E-2</v>
      </c>
      <c r="N996">
        <v>700</v>
      </c>
      <c r="O996">
        <v>600</v>
      </c>
      <c r="P996" t="s">
        <v>25</v>
      </c>
      <c r="Q996" t="s">
        <v>26</v>
      </c>
      <c r="R996" t="str">
        <f>IF(COUNTIF(Sheet2!B:B, A996) &gt; 0, "Yes", "No")</f>
        <v>No</v>
      </c>
    </row>
    <row r="997" spans="1:18" x14ac:dyDescent="0.25">
      <c r="A997" s="3">
        <v>45226</v>
      </c>
      <c r="B997" t="s">
        <v>372</v>
      </c>
      <c r="C997" t="s">
        <v>79</v>
      </c>
      <c r="D997" t="s">
        <v>20</v>
      </c>
      <c r="E997" t="s">
        <v>21</v>
      </c>
      <c r="F997" t="s">
        <v>22</v>
      </c>
      <c r="G997" t="s">
        <v>122</v>
      </c>
      <c r="H997" t="s">
        <v>324</v>
      </c>
      <c r="I997" s="5">
        <v>0.06</v>
      </c>
      <c r="J997">
        <f t="shared" si="45"/>
        <v>33</v>
      </c>
      <c r="K997">
        <v>8</v>
      </c>
      <c r="L997">
        <f t="shared" si="46"/>
        <v>25</v>
      </c>
      <c r="M997" s="4">
        <f t="shared" si="47"/>
        <v>4.1666666666666664E-2</v>
      </c>
      <c r="N997">
        <v>600</v>
      </c>
      <c r="O997">
        <v>550</v>
      </c>
      <c r="P997" t="s">
        <v>25</v>
      </c>
      <c r="Q997" t="s">
        <v>26</v>
      </c>
      <c r="R997" t="str">
        <f>IF(COUNTIF(Sheet2!B:B, A997) &gt; 0, "Yes", "No")</f>
        <v>Yes</v>
      </c>
    </row>
    <row r="998" spans="1:18" x14ac:dyDescent="0.25">
      <c r="A998" s="3">
        <v>45226</v>
      </c>
      <c r="B998" t="s">
        <v>372</v>
      </c>
      <c r="C998" t="s">
        <v>79</v>
      </c>
      <c r="D998" t="s">
        <v>20</v>
      </c>
      <c r="E998" t="s">
        <v>21</v>
      </c>
      <c r="F998" t="s">
        <v>27</v>
      </c>
      <c r="G998" t="s">
        <v>81</v>
      </c>
      <c r="H998" t="s">
        <v>133</v>
      </c>
      <c r="I998" s="5">
        <v>0.1</v>
      </c>
      <c r="J998">
        <f t="shared" si="45"/>
        <v>55</v>
      </c>
      <c r="K998">
        <v>0</v>
      </c>
      <c r="L998">
        <f t="shared" si="46"/>
        <v>55</v>
      </c>
      <c r="M998" s="4">
        <f t="shared" si="47"/>
        <v>9.166666666666666E-2</v>
      </c>
      <c r="N998">
        <v>600</v>
      </c>
      <c r="O998">
        <v>550</v>
      </c>
      <c r="P998" t="s">
        <v>25</v>
      </c>
      <c r="Q998" t="s">
        <v>26</v>
      </c>
      <c r="R998" t="str">
        <f>IF(COUNTIF(Sheet2!B:B, A998) &gt; 0, "Yes", "No")</f>
        <v>Yes</v>
      </c>
    </row>
    <row r="999" spans="1:18" x14ac:dyDescent="0.25">
      <c r="A999" s="3">
        <v>45226</v>
      </c>
      <c r="B999" t="s">
        <v>372</v>
      </c>
      <c r="C999" t="s">
        <v>79</v>
      </c>
      <c r="D999" t="s">
        <v>20</v>
      </c>
      <c r="E999" t="s">
        <v>21</v>
      </c>
      <c r="F999" t="s">
        <v>30</v>
      </c>
      <c r="G999" t="s">
        <v>31</v>
      </c>
      <c r="H999" t="s">
        <v>70</v>
      </c>
      <c r="I999" s="5">
        <v>0.06</v>
      </c>
      <c r="J999">
        <f t="shared" si="45"/>
        <v>33</v>
      </c>
      <c r="K999">
        <v>10</v>
      </c>
      <c r="L999">
        <f t="shared" si="46"/>
        <v>23</v>
      </c>
      <c r="M999" s="4">
        <f t="shared" si="47"/>
        <v>3.833333333333333E-2</v>
      </c>
      <c r="N999">
        <v>600</v>
      </c>
      <c r="O999">
        <v>550</v>
      </c>
      <c r="P999" t="s">
        <v>25</v>
      </c>
      <c r="Q999" t="s">
        <v>26</v>
      </c>
      <c r="R999" t="str">
        <f>IF(COUNTIF(Sheet2!B:B, A999) &gt; 0, "Yes", "No")</f>
        <v>Yes</v>
      </c>
    </row>
    <row r="1000" spans="1:18" x14ac:dyDescent="0.25">
      <c r="A1000" s="3">
        <v>45226</v>
      </c>
      <c r="B1000" t="s">
        <v>372</v>
      </c>
      <c r="C1000" t="s">
        <v>79</v>
      </c>
      <c r="D1000" t="s">
        <v>33</v>
      </c>
      <c r="E1000" t="s">
        <v>21</v>
      </c>
      <c r="F1000" t="s">
        <v>84</v>
      </c>
      <c r="G1000" t="s">
        <v>85</v>
      </c>
      <c r="H1000" t="s">
        <v>135</v>
      </c>
      <c r="I1000" s="5">
        <v>0.3</v>
      </c>
      <c r="J1000">
        <f t="shared" si="45"/>
        <v>107.39999999999999</v>
      </c>
      <c r="K1000">
        <v>0</v>
      </c>
      <c r="L1000">
        <f t="shared" si="46"/>
        <v>107.39999999999999</v>
      </c>
      <c r="M1000" s="4">
        <f t="shared" si="47"/>
        <v>0.27538461538461534</v>
      </c>
      <c r="N1000">
        <v>390</v>
      </c>
      <c r="O1000">
        <v>358</v>
      </c>
      <c r="P1000" t="s">
        <v>25</v>
      </c>
      <c r="Q1000" t="s">
        <v>26</v>
      </c>
      <c r="R1000" t="str">
        <f>IF(COUNTIF(Sheet2!B:B, A1000) &gt; 0, "Yes", "No")</f>
        <v>Yes</v>
      </c>
    </row>
    <row r="1001" spans="1:18" x14ac:dyDescent="0.25">
      <c r="A1001" s="3">
        <v>45226</v>
      </c>
      <c r="B1001" t="s">
        <v>372</v>
      </c>
      <c r="C1001" t="s">
        <v>79</v>
      </c>
      <c r="D1001" t="s">
        <v>20</v>
      </c>
      <c r="E1001" t="s">
        <v>21</v>
      </c>
      <c r="F1001" t="s">
        <v>37</v>
      </c>
      <c r="G1001" t="s">
        <v>87</v>
      </c>
      <c r="H1001" t="s">
        <v>88</v>
      </c>
      <c r="I1001" s="5">
        <v>2.5000000000000001E-2</v>
      </c>
      <c r="J1001">
        <f t="shared" si="45"/>
        <v>13.75</v>
      </c>
      <c r="K1001">
        <v>0</v>
      </c>
      <c r="L1001">
        <f t="shared" si="46"/>
        <v>13.75</v>
      </c>
      <c r="M1001" s="4">
        <f t="shared" si="47"/>
        <v>2.2916666666666665E-2</v>
      </c>
      <c r="N1001">
        <v>600</v>
      </c>
      <c r="O1001">
        <v>550</v>
      </c>
      <c r="P1001" t="s">
        <v>25</v>
      </c>
      <c r="Q1001" t="s">
        <v>26</v>
      </c>
      <c r="R1001" t="str">
        <f>IF(COUNTIF(Sheet2!B:B, A1001) &gt; 0, "Yes", "No")</f>
        <v>Yes</v>
      </c>
    </row>
    <row r="1002" spans="1:18" x14ac:dyDescent="0.25">
      <c r="A1002" s="3">
        <v>45226</v>
      </c>
      <c r="B1002" t="s">
        <v>372</v>
      </c>
      <c r="C1002" t="s">
        <v>79</v>
      </c>
      <c r="D1002" t="s">
        <v>20</v>
      </c>
      <c r="E1002" t="s">
        <v>21</v>
      </c>
      <c r="F1002" t="s">
        <v>40</v>
      </c>
      <c r="G1002" t="s">
        <v>164</v>
      </c>
      <c r="H1002" t="s">
        <v>193</v>
      </c>
      <c r="I1002" s="5">
        <v>0.04</v>
      </c>
      <c r="J1002">
        <f t="shared" si="45"/>
        <v>22</v>
      </c>
      <c r="K1002">
        <v>0</v>
      </c>
      <c r="L1002">
        <f t="shared" si="46"/>
        <v>22</v>
      </c>
      <c r="M1002" s="4">
        <f t="shared" si="47"/>
        <v>3.6666666666666667E-2</v>
      </c>
      <c r="N1002">
        <v>600</v>
      </c>
      <c r="O1002">
        <v>550</v>
      </c>
      <c r="P1002" t="s">
        <v>25</v>
      </c>
      <c r="Q1002" t="s">
        <v>26</v>
      </c>
      <c r="R1002" t="str">
        <f>IF(COUNTIF(Sheet2!B:B, A1002) &gt; 0, "Yes", "No")</f>
        <v>Yes</v>
      </c>
    </row>
    <row r="1003" spans="1:18" x14ac:dyDescent="0.25">
      <c r="A1003" s="3">
        <v>45226</v>
      </c>
      <c r="B1003" t="s">
        <v>372</v>
      </c>
      <c r="C1003" t="s">
        <v>79</v>
      </c>
      <c r="D1003" t="s">
        <v>20</v>
      </c>
      <c r="E1003" t="s">
        <v>21</v>
      </c>
      <c r="F1003" t="s">
        <v>43</v>
      </c>
      <c r="G1003" t="s">
        <v>111</v>
      </c>
      <c r="H1003" t="s">
        <v>325</v>
      </c>
      <c r="I1003" s="5">
        <v>0.08</v>
      </c>
      <c r="J1003">
        <f t="shared" si="45"/>
        <v>44</v>
      </c>
      <c r="K1003">
        <v>5</v>
      </c>
      <c r="L1003">
        <f t="shared" si="46"/>
        <v>39</v>
      </c>
      <c r="M1003" s="4">
        <f t="shared" si="47"/>
        <v>6.5000000000000002E-2</v>
      </c>
      <c r="N1003">
        <v>600</v>
      </c>
      <c r="O1003">
        <v>550</v>
      </c>
      <c r="P1003" t="s">
        <v>25</v>
      </c>
      <c r="Q1003" t="s">
        <v>26</v>
      </c>
      <c r="R1003" t="str">
        <f>IF(COUNTIF(Sheet2!B:B, A1003) &gt; 0, "Yes", "No")</f>
        <v>Yes</v>
      </c>
    </row>
    <row r="1004" spans="1:18" x14ac:dyDescent="0.25">
      <c r="A1004" s="3">
        <v>45226</v>
      </c>
      <c r="B1004" t="s">
        <v>372</v>
      </c>
      <c r="C1004" t="s">
        <v>79</v>
      </c>
      <c r="D1004" t="s">
        <v>20</v>
      </c>
      <c r="E1004" t="s">
        <v>21</v>
      </c>
      <c r="F1004" t="s">
        <v>46</v>
      </c>
      <c r="G1004" t="s">
        <v>47</v>
      </c>
      <c r="H1004" t="s">
        <v>385</v>
      </c>
      <c r="I1004" s="5">
        <v>0.06</v>
      </c>
      <c r="J1004">
        <f t="shared" si="45"/>
        <v>33</v>
      </c>
      <c r="K1004">
        <v>8</v>
      </c>
      <c r="L1004">
        <f t="shared" si="46"/>
        <v>25</v>
      </c>
      <c r="M1004" s="4">
        <f t="shared" si="47"/>
        <v>4.1666666666666664E-2</v>
      </c>
      <c r="N1004">
        <v>600</v>
      </c>
      <c r="O1004">
        <v>550</v>
      </c>
      <c r="P1004" t="s">
        <v>25</v>
      </c>
      <c r="Q1004" t="s">
        <v>26</v>
      </c>
      <c r="R1004" t="str">
        <f>IF(COUNTIF(Sheet2!B:B, A1004) &gt; 0, "Yes", "No")</f>
        <v>Yes</v>
      </c>
    </row>
    <row r="1005" spans="1:18" x14ac:dyDescent="0.25">
      <c r="A1005" s="3">
        <v>45226</v>
      </c>
      <c r="B1005" t="s">
        <v>372</v>
      </c>
      <c r="C1005" t="s">
        <v>79</v>
      </c>
      <c r="D1005" t="s">
        <v>20</v>
      </c>
      <c r="E1005" t="s">
        <v>21</v>
      </c>
      <c r="F1005" t="s">
        <v>49</v>
      </c>
      <c r="G1005" t="s">
        <v>50</v>
      </c>
      <c r="H1005" t="s">
        <v>49</v>
      </c>
      <c r="I1005" s="5">
        <v>0.04</v>
      </c>
      <c r="J1005">
        <f t="shared" si="45"/>
        <v>22</v>
      </c>
      <c r="K1005">
        <v>10</v>
      </c>
      <c r="L1005">
        <f t="shared" si="46"/>
        <v>12</v>
      </c>
      <c r="M1005" s="4">
        <f t="shared" si="47"/>
        <v>0.02</v>
      </c>
      <c r="N1005">
        <v>600</v>
      </c>
      <c r="O1005">
        <v>550</v>
      </c>
      <c r="P1005" t="s">
        <v>25</v>
      </c>
      <c r="Q1005" t="s">
        <v>26</v>
      </c>
      <c r="R1005" t="str">
        <f>IF(COUNTIF(Sheet2!B:B, A1005) &gt; 0, "Yes", "No")</f>
        <v>Yes</v>
      </c>
    </row>
    <row r="1006" spans="1:18" x14ac:dyDescent="0.25">
      <c r="A1006" s="3">
        <v>45229</v>
      </c>
      <c r="B1006" t="s">
        <v>372</v>
      </c>
      <c r="C1006" t="s">
        <v>19</v>
      </c>
      <c r="D1006" t="s">
        <v>20</v>
      </c>
      <c r="E1006" t="s">
        <v>21</v>
      </c>
      <c r="F1006" t="s">
        <v>22</v>
      </c>
      <c r="G1006" t="s">
        <v>94</v>
      </c>
      <c r="H1006" t="s">
        <v>168</v>
      </c>
      <c r="I1006">
        <v>8.5000000000000006E-2</v>
      </c>
      <c r="J1006">
        <f t="shared" si="45"/>
        <v>51.000000000000007</v>
      </c>
      <c r="K1006">
        <v>0</v>
      </c>
      <c r="L1006">
        <f t="shared" si="46"/>
        <v>51.000000000000007</v>
      </c>
      <c r="M1006" s="4">
        <f t="shared" si="47"/>
        <v>7.8461538461538471E-2</v>
      </c>
      <c r="N1006">
        <v>650</v>
      </c>
      <c r="O1006">
        <v>600</v>
      </c>
      <c r="P1006" t="s">
        <v>25</v>
      </c>
      <c r="Q1006" t="s">
        <v>26</v>
      </c>
      <c r="R1006" t="str">
        <f>IF(COUNTIF(Sheet2!B:B, A1006) &gt; 0, "Yes", "No")</f>
        <v>No</v>
      </c>
    </row>
    <row r="1007" spans="1:18" x14ac:dyDescent="0.25">
      <c r="A1007" s="3">
        <v>45229</v>
      </c>
      <c r="B1007" t="s">
        <v>372</v>
      </c>
      <c r="C1007" t="s">
        <v>19</v>
      </c>
      <c r="D1007" t="s">
        <v>20</v>
      </c>
      <c r="E1007" t="s">
        <v>21</v>
      </c>
      <c r="F1007" t="s">
        <v>27</v>
      </c>
      <c r="G1007" t="s">
        <v>28</v>
      </c>
      <c r="H1007" t="s">
        <v>54</v>
      </c>
      <c r="I1007">
        <v>0.11</v>
      </c>
      <c r="J1007">
        <f t="shared" si="45"/>
        <v>66</v>
      </c>
      <c r="K1007">
        <v>4</v>
      </c>
      <c r="L1007">
        <f t="shared" si="46"/>
        <v>62</v>
      </c>
      <c r="M1007" s="4">
        <f t="shared" si="47"/>
        <v>9.5384615384615387E-2</v>
      </c>
      <c r="N1007">
        <v>650</v>
      </c>
      <c r="O1007">
        <v>600</v>
      </c>
      <c r="P1007" t="s">
        <v>25</v>
      </c>
      <c r="Q1007" t="s">
        <v>26</v>
      </c>
      <c r="R1007" t="str">
        <f>IF(COUNTIF(Sheet2!B:B, A1007) &gt; 0, "Yes", "No")</f>
        <v>No</v>
      </c>
    </row>
    <row r="1008" spans="1:18" x14ac:dyDescent="0.25">
      <c r="A1008" s="3">
        <v>45229</v>
      </c>
      <c r="B1008" t="s">
        <v>372</v>
      </c>
      <c r="C1008" t="s">
        <v>19</v>
      </c>
      <c r="D1008" t="s">
        <v>20</v>
      </c>
      <c r="E1008" t="s">
        <v>21</v>
      </c>
      <c r="F1008" t="s">
        <v>30</v>
      </c>
      <c r="G1008" t="s">
        <v>31</v>
      </c>
      <c r="H1008" t="s">
        <v>31</v>
      </c>
      <c r="I1008">
        <v>0.09</v>
      </c>
      <c r="J1008">
        <f t="shared" si="45"/>
        <v>54</v>
      </c>
      <c r="K1008">
        <v>0</v>
      </c>
      <c r="L1008">
        <f t="shared" si="46"/>
        <v>54</v>
      </c>
      <c r="M1008" s="4">
        <f t="shared" si="47"/>
        <v>8.3076923076923076E-2</v>
      </c>
      <c r="N1008">
        <v>650</v>
      </c>
      <c r="O1008">
        <v>600</v>
      </c>
      <c r="P1008" t="s">
        <v>25</v>
      </c>
      <c r="Q1008" t="s">
        <v>26</v>
      </c>
      <c r="R1008" t="str">
        <f>IF(COUNTIF(Sheet2!B:B, A1008) &gt; 0, "Yes", "No")</f>
        <v>No</v>
      </c>
    </row>
    <row r="1009" spans="1:18" x14ac:dyDescent="0.25">
      <c r="A1009" s="3">
        <v>45229</v>
      </c>
      <c r="B1009" t="s">
        <v>372</v>
      </c>
      <c r="C1009" t="s">
        <v>19</v>
      </c>
      <c r="D1009" t="s">
        <v>33</v>
      </c>
      <c r="E1009" t="s">
        <v>21</v>
      </c>
      <c r="F1009" t="s">
        <v>34</v>
      </c>
      <c r="G1009" t="s">
        <v>57</v>
      </c>
      <c r="H1009" t="s">
        <v>340</v>
      </c>
      <c r="I1009">
        <v>0.15</v>
      </c>
      <c r="J1009">
        <f t="shared" si="45"/>
        <v>45</v>
      </c>
      <c r="K1009">
        <v>0</v>
      </c>
      <c r="L1009">
        <f t="shared" si="46"/>
        <v>45</v>
      </c>
      <c r="M1009" s="4">
        <f t="shared" si="47"/>
        <v>0.13846153846153847</v>
      </c>
      <c r="N1009">
        <v>325</v>
      </c>
      <c r="O1009">
        <v>300</v>
      </c>
      <c r="P1009" t="s">
        <v>25</v>
      </c>
      <c r="Q1009" t="s">
        <v>26</v>
      </c>
      <c r="R1009" t="str">
        <f>IF(COUNTIF(Sheet2!B:B, A1009) &gt; 0, "Yes", "No")</f>
        <v>No</v>
      </c>
    </row>
    <row r="1010" spans="1:18" x14ac:dyDescent="0.25">
      <c r="A1010" s="3">
        <v>45229</v>
      </c>
      <c r="B1010" t="s">
        <v>372</v>
      </c>
      <c r="C1010" t="s">
        <v>19</v>
      </c>
      <c r="D1010" t="s">
        <v>20</v>
      </c>
      <c r="E1010" t="s">
        <v>21</v>
      </c>
      <c r="F1010" t="s">
        <v>37</v>
      </c>
      <c r="G1010" t="s">
        <v>87</v>
      </c>
      <c r="H1010" t="s">
        <v>99</v>
      </c>
      <c r="I1010">
        <v>0.03</v>
      </c>
      <c r="J1010">
        <f t="shared" si="45"/>
        <v>18</v>
      </c>
      <c r="K1010">
        <v>0</v>
      </c>
      <c r="L1010">
        <f t="shared" si="46"/>
        <v>18</v>
      </c>
      <c r="M1010" s="4">
        <f t="shared" si="47"/>
        <v>2.7692307692307693E-2</v>
      </c>
      <c r="N1010">
        <v>650</v>
      </c>
      <c r="O1010">
        <v>600</v>
      </c>
      <c r="P1010" t="s">
        <v>25</v>
      </c>
      <c r="Q1010" t="s">
        <v>26</v>
      </c>
      <c r="R1010" t="str">
        <f>IF(COUNTIF(Sheet2!B:B, A1010) &gt; 0, "Yes", "No")</f>
        <v>No</v>
      </c>
    </row>
    <row r="1011" spans="1:18" x14ac:dyDescent="0.25">
      <c r="A1011" s="3">
        <v>45229</v>
      </c>
      <c r="B1011" t="s">
        <v>372</v>
      </c>
      <c r="C1011" t="s">
        <v>19</v>
      </c>
      <c r="D1011" t="s">
        <v>20</v>
      </c>
      <c r="E1011" t="s">
        <v>21</v>
      </c>
      <c r="F1011" t="s">
        <v>40</v>
      </c>
      <c r="G1011" t="s">
        <v>127</v>
      </c>
      <c r="H1011" t="s">
        <v>127</v>
      </c>
      <c r="I1011">
        <v>4.4999999999999998E-2</v>
      </c>
      <c r="J1011">
        <f t="shared" si="45"/>
        <v>27</v>
      </c>
      <c r="K1011">
        <v>2</v>
      </c>
      <c r="L1011">
        <f t="shared" si="46"/>
        <v>25</v>
      </c>
      <c r="M1011" s="4">
        <f t="shared" si="47"/>
        <v>3.8461538461538464E-2</v>
      </c>
      <c r="N1011">
        <v>650</v>
      </c>
      <c r="O1011">
        <v>600</v>
      </c>
      <c r="P1011" t="s">
        <v>25</v>
      </c>
      <c r="Q1011" t="s">
        <v>26</v>
      </c>
      <c r="R1011" t="str">
        <f>IF(COUNTIF(Sheet2!B:B, A1011) &gt; 0, "Yes", "No")</f>
        <v>No</v>
      </c>
    </row>
    <row r="1012" spans="1:18" x14ac:dyDescent="0.25">
      <c r="A1012" s="3">
        <v>45229</v>
      </c>
      <c r="B1012" t="s">
        <v>372</v>
      </c>
      <c r="C1012" t="s">
        <v>19</v>
      </c>
      <c r="D1012" t="s">
        <v>20</v>
      </c>
      <c r="E1012" t="s">
        <v>21</v>
      </c>
      <c r="F1012" t="s">
        <v>43</v>
      </c>
      <c r="G1012" t="s">
        <v>159</v>
      </c>
      <c r="H1012" t="s">
        <v>160</v>
      </c>
      <c r="I1012">
        <v>0.11</v>
      </c>
      <c r="J1012">
        <f t="shared" si="45"/>
        <v>66</v>
      </c>
      <c r="K1012">
        <v>2</v>
      </c>
      <c r="L1012">
        <f t="shared" si="46"/>
        <v>64</v>
      </c>
      <c r="M1012" s="4">
        <f t="shared" si="47"/>
        <v>9.8461538461538461E-2</v>
      </c>
      <c r="N1012">
        <v>650</v>
      </c>
      <c r="O1012">
        <v>600</v>
      </c>
      <c r="P1012" t="s">
        <v>25</v>
      </c>
      <c r="Q1012" t="s">
        <v>26</v>
      </c>
      <c r="R1012" t="str">
        <f>IF(COUNTIF(Sheet2!B:B, A1012) &gt; 0, "Yes", "No")</f>
        <v>No</v>
      </c>
    </row>
    <row r="1013" spans="1:18" x14ac:dyDescent="0.25">
      <c r="A1013" s="3">
        <v>45229</v>
      </c>
      <c r="B1013" t="s">
        <v>372</v>
      </c>
      <c r="C1013" t="s">
        <v>19</v>
      </c>
      <c r="D1013" t="s">
        <v>20</v>
      </c>
      <c r="E1013" t="s">
        <v>21</v>
      </c>
      <c r="F1013" t="s">
        <v>46</v>
      </c>
      <c r="G1013" t="s">
        <v>92</v>
      </c>
      <c r="H1013" t="s">
        <v>259</v>
      </c>
      <c r="I1013">
        <v>8.5000000000000006E-2</v>
      </c>
      <c r="J1013">
        <f t="shared" si="45"/>
        <v>51.000000000000007</v>
      </c>
      <c r="K1013">
        <v>0</v>
      </c>
      <c r="L1013">
        <f t="shared" si="46"/>
        <v>51.000000000000007</v>
      </c>
      <c r="M1013" s="4">
        <f t="shared" si="47"/>
        <v>7.8461538461538471E-2</v>
      </c>
      <c r="N1013">
        <v>650</v>
      </c>
      <c r="O1013">
        <v>600</v>
      </c>
      <c r="P1013" t="s">
        <v>25</v>
      </c>
      <c r="Q1013" t="s">
        <v>26</v>
      </c>
      <c r="R1013" t="str">
        <f>IF(COUNTIF(Sheet2!B:B, A1013) &gt; 0, "Yes", "No")</f>
        <v>No</v>
      </c>
    </row>
    <row r="1014" spans="1:18" x14ac:dyDescent="0.25">
      <c r="A1014" s="3">
        <v>45229</v>
      </c>
      <c r="B1014" t="s">
        <v>372</v>
      </c>
      <c r="C1014" t="s">
        <v>19</v>
      </c>
      <c r="D1014" t="s">
        <v>20</v>
      </c>
      <c r="E1014" t="s">
        <v>21</v>
      </c>
      <c r="F1014" t="s">
        <v>49</v>
      </c>
      <c r="G1014" t="s">
        <v>50</v>
      </c>
      <c r="H1014" t="s">
        <v>49</v>
      </c>
      <c r="I1014">
        <v>0.09</v>
      </c>
      <c r="J1014">
        <f t="shared" si="45"/>
        <v>54</v>
      </c>
      <c r="K1014">
        <v>0</v>
      </c>
      <c r="L1014">
        <f t="shared" si="46"/>
        <v>54</v>
      </c>
      <c r="M1014" s="4">
        <f t="shared" si="47"/>
        <v>8.3076923076923076E-2</v>
      </c>
      <c r="N1014">
        <v>650</v>
      </c>
      <c r="O1014">
        <v>600</v>
      </c>
      <c r="P1014" t="s">
        <v>25</v>
      </c>
      <c r="Q1014" t="s">
        <v>26</v>
      </c>
      <c r="R1014" t="str">
        <f>IF(COUNTIF(Sheet2!B:B, A1014) &gt; 0, "Yes", "No")</f>
        <v>No</v>
      </c>
    </row>
    <row r="1015" spans="1:18" x14ac:dyDescent="0.25">
      <c r="A1015" s="3">
        <v>45230</v>
      </c>
      <c r="B1015" t="s">
        <v>372</v>
      </c>
      <c r="C1015" t="s">
        <v>105</v>
      </c>
      <c r="D1015" t="s">
        <v>20</v>
      </c>
      <c r="E1015" t="s">
        <v>67</v>
      </c>
      <c r="F1015" t="s">
        <v>22</v>
      </c>
      <c r="G1015" t="s">
        <v>23</v>
      </c>
      <c r="H1015" t="s">
        <v>114</v>
      </c>
      <c r="I1015">
        <v>8.5000000000000006E-2</v>
      </c>
      <c r="J1015">
        <f t="shared" si="45"/>
        <v>47.6</v>
      </c>
      <c r="K1015">
        <v>0</v>
      </c>
      <c r="L1015">
        <f t="shared" si="46"/>
        <v>47.6</v>
      </c>
      <c r="M1015" s="4">
        <f t="shared" si="47"/>
        <v>7.9333333333333339E-2</v>
      </c>
      <c r="N1015">
        <v>600</v>
      </c>
      <c r="O1015">
        <v>560</v>
      </c>
      <c r="P1015" t="s">
        <v>283</v>
      </c>
      <c r="Q1015" t="s">
        <v>333</v>
      </c>
      <c r="R1015" t="str">
        <f>IF(COUNTIF(Sheet2!B:B, A1015) &gt; 0, "Yes", "No")</f>
        <v>No</v>
      </c>
    </row>
    <row r="1016" spans="1:18" x14ac:dyDescent="0.25">
      <c r="A1016" s="3">
        <v>45230</v>
      </c>
      <c r="B1016" t="s">
        <v>372</v>
      </c>
      <c r="C1016" t="s">
        <v>105</v>
      </c>
      <c r="D1016" t="s">
        <v>20</v>
      </c>
      <c r="E1016" t="s">
        <v>67</v>
      </c>
      <c r="F1016" t="s">
        <v>27</v>
      </c>
      <c r="G1016" t="s">
        <v>28</v>
      </c>
      <c r="H1016" t="s">
        <v>291</v>
      </c>
      <c r="I1016">
        <v>0.11</v>
      </c>
      <c r="J1016">
        <f t="shared" si="45"/>
        <v>61.6</v>
      </c>
      <c r="K1016">
        <v>4</v>
      </c>
      <c r="L1016">
        <f t="shared" si="46"/>
        <v>57.6</v>
      </c>
      <c r="M1016" s="4">
        <f t="shared" si="47"/>
        <v>9.6000000000000002E-2</v>
      </c>
      <c r="N1016">
        <v>600</v>
      </c>
      <c r="O1016">
        <v>560</v>
      </c>
      <c r="P1016" t="s">
        <v>283</v>
      </c>
      <c r="Q1016" t="s">
        <v>333</v>
      </c>
      <c r="R1016" t="str">
        <f>IF(COUNTIF(Sheet2!B:B, A1016) &gt; 0, "Yes", "No")</f>
        <v>No</v>
      </c>
    </row>
    <row r="1017" spans="1:18" x14ac:dyDescent="0.25">
      <c r="A1017" s="3">
        <v>45230</v>
      </c>
      <c r="B1017" t="s">
        <v>372</v>
      </c>
      <c r="C1017" t="s">
        <v>105</v>
      </c>
      <c r="D1017" t="s">
        <v>20</v>
      </c>
      <c r="E1017" t="s">
        <v>67</v>
      </c>
      <c r="F1017" t="s">
        <v>30</v>
      </c>
      <c r="G1017" t="s">
        <v>55</v>
      </c>
      <c r="H1017" t="s">
        <v>56</v>
      </c>
      <c r="I1017">
        <v>0.09</v>
      </c>
      <c r="J1017">
        <f t="shared" si="45"/>
        <v>50.4</v>
      </c>
      <c r="K1017">
        <v>1.5</v>
      </c>
      <c r="L1017">
        <f t="shared" si="46"/>
        <v>48.9</v>
      </c>
      <c r="M1017" s="4">
        <f t="shared" si="47"/>
        <v>8.1500000000000003E-2</v>
      </c>
      <c r="N1017">
        <v>600</v>
      </c>
      <c r="O1017">
        <v>560</v>
      </c>
      <c r="P1017" t="s">
        <v>283</v>
      </c>
      <c r="Q1017" t="s">
        <v>333</v>
      </c>
      <c r="R1017" t="str">
        <f>IF(COUNTIF(Sheet2!B:B, A1017) &gt; 0, "Yes", "No")</f>
        <v>No</v>
      </c>
    </row>
    <row r="1018" spans="1:18" x14ac:dyDescent="0.25">
      <c r="A1018" s="3">
        <v>45230</v>
      </c>
      <c r="B1018" t="s">
        <v>372</v>
      </c>
      <c r="C1018" t="s">
        <v>105</v>
      </c>
      <c r="D1018" t="s">
        <v>20</v>
      </c>
      <c r="E1018" t="s">
        <v>67</v>
      </c>
      <c r="F1018" t="s">
        <v>37</v>
      </c>
      <c r="G1018" t="s">
        <v>108</v>
      </c>
      <c r="H1018" t="s">
        <v>109</v>
      </c>
      <c r="I1018">
        <v>3.5000000000000003E-2</v>
      </c>
      <c r="J1018">
        <f t="shared" si="45"/>
        <v>19.600000000000001</v>
      </c>
      <c r="K1018">
        <v>1.5</v>
      </c>
      <c r="L1018">
        <f t="shared" si="46"/>
        <v>18.100000000000001</v>
      </c>
      <c r="M1018" s="4">
        <f t="shared" si="47"/>
        <v>3.0166666666666668E-2</v>
      </c>
      <c r="N1018">
        <v>600</v>
      </c>
      <c r="O1018">
        <v>560</v>
      </c>
      <c r="P1018" t="s">
        <v>283</v>
      </c>
      <c r="Q1018" t="s">
        <v>333</v>
      </c>
      <c r="R1018" t="str">
        <f>IF(COUNTIF(Sheet2!B:B, A1018) &gt; 0, "Yes", "No")</f>
        <v>No</v>
      </c>
    </row>
    <row r="1019" spans="1:18" x14ac:dyDescent="0.25">
      <c r="A1019" s="3">
        <v>45230</v>
      </c>
      <c r="B1019" t="s">
        <v>372</v>
      </c>
      <c r="C1019" t="s">
        <v>105</v>
      </c>
      <c r="D1019" t="s">
        <v>20</v>
      </c>
      <c r="E1019" t="s">
        <v>67</v>
      </c>
      <c r="F1019" t="s">
        <v>40</v>
      </c>
      <c r="G1019" t="s">
        <v>61</v>
      </c>
      <c r="H1019" t="s">
        <v>119</v>
      </c>
      <c r="I1019">
        <v>0.05</v>
      </c>
      <c r="J1019">
        <f t="shared" si="45"/>
        <v>28</v>
      </c>
      <c r="K1019">
        <v>0</v>
      </c>
      <c r="L1019">
        <f t="shared" si="46"/>
        <v>28</v>
      </c>
      <c r="M1019" s="4">
        <f t="shared" si="47"/>
        <v>4.6666666666666669E-2</v>
      </c>
      <c r="N1019">
        <v>600</v>
      </c>
      <c r="O1019">
        <v>560</v>
      </c>
      <c r="P1019" t="s">
        <v>283</v>
      </c>
      <c r="Q1019" t="s">
        <v>333</v>
      </c>
      <c r="R1019" t="str">
        <f>IF(COUNTIF(Sheet2!B:B, A1019) &gt; 0, "Yes", "No")</f>
        <v>No</v>
      </c>
    </row>
    <row r="1020" spans="1:18" x14ac:dyDescent="0.25">
      <c r="A1020" s="3">
        <v>45230</v>
      </c>
      <c r="B1020" t="s">
        <v>372</v>
      </c>
      <c r="C1020" t="s">
        <v>105</v>
      </c>
      <c r="D1020" t="s">
        <v>20</v>
      </c>
      <c r="E1020" t="s">
        <v>67</v>
      </c>
      <c r="F1020" t="s">
        <v>43</v>
      </c>
      <c r="G1020" t="s">
        <v>90</v>
      </c>
      <c r="H1020" t="s">
        <v>208</v>
      </c>
      <c r="I1020">
        <v>0.11</v>
      </c>
      <c r="J1020">
        <f t="shared" si="45"/>
        <v>61.6</v>
      </c>
      <c r="K1020">
        <v>4.5</v>
      </c>
      <c r="L1020">
        <f t="shared" si="46"/>
        <v>57.1</v>
      </c>
      <c r="M1020" s="4">
        <f t="shared" si="47"/>
        <v>9.5166666666666663E-2</v>
      </c>
      <c r="N1020">
        <v>600</v>
      </c>
      <c r="O1020">
        <v>560</v>
      </c>
      <c r="P1020" t="s">
        <v>283</v>
      </c>
      <c r="Q1020" t="s">
        <v>333</v>
      </c>
      <c r="R1020" t="str">
        <f>IF(COUNTIF(Sheet2!B:B, A1020) &gt; 0, "Yes", "No")</f>
        <v>No</v>
      </c>
    </row>
    <row r="1021" spans="1:18" x14ac:dyDescent="0.25">
      <c r="A1021" s="3">
        <v>45230</v>
      </c>
      <c r="B1021" t="s">
        <v>372</v>
      </c>
      <c r="C1021" t="s">
        <v>105</v>
      </c>
      <c r="D1021" t="s">
        <v>20</v>
      </c>
      <c r="E1021" t="s">
        <v>67</v>
      </c>
      <c r="F1021" t="s">
        <v>46</v>
      </c>
      <c r="G1021" t="s">
        <v>130</v>
      </c>
      <c r="H1021" t="s">
        <v>367</v>
      </c>
      <c r="I1021">
        <v>8.5000000000000006E-2</v>
      </c>
      <c r="J1021">
        <f t="shared" si="45"/>
        <v>47.6</v>
      </c>
      <c r="K1021">
        <v>0</v>
      </c>
      <c r="L1021">
        <f t="shared" si="46"/>
        <v>47.6</v>
      </c>
      <c r="M1021" s="4">
        <f t="shared" si="47"/>
        <v>7.9333333333333339E-2</v>
      </c>
      <c r="N1021">
        <v>600</v>
      </c>
      <c r="O1021">
        <v>560</v>
      </c>
      <c r="P1021" t="s">
        <v>283</v>
      </c>
      <c r="Q1021" t="s">
        <v>333</v>
      </c>
      <c r="R1021" t="str">
        <f>IF(COUNTIF(Sheet2!B:B, A1021) &gt; 0, "Yes", "No")</f>
        <v>No</v>
      </c>
    </row>
    <row r="1022" spans="1:18" x14ac:dyDescent="0.25">
      <c r="A1022" s="3">
        <v>45230</v>
      </c>
      <c r="B1022" t="s">
        <v>372</v>
      </c>
      <c r="C1022" t="s">
        <v>105</v>
      </c>
      <c r="D1022" t="s">
        <v>20</v>
      </c>
      <c r="E1022" t="s">
        <v>67</v>
      </c>
      <c r="F1022" t="s">
        <v>49</v>
      </c>
      <c r="G1022" t="s">
        <v>50</v>
      </c>
      <c r="H1022" t="s">
        <v>49</v>
      </c>
      <c r="I1022">
        <v>0.09</v>
      </c>
      <c r="J1022">
        <f t="shared" si="45"/>
        <v>50.4</v>
      </c>
      <c r="K1022">
        <v>1.5</v>
      </c>
      <c r="L1022">
        <f t="shared" si="46"/>
        <v>48.9</v>
      </c>
      <c r="M1022" s="4">
        <f t="shared" si="47"/>
        <v>8.1500000000000003E-2</v>
      </c>
      <c r="N1022">
        <v>600</v>
      </c>
      <c r="O1022">
        <v>560</v>
      </c>
      <c r="P1022" t="s">
        <v>283</v>
      </c>
      <c r="Q1022" t="s">
        <v>333</v>
      </c>
      <c r="R1022" t="str">
        <f>IF(COUNTIF(Sheet2!B:B, A1022) &gt; 0, "Yes", "No")</f>
        <v>No</v>
      </c>
    </row>
    <row r="1023" spans="1:18" x14ac:dyDescent="0.25">
      <c r="A1023" s="3">
        <v>45232</v>
      </c>
      <c r="B1023" t="s">
        <v>386</v>
      </c>
      <c r="C1023" t="s">
        <v>66</v>
      </c>
      <c r="D1023" t="s">
        <v>20</v>
      </c>
      <c r="E1023" t="s">
        <v>67</v>
      </c>
      <c r="F1023" t="s">
        <v>22</v>
      </c>
      <c r="G1023" t="s">
        <v>94</v>
      </c>
      <c r="H1023" t="s">
        <v>143</v>
      </c>
      <c r="I1023">
        <v>8.5000000000000006E-2</v>
      </c>
      <c r="J1023">
        <f t="shared" si="45"/>
        <v>46.75</v>
      </c>
      <c r="K1023">
        <v>1.5</v>
      </c>
      <c r="L1023">
        <f t="shared" si="46"/>
        <v>45.25</v>
      </c>
      <c r="M1023" s="4">
        <f t="shared" si="47"/>
        <v>7.5416666666666674E-2</v>
      </c>
      <c r="N1023">
        <v>600</v>
      </c>
      <c r="O1023">
        <v>550</v>
      </c>
      <c r="P1023" t="s">
        <v>322</v>
      </c>
      <c r="Q1023" t="s">
        <v>333</v>
      </c>
      <c r="R1023" t="str">
        <f>IF(COUNTIF(Sheet2!B:B, A1023) &gt; 0, "Yes", "No")</f>
        <v>No</v>
      </c>
    </row>
    <row r="1024" spans="1:18" x14ac:dyDescent="0.25">
      <c r="A1024" s="3">
        <v>45232</v>
      </c>
      <c r="B1024" t="s">
        <v>386</v>
      </c>
      <c r="C1024" t="s">
        <v>66</v>
      </c>
      <c r="D1024" t="s">
        <v>20</v>
      </c>
      <c r="E1024" t="s">
        <v>67</v>
      </c>
      <c r="F1024" t="s">
        <v>27</v>
      </c>
      <c r="G1024" t="s">
        <v>28</v>
      </c>
      <c r="H1024" t="s">
        <v>229</v>
      </c>
      <c r="I1024">
        <v>0.11</v>
      </c>
      <c r="J1024">
        <f t="shared" si="45"/>
        <v>60.5</v>
      </c>
      <c r="K1024">
        <v>2</v>
      </c>
      <c r="L1024">
        <f t="shared" si="46"/>
        <v>58.5</v>
      </c>
      <c r="M1024" s="4">
        <f t="shared" si="47"/>
        <v>9.7500000000000003E-2</v>
      </c>
      <c r="N1024">
        <v>600</v>
      </c>
      <c r="O1024">
        <v>550</v>
      </c>
      <c r="P1024" t="s">
        <v>322</v>
      </c>
      <c r="Q1024" t="s">
        <v>333</v>
      </c>
      <c r="R1024" t="str">
        <f>IF(COUNTIF(Sheet2!B:B, A1024) &gt; 0, "Yes", "No")</f>
        <v>No</v>
      </c>
    </row>
    <row r="1025" spans="1:18" x14ac:dyDescent="0.25">
      <c r="A1025" s="3">
        <v>45232</v>
      </c>
      <c r="B1025" t="s">
        <v>386</v>
      </c>
      <c r="C1025" t="s">
        <v>66</v>
      </c>
      <c r="D1025" t="s">
        <v>20</v>
      </c>
      <c r="E1025" t="s">
        <v>67</v>
      </c>
      <c r="F1025" t="s">
        <v>30</v>
      </c>
      <c r="G1025" t="s">
        <v>55</v>
      </c>
      <c r="H1025" t="s">
        <v>134</v>
      </c>
      <c r="I1025">
        <v>0.09</v>
      </c>
      <c r="J1025">
        <f t="shared" si="45"/>
        <v>49.5</v>
      </c>
      <c r="K1025">
        <v>1.5</v>
      </c>
      <c r="L1025">
        <f t="shared" si="46"/>
        <v>48</v>
      </c>
      <c r="M1025" s="4">
        <f t="shared" si="47"/>
        <v>0.08</v>
      </c>
      <c r="N1025">
        <v>600</v>
      </c>
      <c r="O1025">
        <v>550</v>
      </c>
      <c r="P1025" t="s">
        <v>322</v>
      </c>
      <c r="Q1025" t="s">
        <v>333</v>
      </c>
      <c r="R1025" t="str">
        <f>IF(COUNTIF(Sheet2!B:B, A1025) &gt; 0, "Yes", "No")</f>
        <v>No</v>
      </c>
    </row>
    <row r="1026" spans="1:18" x14ac:dyDescent="0.25">
      <c r="A1026" s="3">
        <v>45232</v>
      </c>
      <c r="B1026" t="s">
        <v>386</v>
      </c>
      <c r="C1026" t="s">
        <v>66</v>
      </c>
      <c r="D1026" t="s">
        <v>20</v>
      </c>
      <c r="E1026" t="s">
        <v>67</v>
      </c>
      <c r="F1026" t="s">
        <v>37</v>
      </c>
      <c r="G1026" t="s">
        <v>117</v>
      </c>
      <c r="H1026" t="s">
        <v>118</v>
      </c>
      <c r="I1026">
        <v>3.5000000000000003E-2</v>
      </c>
      <c r="J1026">
        <f t="shared" si="45"/>
        <v>19.250000000000004</v>
      </c>
      <c r="K1026">
        <v>1.5</v>
      </c>
      <c r="L1026">
        <f t="shared" si="46"/>
        <v>17.750000000000004</v>
      </c>
      <c r="M1026" s="4">
        <f t="shared" si="47"/>
        <v>2.958333333333334E-2</v>
      </c>
      <c r="N1026">
        <v>600</v>
      </c>
      <c r="O1026">
        <v>550</v>
      </c>
      <c r="P1026" t="s">
        <v>322</v>
      </c>
      <c r="Q1026" t="s">
        <v>333</v>
      </c>
      <c r="R1026" t="str">
        <f>IF(COUNTIF(Sheet2!B:B, A1026) &gt; 0, "Yes", "No")</f>
        <v>No</v>
      </c>
    </row>
    <row r="1027" spans="1:18" x14ac:dyDescent="0.25">
      <c r="A1027" s="3">
        <v>45232</v>
      </c>
      <c r="B1027" t="s">
        <v>386</v>
      </c>
      <c r="C1027" t="s">
        <v>66</v>
      </c>
      <c r="D1027" t="s">
        <v>20</v>
      </c>
      <c r="E1027" t="s">
        <v>67</v>
      </c>
      <c r="F1027" t="s">
        <v>40</v>
      </c>
      <c r="G1027" t="s">
        <v>73</v>
      </c>
      <c r="H1027" t="s">
        <v>74</v>
      </c>
      <c r="I1027">
        <v>0.05</v>
      </c>
      <c r="J1027">
        <f t="shared" ref="J1027:J1090" si="48">I1027*O1027</f>
        <v>27.5</v>
      </c>
      <c r="K1027">
        <v>1</v>
      </c>
      <c r="L1027">
        <f t="shared" ref="L1027:L1090" si="49">J1027-K1027</f>
        <v>26.5</v>
      </c>
      <c r="M1027" s="4">
        <f t="shared" ref="M1027:M1090" si="50">((I1027*O1027)-K1027)/N1027</f>
        <v>4.4166666666666667E-2</v>
      </c>
      <c r="N1027">
        <v>600</v>
      </c>
      <c r="O1027">
        <v>550</v>
      </c>
      <c r="P1027" t="s">
        <v>322</v>
      </c>
      <c r="Q1027" t="s">
        <v>333</v>
      </c>
      <c r="R1027" t="str">
        <f>IF(COUNTIF(Sheet2!B:B, A1027) &gt; 0, "Yes", "No")</f>
        <v>No</v>
      </c>
    </row>
    <row r="1028" spans="1:18" x14ac:dyDescent="0.25">
      <c r="A1028" s="3">
        <v>45232</v>
      </c>
      <c r="B1028" t="s">
        <v>386</v>
      </c>
      <c r="C1028" t="s">
        <v>66</v>
      </c>
      <c r="D1028" t="s">
        <v>20</v>
      </c>
      <c r="E1028" t="s">
        <v>67</v>
      </c>
      <c r="F1028" t="s">
        <v>43</v>
      </c>
      <c r="G1028" t="s">
        <v>111</v>
      </c>
      <c r="H1028" t="s">
        <v>325</v>
      </c>
      <c r="I1028">
        <v>0.11</v>
      </c>
      <c r="J1028">
        <f t="shared" si="48"/>
        <v>60.5</v>
      </c>
      <c r="K1028">
        <v>2.5</v>
      </c>
      <c r="L1028">
        <f t="shared" si="49"/>
        <v>58</v>
      </c>
      <c r="M1028" s="4">
        <f t="shared" si="50"/>
        <v>9.6666666666666665E-2</v>
      </c>
      <c r="N1028">
        <v>600</v>
      </c>
      <c r="O1028">
        <v>550</v>
      </c>
      <c r="P1028" t="s">
        <v>322</v>
      </c>
      <c r="Q1028" t="s">
        <v>333</v>
      </c>
      <c r="R1028" t="str">
        <f>IF(COUNTIF(Sheet2!B:B, A1028) &gt; 0, "Yes", "No")</f>
        <v>No</v>
      </c>
    </row>
    <row r="1029" spans="1:18" x14ac:dyDescent="0.25">
      <c r="A1029" s="3">
        <v>45232</v>
      </c>
      <c r="B1029" t="s">
        <v>386</v>
      </c>
      <c r="C1029" t="s">
        <v>66</v>
      </c>
      <c r="D1029" t="s">
        <v>20</v>
      </c>
      <c r="E1029" t="s">
        <v>67</v>
      </c>
      <c r="F1029" t="s">
        <v>46</v>
      </c>
      <c r="G1029" t="s">
        <v>47</v>
      </c>
      <c r="H1029" t="s">
        <v>336</v>
      </c>
      <c r="I1029">
        <v>8.5000000000000006E-2</v>
      </c>
      <c r="J1029">
        <f t="shared" si="48"/>
        <v>46.75</v>
      </c>
      <c r="K1029">
        <v>2</v>
      </c>
      <c r="L1029">
        <f t="shared" si="49"/>
        <v>44.75</v>
      </c>
      <c r="M1029" s="4">
        <f t="shared" si="50"/>
        <v>7.4583333333333335E-2</v>
      </c>
      <c r="N1029">
        <v>600</v>
      </c>
      <c r="O1029">
        <v>550</v>
      </c>
      <c r="P1029" t="s">
        <v>322</v>
      </c>
      <c r="Q1029" t="s">
        <v>333</v>
      </c>
      <c r="R1029" t="str">
        <f>IF(COUNTIF(Sheet2!B:B, A1029) &gt; 0, "Yes", "No")</f>
        <v>No</v>
      </c>
    </row>
    <row r="1030" spans="1:18" x14ac:dyDescent="0.25">
      <c r="A1030" s="3">
        <v>45232</v>
      </c>
      <c r="B1030" t="s">
        <v>386</v>
      </c>
      <c r="C1030" t="s">
        <v>66</v>
      </c>
      <c r="D1030" t="s">
        <v>20</v>
      </c>
      <c r="E1030" t="s">
        <v>67</v>
      </c>
      <c r="F1030" t="s">
        <v>49</v>
      </c>
      <c r="G1030" t="s">
        <v>50</v>
      </c>
      <c r="H1030" t="s">
        <v>49</v>
      </c>
      <c r="I1030">
        <v>0.09</v>
      </c>
      <c r="J1030">
        <f t="shared" si="48"/>
        <v>49.5</v>
      </c>
      <c r="K1030">
        <v>1</v>
      </c>
      <c r="L1030">
        <f t="shared" si="49"/>
        <v>48.5</v>
      </c>
      <c r="M1030" s="4">
        <f t="shared" si="50"/>
        <v>8.0833333333333326E-2</v>
      </c>
      <c r="N1030">
        <v>600</v>
      </c>
      <c r="O1030">
        <v>550</v>
      </c>
      <c r="P1030" t="s">
        <v>322</v>
      </c>
      <c r="Q1030" t="s">
        <v>333</v>
      </c>
      <c r="R1030" t="str">
        <f>IF(COUNTIF(Sheet2!B:B, A1030) &gt; 0, "Yes", "No")</f>
        <v>No</v>
      </c>
    </row>
    <row r="1031" spans="1:18" x14ac:dyDescent="0.25">
      <c r="A1031" s="3">
        <v>45233</v>
      </c>
      <c r="B1031" t="s">
        <v>386</v>
      </c>
      <c r="C1031" t="s">
        <v>79</v>
      </c>
      <c r="D1031" t="s">
        <v>20</v>
      </c>
      <c r="E1031" t="s">
        <v>21</v>
      </c>
      <c r="F1031" t="s">
        <v>22</v>
      </c>
      <c r="G1031" t="s">
        <v>52</v>
      </c>
      <c r="H1031" t="s">
        <v>53</v>
      </c>
      <c r="I1031">
        <v>8.5000000000000006E-2</v>
      </c>
      <c r="J1031">
        <f t="shared" si="48"/>
        <v>59.500000000000007</v>
      </c>
      <c r="K1031">
        <v>12</v>
      </c>
      <c r="L1031">
        <f t="shared" si="49"/>
        <v>47.500000000000007</v>
      </c>
      <c r="M1031" s="4">
        <f t="shared" si="50"/>
        <v>6.3333333333333339E-2</v>
      </c>
      <c r="N1031">
        <v>750</v>
      </c>
      <c r="O1031">
        <v>700</v>
      </c>
      <c r="P1031" t="s">
        <v>25</v>
      </c>
      <c r="Q1031" t="s">
        <v>26</v>
      </c>
      <c r="R1031" t="str">
        <f>IF(COUNTIF(Sheet2!B:B, A1031) &gt; 0, "Yes", "No")</f>
        <v>No</v>
      </c>
    </row>
    <row r="1032" spans="1:18" x14ac:dyDescent="0.25">
      <c r="A1032" s="3">
        <v>45233</v>
      </c>
      <c r="B1032" t="s">
        <v>386</v>
      </c>
      <c r="C1032" t="s">
        <v>79</v>
      </c>
      <c r="D1032" t="s">
        <v>20</v>
      </c>
      <c r="E1032" t="s">
        <v>21</v>
      </c>
      <c r="F1032" t="s">
        <v>27</v>
      </c>
      <c r="G1032" t="s">
        <v>28</v>
      </c>
      <c r="H1032" t="s">
        <v>387</v>
      </c>
      <c r="I1032">
        <v>0.11</v>
      </c>
      <c r="J1032">
        <f t="shared" si="48"/>
        <v>77</v>
      </c>
      <c r="K1032">
        <v>12</v>
      </c>
      <c r="L1032">
        <f t="shared" si="49"/>
        <v>65</v>
      </c>
      <c r="M1032" s="4">
        <f t="shared" si="50"/>
        <v>8.666666666666667E-2</v>
      </c>
      <c r="N1032">
        <v>750</v>
      </c>
      <c r="O1032">
        <v>700</v>
      </c>
      <c r="P1032" t="s">
        <v>25</v>
      </c>
      <c r="Q1032" t="s">
        <v>26</v>
      </c>
      <c r="R1032" t="str">
        <f>IF(COUNTIF(Sheet2!B:B, A1032) &gt; 0, "Yes", "No")</f>
        <v>No</v>
      </c>
    </row>
    <row r="1033" spans="1:18" x14ac:dyDescent="0.25">
      <c r="A1033" s="3">
        <v>45233</v>
      </c>
      <c r="B1033" t="s">
        <v>386</v>
      </c>
      <c r="C1033" t="s">
        <v>79</v>
      </c>
      <c r="D1033" t="s">
        <v>20</v>
      </c>
      <c r="E1033" t="s">
        <v>21</v>
      </c>
      <c r="F1033" t="s">
        <v>27</v>
      </c>
      <c r="G1033" t="s">
        <v>81</v>
      </c>
      <c r="H1033" t="s">
        <v>388</v>
      </c>
      <c r="I1033">
        <v>0.1</v>
      </c>
      <c r="J1033">
        <f t="shared" si="48"/>
        <v>70</v>
      </c>
      <c r="K1033">
        <v>0</v>
      </c>
      <c r="L1033">
        <f t="shared" si="49"/>
        <v>70</v>
      </c>
      <c r="M1033" s="4">
        <f t="shared" si="50"/>
        <v>9.3333333333333338E-2</v>
      </c>
      <c r="N1033">
        <v>750</v>
      </c>
      <c r="O1033">
        <v>700</v>
      </c>
      <c r="P1033" t="s">
        <v>25</v>
      </c>
      <c r="Q1033" t="s">
        <v>26</v>
      </c>
      <c r="R1033" t="str">
        <f>IF(COUNTIF(Sheet2!B:B, A1033) &gt; 0, "Yes", "No")</f>
        <v>No</v>
      </c>
    </row>
    <row r="1034" spans="1:18" x14ac:dyDescent="0.25">
      <c r="A1034" s="3">
        <v>45233</v>
      </c>
      <c r="B1034" t="s">
        <v>386</v>
      </c>
      <c r="C1034" t="s">
        <v>79</v>
      </c>
      <c r="D1034" t="s">
        <v>20</v>
      </c>
      <c r="E1034" t="s">
        <v>21</v>
      </c>
      <c r="F1034" t="s">
        <v>30</v>
      </c>
      <c r="G1034" t="s">
        <v>31</v>
      </c>
      <c r="H1034" t="s">
        <v>389</v>
      </c>
      <c r="I1034">
        <v>0.09</v>
      </c>
      <c r="J1034">
        <f t="shared" si="48"/>
        <v>63</v>
      </c>
      <c r="K1034">
        <v>3</v>
      </c>
      <c r="L1034">
        <f t="shared" si="49"/>
        <v>60</v>
      </c>
      <c r="M1034" s="4">
        <f t="shared" si="50"/>
        <v>0.08</v>
      </c>
      <c r="N1034">
        <v>750</v>
      </c>
      <c r="O1034">
        <v>700</v>
      </c>
      <c r="P1034" t="s">
        <v>25</v>
      </c>
      <c r="Q1034" t="s">
        <v>26</v>
      </c>
      <c r="R1034" t="str">
        <f>IF(COUNTIF(Sheet2!B:B, A1034) &gt; 0, "Yes", "No")</f>
        <v>No</v>
      </c>
    </row>
    <row r="1035" spans="1:18" x14ac:dyDescent="0.25">
      <c r="A1035" s="3">
        <v>45233</v>
      </c>
      <c r="B1035" t="s">
        <v>386</v>
      </c>
      <c r="C1035" t="s">
        <v>79</v>
      </c>
      <c r="D1035" t="s">
        <v>33</v>
      </c>
      <c r="E1035" t="s">
        <v>21</v>
      </c>
      <c r="F1035" t="s">
        <v>34</v>
      </c>
      <c r="G1035" t="s">
        <v>57</v>
      </c>
      <c r="H1035" t="s">
        <v>390</v>
      </c>
      <c r="I1035">
        <v>0.15</v>
      </c>
      <c r="J1035">
        <f t="shared" si="48"/>
        <v>52.5</v>
      </c>
      <c r="K1035">
        <v>0</v>
      </c>
      <c r="L1035">
        <f t="shared" si="49"/>
        <v>52.5</v>
      </c>
      <c r="M1035" s="4">
        <f t="shared" si="50"/>
        <v>0.1</v>
      </c>
      <c r="N1035">
        <v>525</v>
      </c>
      <c r="O1035">
        <v>350</v>
      </c>
      <c r="P1035" t="s">
        <v>25</v>
      </c>
      <c r="Q1035" t="s">
        <v>26</v>
      </c>
      <c r="R1035" t="str">
        <f>IF(COUNTIF(Sheet2!B:B, A1035) &gt; 0, "Yes", "No")</f>
        <v>No</v>
      </c>
    </row>
    <row r="1036" spans="1:18" x14ac:dyDescent="0.25">
      <c r="A1036" s="3">
        <v>45233</v>
      </c>
      <c r="B1036" t="s">
        <v>386</v>
      </c>
      <c r="C1036" t="s">
        <v>79</v>
      </c>
      <c r="D1036" t="s">
        <v>20</v>
      </c>
      <c r="E1036" t="s">
        <v>21</v>
      </c>
      <c r="F1036" t="s">
        <v>37</v>
      </c>
      <c r="G1036" t="s">
        <v>117</v>
      </c>
      <c r="H1036" t="s">
        <v>118</v>
      </c>
      <c r="I1036">
        <v>2.5000000000000001E-2</v>
      </c>
      <c r="J1036">
        <f t="shared" si="48"/>
        <v>17.5</v>
      </c>
      <c r="K1036">
        <v>7</v>
      </c>
      <c r="L1036">
        <f t="shared" si="49"/>
        <v>10.5</v>
      </c>
      <c r="M1036" s="4">
        <f t="shared" si="50"/>
        <v>1.4E-2</v>
      </c>
      <c r="N1036">
        <v>750</v>
      </c>
      <c r="O1036">
        <v>700</v>
      </c>
      <c r="P1036" t="s">
        <v>25</v>
      </c>
      <c r="Q1036" t="s">
        <v>26</v>
      </c>
      <c r="R1036" t="str">
        <f>IF(COUNTIF(Sheet2!B:B, A1036) &gt; 0, "Yes", "No")</f>
        <v>No</v>
      </c>
    </row>
    <row r="1037" spans="1:18" x14ac:dyDescent="0.25">
      <c r="A1037" s="3">
        <v>45233</v>
      </c>
      <c r="B1037" t="s">
        <v>386</v>
      </c>
      <c r="C1037" t="s">
        <v>79</v>
      </c>
      <c r="D1037" t="s">
        <v>20</v>
      </c>
      <c r="E1037" t="s">
        <v>21</v>
      </c>
      <c r="F1037" t="s">
        <v>40</v>
      </c>
      <c r="G1037" t="s">
        <v>364</v>
      </c>
      <c r="H1037" t="s">
        <v>391</v>
      </c>
      <c r="I1037">
        <v>0.04</v>
      </c>
      <c r="J1037">
        <f t="shared" si="48"/>
        <v>28</v>
      </c>
      <c r="K1037">
        <v>6</v>
      </c>
      <c r="L1037">
        <f t="shared" si="49"/>
        <v>22</v>
      </c>
      <c r="M1037" s="4">
        <f t="shared" si="50"/>
        <v>2.9333333333333333E-2</v>
      </c>
      <c r="N1037">
        <v>750</v>
      </c>
      <c r="O1037">
        <v>700</v>
      </c>
      <c r="P1037" t="s">
        <v>25</v>
      </c>
      <c r="Q1037" t="s">
        <v>26</v>
      </c>
      <c r="R1037" t="str">
        <f>IF(COUNTIF(Sheet2!B:B, A1037) &gt; 0, "Yes", "No")</f>
        <v>No</v>
      </c>
    </row>
    <row r="1038" spans="1:18" x14ac:dyDescent="0.25">
      <c r="A1038" s="3">
        <v>45233</v>
      </c>
      <c r="B1038" t="s">
        <v>386</v>
      </c>
      <c r="C1038" t="s">
        <v>79</v>
      </c>
      <c r="D1038" t="s">
        <v>20</v>
      </c>
      <c r="E1038" t="s">
        <v>21</v>
      </c>
      <c r="F1038" t="s">
        <v>43</v>
      </c>
      <c r="G1038" t="s">
        <v>90</v>
      </c>
      <c r="H1038" t="s">
        <v>392</v>
      </c>
      <c r="I1038">
        <v>0.11</v>
      </c>
      <c r="J1038">
        <f t="shared" si="48"/>
        <v>77</v>
      </c>
      <c r="K1038">
        <v>0</v>
      </c>
      <c r="L1038">
        <f t="shared" si="49"/>
        <v>77</v>
      </c>
      <c r="M1038" s="4">
        <f t="shared" si="50"/>
        <v>0.10266666666666667</v>
      </c>
      <c r="N1038">
        <v>750</v>
      </c>
      <c r="O1038">
        <v>700</v>
      </c>
      <c r="P1038" t="s">
        <v>25</v>
      </c>
      <c r="Q1038" t="s">
        <v>26</v>
      </c>
      <c r="R1038" t="str">
        <f>IF(COUNTIF(Sheet2!B:B, A1038) &gt; 0, "Yes", "No")</f>
        <v>No</v>
      </c>
    </row>
    <row r="1039" spans="1:18" x14ac:dyDescent="0.25">
      <c r="A1039" s="3">
        <v>45233</v>
      </c>
      <c r="B1039" t="s">
        <v>386</v>
      </c>
      <c r="C1039" t="s">
        <v>79</v>
      </c>
      <c r="D1039" t="s">
        <v>20</v>
      </c>
      <c r="E1039" t="s">
        <v>21</v>
      </c>
      <c r="F1039" t="s">
        <v>46</v>
      </c>
      <c r="G1039" t="s">
        <v>92</v>
      </c>
      <c r="H1039" t="s">
        <v>186</v>
      </c>
      <c r="I1039">
        <v>8.5000000000000006E-2</v>
      </c>
      <c r="J1039">
        <f t="shared" si="48"/>
        <v>59.500000000000007</v>
      </c>
      <c r="K1039">
        <v>14</v>
      </c>
      <c r="L1039">
        <f t="shared" si="49"/>
        <v>45.500000000000007</v>
      </c>
      <c r="M1039" s="4">
        <f t="shared" si="50"/>
        <v>6.0666666666666674E-2</v>
      </c>
      <c r="N1039">
        <v>750</v>
      </c>
      <c r="O1039">
        <v>700</v>
      </c>
      <c r="P1039" t="s">
        <v>25</v>
      </c>
      <c r="Q1039" t="s">
        <v>26</v>
      </c>
      <c r="R1039" t="str">
        <f>IF(COUNTIF(Sheet2!B:B, A1039) &gt; 0, "Yes", "No")</f>
        <v>No</v>
      </c>
    </row>
    <row r="1040" spans="1:18" x14ac:dyDescent="0.25">
      <c r="A1040" s="3">
        <v>45233</v>
      </c>
      <c r="B1040" t="s">
        <v>386</v>
      </c>
      <c r="C1040" t="s">
        <v>79</v>
      </c>
      <c r="D1040" t="s">
        <v>20</v>
      </c>
      <c r="E1040" t="s">
        <v>21</v>
      </c>
      <c r="F1040" t="s">
        <v>46</v>
      </c>
      <c r="G1040" t="s">
        <v>47</v>
      </c>
      <c r="H1040" t="s">
        <v>393</v>
      </c>
      <c r="I1040">
        <v>8.5000000000000006E-2</v>
      </c>
      <c r="J1040">
        <f t="shared" si="48"/>
        <v>59.500000000000007</v>
      </c>
      <c r="K1040">
        <v>0</v>
      </c>
      <c r="L1040">
        <f t="shared" si="49"/>
        <v>59.500000000000007</v>
      </c>
      <c r="M1040" s="4">
        <f t="shared" si="50"/>
        <v>7.9333333333333339E-2</v>
      </c>
      <c r="N1040">
        <v>750</v>
      </c>
      <c r="O1040">
        <v>700</v>
      </c>
      <c r="P1040" t="s">
        <v>25</v>
      </c>
      <c r="Q1040" t="s">
        <v>26</v>
      </c>
      <c r="R1040" t="str">
        <f>IF(COUNTIF(Sheet2!B:B, A1040) &gt; 0, "Yes", "No")</f>
        <v>No</v>
      </c>
    </row>
    <row r="1041" spans="1:18" x14ac:dyDescent="0.25">
      <c r="A1041" s="3">
        <v>45233</v>
      </c>
      <c r="B1041" t="s">
        <v>386</v>
      </c>
      <c r="C1041" t="s">
        <v>79</v>
      </c>
      <c r="D1041" t="s">
        <v>20</v>
      </c>
      <c r="E1041" t="s">
        <v>21</v>
      </c>
      <c r="F1041" t="s">
        <v>49</v>
      </c>
      <c r="G1041" t="s">
        <v>50</v>
      </c>
      <c r="H1041" t="s">
        <v>49</v>
      </c>
      <c r="I1041">
        <v>0.09</v>
      </c>
      <c r="J1041">
        <f t="shared" si="48"/>
        <v>63</v>
      </c>
      <c r="K1041">
        <v>15</v>
      </c>
      <c r="L1041">
        <f t="shared" si="49"/>
        <v>48</v>
      </c>
      <c r="M1041" s="4">
        <f t="shared" si="50"/>
        <v>6.4000000000000001E-2</v>
      </c>
      <c r="N1041">
        <v>750</v>
      </c>
      <c r="O1041">
        <v>700</v>
      </c>
      <c r="P1041" t="s">
        <v>25</v>
      </c>
      <c r="Q1041" t="s">
        <v>26</v>
      </c>
      <c r="R1041" t="str">
        <f>IF(COUNTIF(Sheet2!B:B, A1041) &gt; 0, "Yes", "No")</f>
        <v>No</v>
      </c>
    </row>
    <row r="1042" spans="1:18" x14ac:dyDescent="0.25">
      <c r="A1042" s="3">
        <v>45236</v>
      </c>
      <c r="B1042" t="s">
        <v>386</v>
      </c>
      <c r="C1042" t="s">
        <v>19</v>
      </c>
      <c r="D1042" t="s">
        <v>20</v>
      </c>
      <c r="E1042" t="s">
        <v>21</v>
      </c>
      <c r="F1042" t="s">
        <v>22</v>
      </c>
      <c r="G1042" t="s">
        <v>94</v>
      </c>
      <c r="H1042" t="s">
        <v>95</v>
      </c>
      <c r="I1042">
        <v>8.5000000000000006E-2</v>
      </c>
      <c r="J1042">
        <f t="shared" si="48"/>
        <v>46.75</v>
      </c>
      <c r="K1042">
        <v>4</v>
      </c>
      <c r="L1042">
        <f t="shared" si="49"/>
        <v>42.75</v>
      </c>
      <c r="M1042" s="4">
        <f t="shared" si="50"/>
        <v>7.1249999999999994E-2</v>
      </c>
      <c r="N1042">
        <v>600</v>
      </c>
      <c r="O1042">
        <v>550</v>
      </c>
      <c r="P1042" t="s">
        <v>25</v>
      </c>
      <c r="Q1042" t="s">
        <v>26</v>
      </c>
      <c r="R1042" t="str">
        <f>IF(COUNTIF(Sheet2!B:B, A1042) &gt; 0, "Yes", "No")</f>
        <v>No</v>
      </c>
    </row>
    <row r="1043" spans="1:18" x14ac:dyDescent="0.25">
      <c r="A1043" s="3">
        <v>45236</v>
      </c>
      <c r="B1043" t="s">
        <v>386</v>
      </c>
      <c r="C1043" t="s">
        <v>19</v>
      </c>
      <c r="D1043" t="s">
        <v>20</v>
      </c>
      <c r="E1043" t="s">
        <v>21</v>
      </c>
      <c r="F1043" t="s">
        <v>27</v>
      </c>
      <c r="G1043" t="s">
        <v>28</v>
      </c>
      <c r="H1043" t="s">
        <v>204</v>
      </c>
      <c r="I1043">
        <v>0.11</v>
      </c>
      <c r="J1043">
        <f t="shared" si="48"/>
        <v>60.5</v>
      </c>
      <c r="K1043">
        <v>3</v>
      </c>
      <c r="L1043">
        <f t="shared" si="49"/>
        <v>57.5</v>
      </c>
      <c r="M1043" s="4">
        <f t="shared" si="50"/>
        <v>9.583333333333334E-2</v>
      </c>
      <c r="N1043">
        <v>600</v>
      </c>
      <c r="O1043">
        <v>550</v>
      </c>
      <c r="P1043" t="s">
        <v>25</v>
      </c>
      <c r="Q1043" t="s">
        <v>26</v>
      </c>
      <c r="R1043" t="str">
        <f>IF(COUNTIF(Sheet2!B:B, A1043) &gt; 0, "Yes", "No")</f>
        <v>No</v>
      </c>
    </row>
    <row r="1044" spans="1:18" x14ac:dyDescent="0.25">
      <c r="A1044" s="3">
        <v>45236</v>
      </c>
      <c r="B1044" t="s">
        <v>386</v>
      </c>
      <c r="C1044" t="s">
        <v>19</v>
      </c>
      <c r="D1044" t="s">
        <v>20</v>
      </c>
      <c r="E1044" t="s">
        <v>21</v>
      </c>
      <c r="F1044" t="s">
        <v>30</v>
      </c>
      <c r="G1044" t="s">
        <v>31</v>
      </c>
      <c r="H1044" t="s">
        <v>172</v>
      </c>
      <c r="I1044">
        <v>0.09</v>
      </c>
      <c r="J1044">
        <f t="shared" si="48"/>
        <v>49.5</v>
      </c>
      <c r="K1044">
        <v>2</v>
      </c>
      <c r="L1044">
        <f t="shared" si="49"/>
        <v>47.5</v>
      </c>
      <c r="M1044" s="4">
        <f t="shared" si="50"/>
        <v>7.9166666666666663E-2</v>
      </c>
      <c r="N1044">
        <v>600</v>
      </c>
      <c r="O1044">
        <v>550</v>
      </c>
      <c r="P1044" t="s">
        <v>25</v>
      </c>
      <c r="Q1044" t="s">
        <v>26</v>
      </c>
      <c r="R1044" t="str">
        <f>IF(COUNTIF(Sheet2!B:B, A1044) &gt; 0, "Yes", "No")</f>
        <v>No</v>
      </c>
    </row>
    <row r="1045" spans="1:18" x14ac:dyDescent="0.25">
      <c r="A1045" s="3">
        <v>45236</v>
      </c>
      <c r="B1045" t="s">
        <v>386</v>
      </c>
      <c r="C1045" t="s">
        <v>19</v>
      </c>
      <c r="D1045" t="s">
        <v>33</v>
      </c>
      <c r="E1045" t="s">
        <v>21</v>
      </c>
      <c r="F1045" t="s">
        <v>34</v>
      </c>
      <c r="G1045" t="s">
        <v>57</v>
      </c>
      <c r="H1045" t="s">
        <v>351</v>
      </c>
      <c r="I1045">
        <v>0.15</v>
      </c>
      <c r="J1045">
        <f t="shared" si="48"/>
        <v>41.25</v>
      </c>
      <c r="K1045">
        <v>0</v>
      </c>
      <c r="L1045">
        <f t="shared" si="49"/>
        <v>41.25</v>
      </c>
      <c r="M1045" s="4">
        <f t="shared" si="50"/>
        <v>0.13750000000000001</v>
      </c>
      <c r="N1045">
        <v>300</v>
      </c>
      <c r="O1045">
        <v>275</v>
      </c>
      <c r="P1045" t="s">
        <v>25</v>
      </c>
      <c r="Q1045" t="s">
        <v>26</v>
      </c>
      <c r="R1045" t="str">
        <f>IF(COUNTIF(Sheet2!B:B, A1045) &gt; 0, "Yes", "No")</f>
        <v>No</v>
      </c>
    </row>
    <row r="1046" spans="1:18" x14ac:dyDescent="0.25">
      <c r="A1046" s="3">
        <v>45236</v>
      </c>
      <c r="B1046" t="s">
        <v>386</v>
      </c>
      <c r="C1046" t="s">
        <v>19</v>
      </c>
      <c r="D1046" t="s">
        <v>20</v>
      </c>
      <c r="E1046" t="s">
        <v>21</v>
      </c>
      <c r="F1046" t="s">
        <v>37</v>
      </c>
      <c r="G1046" t="s">
        <v>117</v>
      </c>
      <c r="H1046" t="s">
        <v>118</v>
      </c>
      <c r="I1046">
        <v>0.03</v>
      </c>
      <c r="J1046">
        <f t="shared" si="48"/>
        <v>16.5</v>
      </c>
      <c r="K1046">
        <v>2.5</v>
      </c>
      <c r="L1046">
        <f t="shared" si="49"/>
        <v>14</v>
      </c>
      <c r="M1046" s="4">
        <f t="shared" si="50"/>
        <v>2.3333333333333334E-2</v>
      </c>
      <c r="N1046">
        <v>600</v>
      </c>
      <c r="O1046">
        <v>550</v>
      </c>
      <c r="P1046" t="s">
        <v>25</v>
      </c>
      <c r="Q1046" t="s">
        <v>26</v>
      </c>
      <c r="R1046" t="str">
        <f>IF(COUNTIF(Sheet2!B:B, A1046) &gt; 0, "Yes", "No")</f>
        <v>No</v>
      </c>
    </row>
    <row r="1047" spans="1:18" x14ac:dyDescent="0.25">
      <c r="A1047" s="3">
        <v>45236</v>
      </c>
      <c r="B1047" t="s">
        <v>386</v>
      </c>
      <c r="C1047" t="s">
        <v>19</v>
      </c>
      <c r="D1047" t="s">
        <v>20</v>
      </c>
      <c r="E1047" t="s">
        <v>21</v>
      </c>
      <c r="F1047" t="s">
        <v>40</v>
      </c>
      <c r="G1047" t="s">
        <v>164</v>
      </c>
      <c r="H1047" t="s">
        <v>193</v>
      </c>
      <c r="I1047">
        <v>4.4999999999999998E-2</v>
      </c>
      <c r="J1047">
        <f t="shared" si="48"/>
        <v>24.75</v>
      </c>
      <c r="K1047">
        <v>2.5</v>
      </c>
      <c r="L1047">
        <f t="shared" si="49"/>
        <v>22.25</v>
      </c>
      <c r="M1047" s="4">
        <f t="shared" si="50"/>
        <v>3.7083333333333336E-2</v>
      </c>
      <c r="N1047">
        <v>600</v>
      </c>
      <c r="O1047">
        <v>550</v>
      </c>
      <c r="P1047" t="s">
        <v>25</v>
      </c>
      <c r="Q1047" t="s">
        <v>26</v>
      </c>
      <c r="R1047" t="str">
        <f>IF(COUNTIF(Sheet2!B:B, A1047) &gt; 0, "Yes", "No")</f>
        <v>No</v>
      </c>
    </row>
    <row r="1048" spans="1:18" x14ac:dyDescent="0.25">
      <c r="A1048" s="3">
        <v>45236</v>
      </c>
      <c r="B1048" t="s">
        <v>386</v>
      </c>
      <c r="C1048" t="s">
        <v>19</v>
      </c>
      <c r="D1048" t="s">
        <v>20</v>
      </c>
      <c r="E1048" t="s">
        <v>21</v>
      </c>
      <c r="F1048" t="s">
        <v>43</v>
      </c>
      <c r="G1048" t="s">
        <v>44</v>
      </c>
      <c r="H1048" t="s">
        <v>153</v>
      </c>
      <c r="I1048">
        <v>0.11</v>
      </c>
      <c r="J1048">
        <f t="shared" si="48"/>
        <v>60.5</v>
      </c>
      <c r="K1048">
        <v>1</v>
      </c>
      <c r="L1048">
        <f t="shared" si="49"/>
        <v>59.5</v>
      </c>
      <c r="M1048" s="4">
        <f t="shared" si="50"/>
        <v>9.9166666666666667E-2</v>
      </c>
      <c r="N1048">
        <v>600</v>
      </c>
      <c r="O1048">
        <v>550</v>
      </c>
      <c r="P1048" t="s">
        <v>25</v>
      </c>
      <c r="Q1048" t="s">
        <v>26</v>
      </c>
      <c r="R1048" t="str">
        <f>IF(COUNTIF(Sheet2!B:B, A1048) &gt; 0, "Yes", "No")</f>
        <v>No</v>
      </c>
    </row>
    <row r="1049" spans="1:18" x14ac:dyDescent="0.25">
      <c r="A1049" s="3">
        <v>45236</v>
      </c>
      <c r="B1049" t="s">
        <v>386</v>
      </c>
      <c r="C1049" t="s">
        <v>19</v>
      </c>
      <c r="D1049" t="s">
        <v>20</v>
      </c>
      <c r="E1049" t="s">
        <v>21</v>
      </c>
      <c r="F1049" t="s">
        <v>46</v>
      </c>
      <c r="G1049" t="s">
        <v>111</v>
      </c>
      <c r="H1049" t="s">
        <v>173</v>
      </c>
      <c r="I1049">
        <v>8.5000000000000006E-2</v>
      </c>
      <c r="J1049">
        <f t="shared" si="48"/>
        <v>46.75</v>
      </c>
      <c r="K1049">
        <v>0.5</v>
      </c>
      <c r="L1049">
        <f t="shared" si="49"/>
        <v>46.25</v>
      </c>
      <c r="M1049" s="4">
        <f t="shared" si="50"/>
        <v>7.7083333333333337E-2</v>
      </c>
      <c r="N1049">
        <v>600</v>
      </c>
      <c r="O1049">
        <v>550</v>
      </c>
      <c r="P1049" t="s">
        <v>25</v>
      </c>
      <c r="Q1049" t="s">
        <v>26</v>
      </c>
      <c r="R1049" t="str">
        <f>IF(COUNTIF(Sheet2!B:B, A1049) &gt; 0, "Yes", "No")</f>
        <v>No</v>
      </c>
    </row>
    <row r="1050" spans="1:18" x14ac:dyDescent="0.25">
      <c r="A1050" s="3">
        <v>45236</v>
      </c>
      <c r="B1050" t="s">
        <v>386</v>
      </c>
      <c r="C1050" t="s">
        <v>19</v>
      </c>
      <c r="D1050" t="s">
        <v>20</v>
      </c>
      <c r="E1050" t="s">
        <v>21</v>
      </c>
      <c r="F1050" t="s">
        <v>49</v>
      </c>
      <c r="G1050" t="s">
        <v>50</v>
      </c>
      <c r="H1050" t="s">
        <v>49</v>
      </c>
      <c r="I1050">
        <v>0.09</v>
      </c>
      <c r="J1050">
        <f t="shared" si="48"/>
        <v>49.5</v>
      </c>
      <c r="K1050">
        <v>2</v>
      </c>
      <c r="L1050">
        <f t="shared" si="49"/>
        <v>47.5</v>
      </c>
      <c r="M1050" s="4">
        <f t="shared" si="50"/>
        <v>7.9166666666666663E-2</v>
      </c>
      <c r="N1050">
        <v>600</v>
      </c>
      <c r="O1050">
        <v>550</v>
      </c>
      <c r="P1050" t="s">
        <v>25</v>
      </c>
      <c r="Q1050" t="s">
        <v>26</v>
      </c>
      <c r="R1050" t="str">
        <f>IF(COUNTIF(Sheet2!B:B, A1050) &gt; 0, "Yes", "No")</f>
        <v>No</v>
      </c>
    </row>
    <row r="1051" spans="1:18" x14ac:dyDescent="0.25">
      <c r="A1051" s="3">
        <v>45237</v>
      </c>
      <c r="B1051" t="s">
        <v>386</v>
      </c>
      <c r="C1051" t="s">
        <v>105</v>
      </c>
      <c r="D1051" t="s">
        <v>20</v>
      </c>
      <c r="E1051" t="s">
        <v>67</v>
      </c>
      <c r="F1051" t="s">
        <v>22</v>
      </c>
      <c r="G1051" t="s">
        <v>52</v>
      </c>
      <c r="H1051" t="s">
        <v>353</v>
      </c>
      <c r="I1051">
        <v>8.5000000000000006E-2</v>
      </c>
      <c r="J1051">
        <f t="shared" si="48"/>
        <v>42.5</v>
      </c>
      <c r="K1051">
        <v>0.5</v>
      </c>
      <c r="L1051">
        <f t="shared" si="49"/>
        <v>42</v>
      </c>
      <c r="M1051" s="4">
        <f t="shared" si="50"/>
        <v>7.636363636363637E-2</v>
      </c>
      <c r="N1051">
        <v>550</v>
      </c>
      <c r="O1051">
        <v>500</v>
      </c>
      <c r="P1051" t="s">
        <v>25</v>
      </c>
      <c r="Q1051" t="s">
        <v>26</v>
      </c>
      <c r="R1051" t="str">
        <f>IF(COUNTIF(Sheet2!B:B, A1051) &gt; 0, "Yes", "No")</f>
        <v>No</v>
      </c>
    </row>
    <row r="1052" spans="1:18" x14ac:dyDescent="0.25">
      <c r="A1052" s="3">
        <v>45237</v>
      </c>
      <c r="B1052" t="s">
        <v>386</v>
      </c>
      <c r="C1052" t="s">
        <v>105</v>
      </c>
      <c r="D1052" t="s">
        <v>20</v>
      </c>
      <c r="E1052" t="s">
        <v>67</v>
      </c>
      <c r="F1052" t="s">
        <v>27</v>
      </c>
      <c r="G1052" t="s">
        <v>115</v>
      </c>
      <c r="H1052" t="s">
        <v>115</v>
      </c>
      <c r="I1052">
        <v>0.11</v>
      </c>
      <c r="J1052">
        <f t="shared" si="48"/>
        <v>55</v>
      </c>
      <c r="K1052">
        <v>4</v>
      </c>
      <c r="L1052">
        <f t="shared" si="49"/>
        <v>51</v>
      </c>
      <c r="M1052" s="4">
        <f t="shared" si="50"/>
        <v>9.2727272727272728E-2</v>
      </c>
      <c r="N1052">
        <v>550</v>
      </c>
      <c r="O1052">
        <v>500</v>
      </c>
      <c r="P1052" t="s">
        <v>25</v>
      </c>
      <c r="Q1052" t="s">
        <v>26</v>
      </c>
      <c r="R1052" t="str">
        <f>IF(COUNTIF(Sheet2!B:B, A1052) &gt; 0, "Yes", "No")</f>
        <v>No</v>
      </c>
    </row>
    <row r="1053" spans="1:18" x14ac:dyDescent="0.25">
      <c r="A1053" s="3">
        <v>45237</v>
      </c>
      <c r="B1053" t="s">
        <v>386</v>
      </c>
      <c r="C1053" t="s">
        <v>105</v>
      </c>
      <c r="D1053" t="s">
        <v>20</v>
      </c>
      <c r="E1053" t="s">
        <v>67</v>
      </c>
      <c r="F1053" t="s">
        <v>30</v>
      </c>
      <c r="G1053" t="s">
        <v>354</v>
      </c>
      <c r="H1053" t="s">
        <v>355</v>
      </c>
      <c r="I1053">
        <v>0.09</v>
      </c>
      <c r="J1053">
        <f t="shared" si="48"/>
        <v>45</v>
      </c>
      <c r="K1053">
        <v>1</v>
      </c>
      <c r="L1053">
        <f t="shared" si="49"/>
        <v>44</v>
      </c>
      <c r="M1053" s="4">
        <f t="shared" si="50"/>
        <v>0.08</v>
      </c>
      <c r="N1053">
        <v>550</v>
      </c>
      <c r="O1053">
        <v>500</v>
      </c>
      <c r="P1053" t="s">
        <v>25</v>
      </c>
      <c r="Q1053" t="s">
        <v>26</v>
      </c>
      <c r="R1053" t="str">
        <f>IF(COUNTIF(Sheet2!B:B, A1053) &gt; 0, "Yes", "No")</f>
        <v>No</v>
      </c>
    </row>
    <row r="1054" spans="1:18" x14ac:dyDescent="0.25">
      <c r="A1054" s="3">
        <v>45237</v>
      </c>
      <c r="B1054" t="s">
        <v>386</v>
      </c>
      <c r="C1054" t="s">
        <v>105</v>
      </c>
      <c r="D1054" t="s">
        <v>20</v>
      </c>
      <c r="E1054" t="s">
        <v>67</v>
      </c>
      <c r="F1054" t="s">
        <v>37</v>
      </c>
      <c r="G1054" t="s">
        <v>108</v>
      </c>
      <c r="H1054" t="s">
        <v>266</v>
      </c>
      <c r="I1054">
        <v>3.5000000000000003E-2</v>
      </c>
      <c r="J1054">
        <f t="shared" si="48"/>
        <v>17.5</v>
      </c>
      <c r="K1054">
        <v>0.5</v>
      </c>
      <c r="L1054">
        <f t="shared" si="49"/>
        <v>17</v>
      </c>
      <c r="M1054" s="4">
        <f t="shared" si="50"/>
        <v>3.090909090909091E-2</v>
      </c>
      <c r="N1054">
        <v>550</v>
      </c>
      <c r="O1054">
        <v>500</v>
      </c>
      <c r="P1054" t="s">
        <v>25</v>
      </c>
      <c r="Q1054" t="s">
        <v>26</v>
      </c>
      <c r="R1054" t="str">
        <f>IF(COUNTIF(Sheet2!B:B, A1054) &gt; 0, "Yes", "No")</f>
        <v>No</v>
      </c>
    </row>
    <row r="1055" spans="1:18" x14ac:dyDescent="0.25">
      <c r="A1055" s="3">
        <v>45237</v>
      </c>
      <c r="B1055" t="s">
        <v>386</v>
      </c>
      <c r="C1055" t="s">
        <v>105</v>
      </c>
      <c r="D1055" t="s">
        <v>20</v>
      </c>
      <c r="E1055" t="s">
        <v>67</v>
      </c>
      <c r="F1055" t="s">
        <v>40</v>
      </c>
      <c r="G1055" t="s">
        <v>164</v>
      </c>
      <c r="H1055" t="s">
        <v>202</v>
      </c>
      <c r="I1055">
        <v>0.05</v>
      </c>
      <c r="J1055">
        <f t="shared" si="48"/>
        <v>25</v>
      </c>
      <c r="K1055">
        <v>1.5</v>
      </c>
      <c r="L1055">
        <f t="shared" si="49"/>
        <v>23.5</v>
      </c>
      <c r="M1055" s="4">
        <f t="shared" si="50"/>
        <v>4.2727272727272725E-2</v>
      </c>
      <c r="N1055">
        <v>550</v>
      </c>
      <c r="O1055">
        <v>500</v>
      </c>
      <c r="P1055" t="s">
        <v>25</v>
      </c>
      <c r="Q1055" t="s">
        <v>26</v>
      </c>
      <c r="R1055" t="str">
        <f>IF(COUNTIF(Sheet2!B:B, A1055) &gt; 0, "Yes", "No")</f>
        <v>No</v>
      </c>
    </row>
    <row r="1056" spans="1:18" x14ac:dyDescent="0.25">
      <c r="A1056" s="3">
        <v>45237</v>
      </c>
      <c r="B1056" t="s">
        <v>386</v>
      </c>
      <c r="C1056" t="s">
        <v>105</v>
      </c>
      <c r="D1056" t="s">
        <v>20</v>
      </c>
      <c r="E1056" t="s">
        <v>67</v>
      </c>
      <c r="F1056" t="s">
        <v>43</v>
      </c>
      <c r="G1056" t="s">
        <v>90</v>
      </c>
      <c r="H1056" t="s">
        <v>356</v>
      </c>
      <c r="I1056">
        <v>0.11</v>
      </c>
      <c r="J1056">
        <f t="shared" si="48"/>
        <v>55</v>
      </c>
      <c r="K1056">
        <v>3.5</v>
      </c>
      <c r="L1056">
        <f t="shared" si="49"/>
        <v>51.5</v>
      </c>
      <c r="M1056" s="4">
        <f t="shared" si="50"/>
        <v>9.3636363636363643E-2</v>
      </c>
      <c r="N1056">
        <v>550</v>
      </c>
      <c r="O1056">
        <v>500</v>
      </c>
      <c r="P1056" t="s">
        <v>25</v>
      </c>
      <c r="Q1056" t="s">
        <v>26</v>
      </c>
      <c r="R1056" t="str">
        <f>IF(COUNTIF(Sheet2!B:B, A1056) &gt; 0, "Yes", "No")</f>
        <v>No</v>
      </c>
    </row>
    <row r="1057" spans="1:18" x14ac:dyDescent="0.25">
      <c r="A1057" s="3">
        <v>45237</v>
      </c>
      <c r="B1057" t="s">
        <v>386</v>
      </c>
      <c r="C1057" t="s">
        <v>105</v>
      </c>
      <c r="D1057" t="s">
        <v>20</v>
      </c>
      <c r="E1057" t="s">
        <v>67</v>
      </c>
      <c r="F1057" t="s">
        <v>46</v>
      </c>
      <c r="G1057" t="s">
        <v>92</v>
      </c>
      <c r="H1057" t="s">
        <v>374</v>
      </c>
      <c r="I1057">
        <v>8.5000000000000006E-2</v>
      </c>
      <c r="J1057">
        <f t="shared" si="48"/>
        <v>42.5</v>
      </c>
      <c r="K1057">
        <v>2.5</v>
      </c>
      <c r="L1057">
        <f t="shared" si="49"/>
        <v>40</v>
      </c>
      <c r="M1057" s="4">
        <f t="shared" si="50"/>
        <v>7.2727272727272724E-2</v>
      </c>
      <c r="N1057">
        <v>550</v>
      </c>
      <c r="O1057">
        <v>500</v>
      </c>
      <c r="P1057" t="s">
        <v>25</v>
      </c>
      <c r="Q1057" t="s">
        <v>26</v>
      </c>
      <c r="R1057" t="str">
        <f>IF(COUNTIF(Sheet2!B:B, A1057) &gt; 0, "Yes", "No")</f>
        <v>No</v>
      </c>
    </row>
    <row r="1058" spans="1:18" x14ac:dyDescent="0.25">
      <c r="A1058" s="3">
        <v>45237</v>
      </c>
      <c r="B1058" t="s">
        <v>386</v>
      </c>
      <c r="C1058" t="s">
        <v>105</v>
      </c>
      <c r="D1058" t="s">
        <v>20</v>
      </c>
      <c r="E1058" t="s">
        <v>67</v>
      </c>
      <c r="F1058" t="s">
        <v>49</v>
      </c>
      <c r="G1058" t="s">
        <v>50</v>
      </c>
      <c r="H1058" t="s">
        <v>49</v>
      </c>
      <c r="I1058">
        <v>0.09</v>
      </c>
      <c r="J1058">
        <f t="shared" si="48"/>
        <v>45</v>
      </c>
      <c r="K1058">
        <v>0.5</v>
      </c>
      <c r="L1058">
        <f t="shared" si="49"/>
        <v>44.5</v>
      </c>
      <c r="M1058" s="4">
        <f t="shared" si="50"/>
        <v>8.0909090909090903E-2</v>
      </c>
      <c r="N1058">
        <v>550</v>
      </c>
      <c r="O1058">
        <v>500</v>
      </c>
      <c r="P1058" t="s">
        <v>25</v>
      </c>
      <c r="Q1058" t="s">
        <v>26</v>
      </c>
      <c r="R1058" t="str">
        <f>IF(COUNTIF(Sheet2!B:B, A1058) &gt; 0, "Yes", "No")</f>
        <v>No</v>
      </c>
    </row>
    <row r="1059" spans="1:18" x14ac:dyDescent="0.25">
      <c r="A1059" s="3">
        <v>45238</v>
      </c>
      <c r="B1059" t="s">
        <v>386</v>
      </c>
      <c r="C1059" t="s">
        <v>51</v>
      </c>
      <c r="D1059" t="s">
        <v>20</v>
      </c>
      <c r="E1059" t="s">
        <v>21</v>
      </c>
      <c r="F1059" t="s">
        <v>22</v>
      </c>
      <c r="G1059" t="s">
        <v>122</v>
      </c>
      <c r="H1059" t="s">
        <v>260</v>
      </c>
      <c r="I1059">
        <v>8.5000000000000006E-2</v>
      </c>
      <c r="J1059">
        <f t="shared" si="48"/>
        <v>45.050000000000004</v>
      </c>
      <c r="K1059">
        <v>5.5</v>
      </c>
      <c r="L1059">
        <f t="shared" si="49"/>
        <v>39.550000000000004</v>
      </c>
      <c r="M1059" s="4">
        <f t="shared" si="50"/>
        <v>6.5916666666666679E-2</v>
      </c>
      <c r="N1059">
        <v>600</v>
      </c>
      <c r="O1059">
        <v>530</v>
      </c>
      <c r="P1059" t="s">
        <v>25</v>
      </c>
      <c r="Q1059" t="s">
        <v>26</v>
      </c>
      <c r="R1059" t="str">
        <f>IF(COUNTIF(Sheet2!B:B, A1059) &gt; 0, "Yes", "No")</f>
        <v>No</v>
      </c>
    </row>
    <row r="1060" spans="1:18" x14ac:dyDescent="0.25">
      <c r="A1060" s="3">
        <v>45238</v>
      </c>
      <c r="B1060" t="s">
        <v>386</v>
      </c>
      <c r="C1060" t="s">
        <v>51</v>
      </c>
      <c r="D1060" t="s">
        <v>20</v>
      </c>
      <c r="E1060" t="s">
        <v>21</v>
      </c>
      <c r="F1060" t="s">
        <v>27</v>
      </c>
      <c r="G1060" t="s">
        <v>28</v>
      </c>
      <c r="H1060" t="s">
        <v>357</v>
      </c>
      <c r="I1060">
        <v>0.11</v>
      </c>
      <c r="J1060">
        <f t="shared" si="48"/>
        <v>58.3</v>
      </c>
      <c r="K1060">
        <v>3</v>
      </c>
      <c r="L1060">
        <f t="shared" si="49"/>
        <v>55.3</v>
      </c>
      <c r="M1060" s="4">
        <f t="shared" si="50"/>
        <v>9.2166666666666661E-2</v>
      </c>
      <c r="N1060">
        <v>600</v>
      </c>
      <c r="O1060">
        <v>530</v>
      </c>
      <c r="P1060" t="s">
        <v>25</v>
      </c>
      <c r="Q1060" t="s">
        <v>26</v>
      </c>
      <c r="R1060" t="str">
        <f>IF(COUNTIF(Sheet2!B:B, A1060) &gt; 0, "Yes", "No")</f>
        <v>No</v>
      </c>
    </row>
    <row r="1061" spans="1:18" x14ac:dyDescent="0.25">
      <c r="A1061" s="3">
        <v>45238</v>
      </c>
      <c r="B1061" t="s">
        <v>386</v>
      </c>
      <c r="C1061" t="s">
        <v>51</v>
      </c>
      <c r="D1061" t="s">
        <v>20</v>
      </c>
      <c r="E1061" t="s">
        <v>21</v>
      </c>
      <c r="F1061" t="s">
        <v>30</v>
      </c>
      <c r="G1061" t="s">
        <v>31</v>
      </c>
      <c r="H1061" t="s">
        <v>31</v>
      </c>
      <c r="I1061">
        <v>0.09</v>
      </c>
      <c r="J1061">
        <f t="shared" si="48"/>
        <v>47.699999999999996</v>
      </c>
      <c r="K1061">
        <v>1.5</v>
      </c>
      <c r="L1061">
        <f t="shared" si="49"/>
        <v>46.199999999999996</v>
      </c>
      <c r="M1061" s="4">
        <f t="shared" si="50"/>
        <v>7.6999999999999999E-2</v>
      </c>
      <c r="N1061">
        <v>600</v>
      </c>
      <c r="O1061">
        <v>530</v>
      </c>
      <c r="P1061" t="s">
        <v>25</v>
      </c>
      <c r="Q1061" t="s">
        <v>26</v>
      </c>
      <c r="R1061" t="str">
        <f>IF(COUNTIF(Sheet2!B:B, A1061) &gt; 0, "Yes", "No")</f>
        <v>No</v>
      </c>
    </row>
    <row r="1062" spans="1:18" x14ac:dyDescent="0.25">
      <c r="A1062" s="3">
        <v>45238</v>
      </c>
      <c r="B1062" t="s">
        <v>386</v>
      </c>
      <c r="C1062" t="s">
        <v>51</v>
      </c>
      <c r="D1062" t="s">
        <v>33</v>
      </c>
      <c r="E1062" t="s">
        <v>21</v>
      </c>
      <c r="F1062" t="s">
        <v>34</v>
      </c>
      <c r="G1062" t="s">
        <v>57</v>
      </c>
      <c r="H1062" t="s">
        <v>314</v>
      </c>
      <c r="I1062">
        <v>0.15</v>
      </c>
      <c r="J1062">
        <f t="shared" si="48"/>
        <v>47.699999999999996</v>
      </c>
      <c r="K1062">
        <v>0</v>
      </c>
      <c r="L1062">
        <f t="shared" si="49"/>
        <v>47.699999999999996</v>
      </c>
      <c r="M1062" s="4">
        <f t="shared" si="50"/>
        <v>0.13249999999999998</v>
      </c>
      <c r="N1062">
        <v>360</v>
      </c>
      <c r="O1062">
        <v>318</v>
      </c>
      <c r="P1062" t="s">
        <v>25</v>
      </c>
      <c r="Q1062" t="s">
        <v>26</v>
      </c>
      <c r="R1062" t="str">
        <f>IF(COUNTIF(Sheet2!B:B, A1062) &gt; 0, "Yes", "No")</f>
        <v>No</v>
      </c>
    </row>
    <row r="1063" spans="1:18" x14ac:dyDescent="0.25">
      <c r="A1063" s="3">
        <v>45238</v>
      </c>
      <c r="B1063" t="s">
        <v>386</v>
      </c>
      <c r="C1063" t="s">
        <v>51</v>
      </c>
      <c r="D1063" t="s">
        <v>20</v>
      </c>
      <c r="E1063" t="s">
        <v>21</v>
      </c>
      <c r="F1063" t="s">
        <v>37</v>
      </c>
      <c r="G1063" t="s">
        <v>87</v>
      </c>
      <c r="H1063" t="s">
        <v>99</v>
      </c>
      <c r="I1063">
        <v>0.03</v>
      </c>
      <c r="J1063">
        <f t="shared" si="48"/>
        <v>15.899999999999999</v>
      </c>
      <c r="K1063">
        <v>2.5</v>
      </c>
      <c r="L1063">
        <f t="shared" si="49"/>
        <v>13.399999999999999</v>
      </c>
      <c r="M1063" s="4">
        <f t="shared" si="50"/>
        <v>2.233333333333333E-2</v>
      </c>
      <c r="N1063">
        <v>600</v>
      </c>
      <c r="O1063">
        <v>530</v>
      </c>
      <c r="P1063" t="s">
        <v>25</v>
      </c>
      <c r="Q1063" t="s">
        <v>26</v>
      </c>
      <c r="R1063" t="str">
        <f>IF(COUNTIF(Sheet2!B:B, A1063) &gt; 0, "Yes", "No")</f>
        <v>No</v>
      </c>
    </row>
    <row r="1064" spans="1:18" x14ac:dyDescent="0.25">
      <c r="A1064" s="3">
        <v>45238</v>
      </c>
      <c r="B1064" t="s">
        <v>386</v>
      </c>
      <c r="C1064" t="s">
        <v>51</v>
      </c>
      <c r="D1064" t="s">
        <v>20</v>
      </c>
      <c r="E1064" t="s">
        <v>21</v>
      </c>
      <c r="F1064" t="s">
        <v>40</v>
      </c>
      <c r="G1064" t="s">
        <v>127</v>
      </c>
      <c r="H1064" t="s">
        <v>358</v>
      </c>
      <c r="I1064">
        <v>4.4999999999999998E-2</v>
      </c>
      <c r="J1064">
        <f t="shared" si="48"/>
        <v>23.849999999999998</v>
      </c>
      <c r="K1064">
        <v>3.5</v>
      </c>
      <c r="L1064">
        <f t="shared" si="49"/>
        <v>20.349999999999998</v>
      </c>
      <c r="M1064" s="4">
        <f t="shared" si="50"/>
        <v>3.3916666666666664E-2</v>
      </c>
      <c r="N1064">
        <v>600</v>
      </c>
      <c r="O1064">
        <v>530</v>
      </c>
      <c r="P1064" t="s">
        <v>25</v>
      </c>
      <c r="Q1064" t="s">
        <v>26</v>
      </c>
      <c r="R1064" t="str">
        <f>IF(COUNTIF(Sheet2!B:B, A1064) &gt; 0, "Yes", "No")</f>
        <v>No</v>
      </c>
    </row>
    <row r="1065" spans="1:18" x14ac:dyDescent="0.25">
      <c r="A1065" s="3">
        <v>45238</v>
      </c>
      <c r="B1065" t="s">
        <v>386</v>
      </c>
      <c r="C1065" t="s">
        <v>51</v>
      </c>
      <c r="D1065" t="s">
        <v>20</v>
      </c>
      <c r="E1065" t="s">
        <v>21</v>
      </c>
      <c r="F1065" t="s">
        <v>43</v>
      </c>
      <c r="G1065" t="s">
        <v>111</v>
      </c>
      <c r="H1065" t="s">
        <v>112</v>
      </c>
      <c r="I1065">
        <v>0.11</v>
      </c>
      <c r="J1065">
        <f t="shared" si="48"/>
        <v>58.3</v>
      </c>
      <c r="K1065">
        <v>3</v>
      </c>
      <c r="L1065">
        <f t="shared" si="49"/>
        <v>55.3</v>
      </c>
      <c r="M1065" s="4">
        <f t="shared" si="50"/>
        <v>9.2166666666666661E-2</v>
      </c>
      <c r="N1065">
        <v>600</v>
      </c>
      <c r="O1065">
        <v>530</v>
      </c>
      <c r="P1065" t="s">
        <v>25</v>
      </c>
      <c r="Q1065" t="s">
        <v>26</v>
      </c>
      <c r="R1065" t="str">
        <f>IF(COUNTIF(Sheet2!B:B, A1065) &gt; 0, "Yes", "No")</f>
        <v>No</v>
      </c>
    </row>
    <row r="1066" spans="1:18" x14ac:dyDescent="0.25">
      <c r="A1066" s="3">
        <v>45238</v>
      </c>
      <c r="B1066" t="s">
        <v>386</v>
      </c>
      <c r="C1066" t="s">
        <v>51</v>
      </c>
      <c r="D1066" t="s">
        <v>20</v>
      </c>
      <c r="E1066" t="s">
        <v>21</v>
      </c>
      <c r="F1066" t="s">
        <v>46</v>
      </c>
      <c r="G1066" t="s">
        <v>47</v>
      </c>
      <c r="H1066" t="s">
        <v>350</v>
      </c>
      <c r="I1066">
        <v>8.5000000000000006E-2</v>
      </c>
      <c r="J1066">
        <f t="shared" si="48"/>
        <v>45.050000000000004</v>
      </c>
      <c r="K1066">
        <v>0</v>
      </c>
      <c r="L1066">
        <f t="shared" si="49"/>
        <v>45.050000000000004</v>
      </c>
      <c r="M1066" s="4">
        <f t="shared" si="50"/>
        <v>7.5083333333333335E-2</v>
      </c>
      <c r="N1066">
        <v>600</v>
      </c>
      <c r="O1066">
        <v>530</v>
      </c>
      <c r="P1066" t="s">
        <v>25</v>
      </c>
      <c r="Q1066" t="s">
        <v>26</v>
      </c>
      <c r="R1066" t="str">
        <f>IF(COUNTIF(Sheet2!B:B, A1066) &gt; 0, "Yes", "No")</f>
        <v>No</v>
      </c>
    </row>
    <row r="1067" spans="1:18" x14ac:dyDescent="0.25">
      <c r="A1067" s="3">
        <v>45238</v>
      </c>
      <c r="B1067" t="s">
        <v>386</v>
      </c>
      <c r="C1067" t="s">
        <v>51</v>
      </c>
      <c r="D1067" t="s">
        <v>20</v>
      </c>
      <c r="E1067" t="s">
        <v>21</v>
      </c>
      <c r="F1067" t="s">
        <v>49</v>
      </c>
      <c r="G1067" t="s">
        <v>50</v>
      </c>
      <c r="H1067" t="s">
        <v>49</v>
      </c>
      <c r="I1067">
        <v>0.09</v>
      </c>
      <c r="J1067">
        <f t="shared" si="48"/>
        <v>47.699999999999996</v>
      </c>
      <c r="K1067">
        <v>3</v>
      </c>
      <c r="L1067">
        <f t="shared" si="49"/>
        <v>44.699999999999996</v>
      </c>
      <c r="M1067" s="4">
        <f t="shared" si="50"/>
        <v>7.4499999999999997E-2</v>
      </c>
      <c r="N1067">
        <v>600</v>
      </c>
      <c r="O1067">
        <v>530</v>
      </c>
      <c r="P1067" t="s">
        <v>25</v>
      </c>
      <c r="Q1067" t="s">
        <v>26</v>
      </c>
      <c r="R1067" t="str">
        <f>IF(COUNTIF(Sheet2!B:B, A1067) &gt; 0, "Yes", "No")</f>
        <v>No</v>
      </c>
    </row>
    <row r="1068" spans="1:18" x14ac:dyDescent="0.25">
      <c r="A1068" s="3">
        <v>45239</v>
      </c>
      <c r="B1068" t="s">
        <v>386</v>
      </c>
      <c r="C1068" t="s">
        <v>66</v>
      </c>
      <c r="D1068" t="s">
        <v>20</v>
      </c>
      <c r="E1068" t="s">
        <v>21</v>
      </c>
      <c r="F1068" t="s">
        <v>22</v>
      </c>
      <c r="G1068" t="s">
        <v>52</v>
      </c>
      <c r="H1068" t="s">
        <v>68</v>
      </c>
      <c r="I1068">
        <v>8.5000000000000006E-2</v>
      </c>
      <c r="J1068">
        <f t="shared" si="48"/>
        <v>42.5</v>
      </c>
      <c r="K1068">
        <v>3</v>
      </c>
      <c r="L1068">
        <f t="shared" si="49"/>
        <v>39.5</v>
      </c>
      <c r="M1068" s="4">
        <f t="shared" si="50"/>
        <v>6.5833333333333327E-2</v>
      </c>
      <c r="N1068">
        <v>600</v>
      </c>
      <c r="O1068">
        <v>500</v>
      </c>
      <c r="P1068" t="s">
        <v>25</v>
      </c>
      <c r="Q1068" t="s">
        <v>26</v>
      </c>
      <c r="R1068" t="str">
        <f>IF(COUNTIF(Sheet2!B:B, A1068) &gt; 0, "Yes", "No")</f>
        <v>No</v>
      </c>
    </row>
    <row r="1069" spans="1:18" x14ac:dyDescent="0.25">
      <c r="A1069" s="3">
        <v>45239</v>
      </c>
      <c r="B1069" t="s">
        <v>386</v>
      </c>
      <c r="C1069" t="s">
        <v>66</v>
      </c>
      <c r="D1069" t="s">
        <v>20</v>
      </c>
      <c r="E1069" t="s">
        <v>21</v>
      </c>
      <c r="F1069" t="s">
        <v>27</v>
      </c>
      <c r="G1069" t="s">
        <v>81</v>
      </c>
      <c r="H1069" t="s">
        <v>378</v>
      </c>
      <c r="I1069">
        <v>0.1</v>
      </c>
      <c r="J1069">
        <f t="shared" si="48"/>
        <v>50</v>
      </c>
      <c r="K1069">
        <v>0</v>
      </c>
      <c r="L1069">
        <f t="shared" si="49"/>
        <v>50</v>
      </c>
      <c r="M1069" s="4">
        <f t="shared" si="50"/>
        <v>8.3333333333333329E-2</v>
      </c>
      <c r="N1069">
        <v>600</v>
      </c>
      <c r="O1069">
        <v>500</v>
      </c>
      <c r="P1069" t="s">
        <v>25</v>
      </c>
      <c r="Q1069" t="s">
        <v>26</v>
      </c>
      <c r="R1069" t="str">
        <f>IF(COUNTIF(Sheet2!B:B, A1069) &gt; 0, "Yes", "No")</f>
        <v>No</v>
      </c>
    </row>
    <row r="1070" spans="1:18" x14ac:dyDescent="0.25">
      <c r="A1070" s="3">
        <v>45239</v>
      </c>
      <c r="B1070" t="s">
        <v>386</v>
      </c>
      <c r="C1070" t="s">
        <v>66</v>
      </c>
      <c r="D1070" t="s">
        <v>20</v>
      </c>
      <c r="E1070" t="s">
        <v>21</v>
      </c>
      <c r="F1070" t="s">
        <v>30</v>
      </c>
      <c r="G1070" t="s">
        <v>31</v>
      </c>
      <c r="H1070" t="s">
        <v>394</v>
      </c>
      <c r="I1070">
        <v>0.09</v>
      </c>
      <c r="J1070">
        <f t="shared" si="48"/>
        <v>45</v>
      </c>
      <c r="K1070">
        <v>2.5</v>
      </c>
      <c r="L1070">
        <f t="shared" si="49"/>
        <v>42.5</v>
      </c>
      <c r="M1070" s="4">
        <f t="shared" si="50"/>
        <v>7.0833333333333331E-2</v>
      </c>
      <c r="N1070">
        <v>600</v>
      </c>
      <c r="O1070">
        <v>500</v>
      </c>
      <c r="P1070" t="s">
        <v>25</v>
      </c>
      <c r="Q1070" t="s">
        <v>26</v>
      </c>
      <c r="R1070" t="str">
        <f>IF(COUNTIF(Sheet2!B:B, A1070) &gt; 0, "Yes", "No")</f>
        <v>No</v>
      </c>
    </row>
    <row r="1071" spans="1:18" x14ac:dyDescent="0.25">
      <c r="A1071" s="3">
        <v>45239</v>
      </c>
      <c r="B1071" t="s">
        <v>386</v>
      </c>
      <c r="C1071" t="s">
        <v>66</v>
      </c>
      <c r="D1071" t="s">
        <v>33</v>
      </c>
      <c r="E1071" t="s">
        <v>21</v>
      </c>
      <c r="F1071" t="s">
        <v>34</v>
      </c>
      <c r="G1071" t="s">
        <v>57</v>
      </c>
      <c r="H1071" t="s">
        <v>395</v>
      </c>
      <c r="I1071">
        <v>0.15</v>
      </c>
      <c r="J1071">
        <f t="shared" si="48"/>
        <v>37.5</v>
      </c>
      <c r="K1071">
        <v>0</v>
      </c>
      <c r="L1071">
        <f t="shared" si="49"/>
        <v>37.5</v>
      </c>
      <c r="M1071" s="4">
        <f t="shared" si="50"/>
        <v>0.125</v>
      </c>
      <c r="N1071">
        <v>300</v>
      </c>
      <c r="O1071">
        <v>250</v>
      </c>
      <c r="P1071" t="s">
        <v>25</v>
      </c>
      <c r="Q1071" t="s">
        <v>26</v>
      </c>
      <c r="R1071" t="str">
        <f>IF(COUNTIF(Sheet2!B:B, A1071) &gt; 0, "Yes", "No")</f>
        <v>No</v>
      </c>
    </row>
    <row r="1072" spans="1:18" x14ac:dyDescent="0.25">
      <c r="A1072" s="3">
        <v>45239</v>
      </c>
      <c r="B1072" t="s">
        <v>386</v>
      </c>
      <c r="C1072" t="s">
        <v>66</v>
      </c>
      <c r="D1072" t="s">
        <v>20</v>
      </c>
      <c r="E1072" t="s">
        <v>21</v>
      </c>
      <c r="F1072" t="s">
        <v>37</v>
      </c>
      <c r="G1072" t="s">
        <v>71</v>
      </c>
      <c r="H1072" t="s">
        <v>72</v>
      </c>
      <c r="I1072">
        <v>3.5000000000000003E-2</v>
      </c>
      <c r="J1072">
        <f t="shared" si="48"/>
        <v>17.5</v>
      </c>
      <c r="K1072">
        <v>1</v>
      </c>
      <c r="L1072">
        <f t="shared" si="49"/>
        <v>16.5</v>
      </c>
      <c r="M1072" s="4">
        <f t="shared" si="50"/>
        <v>2.75E-2</v>
      </c>
      <c r="N1072">
        <v>600</v>
      </c>
      <c r="O1072">
        <v>500</v>
      </c>
      <c r="P1072" t="s">
        <v>25</v>
      </c>
      <c r="Q1072" t="s">
        <v>26</v>
      </c>
      <c r="R1072" t="str">
        <f>IF(COUNTIF(Sheet2!B:B, A1072) &gt; 0, "Yes", "No")</f>
        <v>No</v>
      </c>
    </row>
    <row r="1073" spans="1:18" x14ac:dyDescent="0.25">
      <c r="A1073" s="3">
        <v>45239</v>
      </c>
      <c r="B1073" t="s">
        <v>386</v>
      </c>
      <c r="C1073" t="s">
        <v>66</v>
      </c>
      <c r="D1073" t="s">
        <v>20</v>
      </c>
      <c r="E1073" t="s">
        <v>21</v>
      </c>
      <c r="F1073" t="s">
        <v>40</v>
      </c>
      <c r="G1073" t="s">
        <v>164</v>
      </c>
      <c r="H1073" t="s">
        <v>165</v>
      </c>
      <c r="I1073">
        <v>0.05</v>
      </c>
      <c r="J1073">
        <f t="shared" si="48"/>
        <v>25</v>
      </c>
      <c r="K1073">
        <v>2</v>
      </c>
      <c r="L1073">
        <f t="shared" si="49"/>
        <v>23</v>
      </c>
      <c r="M1073" s="4">
        <f t="shared" si="50"/>
        <v>3.833333333333333E-2</v>
      </c>
      <c r="N1073">
        <v>600</v>
      </c>
      <c r="O1073">
        <v>500</v>
      </c>
      <c r="P1073" t="s">
        <v>25</v>
      </c>
      <c r="Q1073" t="s">
        <v>26</v>
      </c>
      <c r="R1073" t="str">
        <f>IF(COUNTIF(Sheet2!B:B, A1073) &gt; 0, "Yes", "No")</f>
        <v>No</v>
      </c>
    </row>
    <row r="1074" spans="1:18" x14ac:dyDescent="0.25">
      <c r="A1074" s="3">
        <v>45239</v>
      </c>
      <c r="B1074" t="s">
        <v>386</v>
      </c>
      <c r="C1074" t="s">
        <v>66</v>
      </c>
      <c r="D1074" t="s">
        <v>20</v>
      </c>
      <c r="E1074" t="s">
        <v>21</v>
      </c>
      <c r="F1074" t="s">
        <v>43</v>
      </c>
      <c r="G1074" t="s">
        <v>44</v>
      </c>
      <c r="H1074" t="s">
        <v>274</v>
      </c>
      <c r="I1074">
        <v>0.11</v>
      </c>
      <c r="J1074">
        <f t="shared" si="48"/>
        <v>55</v>
      </c>
      <c r="K1074">
        <v>1.5</v>
      </c>
      <c r="L1074">
        <f t="shared" si="49"/>
        <v>53.5</v>
      </c>
      <c r="M1074" s="4">
        <f t="shared" si="50"/>
        <v>8.9166666666666672E-2</v>
      </c>
      <c r="N1074">
        <v>600</v>
      </c>
      <c r="O1074">
        <v>500</v>
      </c>
      <c r="P1074" t="s">
        <v>25</v>
      </c>
      <c r="Q1074" t="s">
        <v>26</v>
      </c>
      <c r="R1074" t="str">
        <f>IF(COUNTIF(Sheet2!B:B, A1074) &gt; 0, "Yes", "No")</f>
        <v>No</v>
      </c>
    </row>
    <row r="1075" spans="1:18" x14ac:dyDescent="0.25">
      <c r="A1075" s="3">
        <v>45239</v>
      </c>
      <c r="B1075" t="s">
        <v>386</v>
      </c>
      <c r="C1075" t="s">
        <v>66</v>
      </c>
      <c r="D1075" t="s">
        <v>20</v>
      </c>
      <c r="E1075" t="s">
        <v>21</v>
      </c>
      <c r="F1075" t="s">
        <v>46</v>
      </c>
      <c r="G1075" t="s">
        <v>111</v>
      </c>
      <c r="H1075" t="s">
        <v>173</v>
      </c>
      <c r="I1075">
        <v>8.5000000000000006E-2</v>
      </c>
      <c r="J1075">
        <f t="shared" si="48"/>
        <v>42.5</v>
      </c>
      <c r="K1075">
        <v>2.5</v>
      </c>
      <c r="L1075">
        <f t="shared" si="49"/>
        <v>40</v>
      </c>
      <c r="M1075" s="4">
        <f t="shared" si="50"/>
        <v>6.6666666666666666E-2</v>
      </c>
      <c r="N1075">
        <v>600</v>
      </c>
      <c r="O1075">
        <v>500</v>
      </c>
      <c r="P1075" t="s">
        <v>25</v>
      </c>
      <c r="Q1075" t="s">
        <v>26</v>
      </c>
      <c r="R1075" t="str">
        <f>IF(COUNTIF(Sheet2!B:B, A1075) &gt; 0, "Yes", "No")</f>
        <v>No</v>
      </c>
    </row>
    <row r="1076" spans="1:18" x14ac:dyDescent="0.25">
      <c r="A1076" s="3">
        <v>45239</v>
      </c>
      <c r="B1076" t="s">
        <v>386</v>
      </c>
      <c r="C1076" t="s">
        <v>66</v>
      </c>
      <c r="D1076" t="s">
        <v>20</v>
      </c>
      <c r="E1076" t="s">
        <v>21</v>
      </c>
      <c r="F1076" t="s">
        <v>46</v>
      </c>
      <c r="G1076" t="s">
        <v>47</v>
      </c>
      <c r="H1076" t="s">
        <v>396</v>
      </c>
      <c r="I1076">
        <v>8.5000000000000006E-2</v>
      </c>
      <c r="J1076">
        <f t="shared" si="48"/>
        <v>42.5</v>
      </c>
      <c r="K1076">
        <v>0</v>
      </c>
      <c r="L1076">
        <f t="shared" si="49"/>
        <v>42.5</v>
      </c>
      <c r="M1076" s="4">
        <f t="shared" si="50"/>
        <v>7.0833333333333331E-2</v>
      </c>
      <c r="N1076">
        <v>600</v>
      </c>
      <c r="O1076">
        <v>500</v>
      </c>
      <c r="P1076" t="s">
        <v>25</v>
      </c>
      <c r="Q1076" t="s">
        <v>26</v>
      </c>
      <c r="R1076" t="str">
        <f>IF(COUNTIF(Sheet2!B:B, A1076) &gt; 0, "Yes", "No")</f>
        <v>No</v>
      </c>
    </row>
    <row r="1077" spans="1:18" x14ac:dyDescent="0.25">
      <c r="A1077" s="3">
        <v>45239</v>
      </c>
      <c r="B1077" t="s">
        <v>386</v>
      </c>
      <c r="C1077" t="s">
        <v>66</v>
      </c>
      <c r="D1077" t="s">
        <v>20</v>
      </c>
      <c r="E1077" t="s">
        <v>21</v>
      </c>
      <c r="F1077" t="s">
        <v>49</v>
      </c>
      <c r="G1077" t="s">
        <v>50</v>
      </c>
      <c r="H1077" t="s">
        <v>49</v>
      </c>
      <c r="I1077">
        <v>0.09</v>
      </c>
      <c r="J1077">
        <f t="shared" si="48"/>
        <v>45</v>
      </c>
      <c r="K1077">
        <v>3.5</v>
      </c>
      <c r="L1077">
        <f t="shared" si="49"/>
        <v>41.5</v>
      </c>
      <c r="M1077" s="4">
        <f t="shared" si="50"/>
        <v>6.9166666666666668E-2</v>
      </c>
      <c r="N1077">
        <v>600</v>
      </c>
      <c r="O1077">
        <v>500</v>
      </c>
      <c r="P1077" t="s">
        <v>25</v>
      </c>
      <c r="Q1077" t="s">
        <v>26</v>
      </c>
      <c r="R1077" t="str">
        <f>IF(COUNTIF(Sheet2!B:B, A1077) &gt; 0, "Yes", "No")</f>
        <v>No</v>
      </c>
    </row>
    <row r="1078" spans="1:18" x14ac:dyDescent="0.25">
      <c r="A1078" s="3">
        <v>45240</v>
      </c>
      <c r="B1078" t="s">
        <v>386</v>
      </c>
      <c r="C1078" t="s">
        <v>79</v>
      </c>
      <c r="D1078" t="s">
        <v>20</v>
      </c>
      <c r="E1078" t="s">
        <v>67</v>
      </c>
      <c r="F1078" t="s">
        <v>22</v>
      </c>
      <c r="G1078" t="s">
        <v>23</v>
      </c>
      <c r="H1078" t="s">
        <v>80</v>
      </c>
      <c r="I1078">
        <v>8.5000000000000006E-2</v>
      </c>
      <c r="J1078">
        <f t="shared" si="48"/>
        <v>29.750000000000004</v>
      </c>
      <c r="K1078">
        <v>3</v>
      </c>
      <c r="L1078">
        <f t="shared" si="49"/>
        <v>26.750000000000004</v>
      </c>
      <c r="M1078" s="4">
        <f t="shared" si="50"/>
        <v>6.6875000000000004E-2</v>
      </c>
      <c r="N1078">
        <v>400</v>
      </c>
      <c r="O1078">
        <v>350</v>
      </c>
      <c r="P1078" t="s">
        <v>25</v>
      </c>
      <c r="Q1078" t="s">
        <v>26</v>
      </c>
      <c r="R1078" t="str">
        <f>IF(COUNTIF(Sheet2!B:B, A1078) &gt; 0, "Yes", "No")</f>
        <v>No</v>
      </c>
    </row>
    <row r="1079" spans="1:18" x14ac:dyDescent="0.25">
      <c r="A1079" s="3">
        <v>45240</v>
      </c>
      <c r="B1079" t="s">
        <v>386</v>
      </c>
      <c r="C1079" t="s">
        <v>79</v>
      </c>
      <c r="D1079" t="s">
        <v>20</v>
      </c>
      <c r="E1079" t="s">
        <v>67</v>
      </c>
      <c r="F1079" t="s">
        <v>27</v>
      </c>
      <c r="G1079" t="s">
        <v>81</v>
      </c>
      <c r="H1079" t="s">
        <v>362</v>
      </c>
      <c r="I1079">
        <v>0.1</v>
      </c>
      <c r="J1079">
        <f t="shared" si="48"/>
        <v>35</v>
      </c>
      <c r="K1079">
        <v>0</v>
      </c>
      <c r="L1079">
        <f t="shared" si="49"/>
        <v>35</v>
      </c>
      <c r="M1079" s="4">
        <f t="shared" si="50"/>
        <v>8.7499999999999994E-2</v>
      </c>
      <c r="N1079">
        <v>400</v>
      </c>
      <c r="O1079">
        <v>350</v>
      </c>
      <c r="P1079" t="s">
        <v>25</v>
      </c>
      <c r="Q1079" t="s">
        <v>26</v>
      </c>
      <c r="R1079" t="str">
        <f>IF(COUNTIF(Sheet2!B:B, A1079) &gt; 0, "Yes", "No")</f>
        <v>No</v>
      </c>
    </row>
    <row r="1080" spans="1:18" x14ac:dyDescent="0.25">
      <c r="A1080" s="3">
        <v>45240</v>
      </c>
      <c r="B1080" t="s">
        <v>386</v>
      </c>
      <c r="C1080" t="s">
        <v>79</v>
      </c>
      <c r="D1080" t="s">
        <v>20</v>
      </c>
      <c r="E1080" t="s">
        <v>67</v>
      </c>
      <c r="F1080" t="s">
        <v>30</v>
      </c>
      <c r="G1080" t="s">
        <v>55</v>
      </c>
      <c r="H1080" t="s">
        <v>83</v>
      </c>
      <c r="I1080">
        <v>0.09</v>
      </c>
      <c r="J1080">
        <f t="shared" si="48"/>
        <v>31.5</v>
      </c>
      <c r="K1080">
        <v>3</v>
      </c>
      <c r="L1080">
        <f t="shared" si="49"/>
        <v>28.5</v>
      </c>
      <c r="M1080" s="4">
        <f t="shared" si="50"/>
        <v>7.1249999999999994E-2</v>
      </c>
      <c r="N1080">
        <v>400</v>
      </c>
      <c r="O1080">
        <v>350</v>
      </c>
      <c r="P1080" t="s">
        <v>25</v>
      </c>
      <c r="Q1080" t="s">
        <v>26</v>
      </c>
      <c r="R1080" t="str">
        <f>IF(COUNTIF(Sheet2!B:B, A1080) &gt; 0, "Yes", "No")</f>
        <v>No</v>
      </c>
    </row>
    <row r="1081" spans="1:18" x14ac:dyDescent="0.25">
      <c r="A1081" s="3">
        <v>45240</v>
      </c>
      <c r="B1081" t="s">
        <v>386</v>
      </c>
      <c r="C1081" t="s">
        <v>79</v>
      </c>
      <c r="D1081" t="s">
        <v>20</v>
      </c>
      <c r="E1081" t="s">
        <v>67</v>
      </c>
      <c r="F1081" t="s">
        <v>37</v>
      </c>
      <c r="G1081" t="s">
        <v>71</v>
      </c>
      <c r="H1081" t="s">
        <v>151</v>
      </c>
      <c r="I1081">
        <v>2.5000000000000001E-2</v>
      </c>
      <c r="J1081">
        <f t="shared" si="48"/>
        <v>8.75</v>
      </c>
      <c r="K1081">
        <v>2</v>
      </c>
      <c r="L1081">
        <f t="shared" si="49"/>
        <v>6.75</v>
      </c>
      <c r="M1081" s="4">
        <f t="shared" si="50"/>
        <v>1.6875000000000001E-2</v>
      </c>
      <c r="N1081">
        <v>400</v>
      </c>
      <c r="O1081">
        <v>350</v>
      </c>
      <c r="P1081" t="s">
        <v>25</v>
      </c>
      <c r="Q1081" t="s">
        <v>26</v>
      </c>
      <c r="R1081" t="str">
        <f>IF(COUNTIF(Sheet2!B:B, A1081) &gt; 0, "Yes", "No")</f>
        <v>No</v>
      </c>
    </row>
    <row r="1082" spans="1:18" x14ac:dyDescent="0.25">
      <c r="A1082" s="3">
        <v>45240</v>
      </c>
      <c r="B1082" t="s">
        <v>386</v>
      </c>
      <c r="C1082" t="s">
        <v>79</v>
      </c>
      <c r="D1082" t="s">
        <v>20</v>
      </c>
      <c r="E1082" t="s">
        <v>67</v>
      </c>
      <c r="F1082" t="s">
        <v>40</v>
      </c>
      <c r="G1082" t="s">
        <v>364</v>
      </c>
      <c r="H1082" t="s">
        <v>365</v>
      </c>
      <c r="I1082">
        <v>0.04</v>
      </c>
      <c r="J1082">
        <f t="shared" si="48"/>
        <v>14</v>
      </c>
      <c r="K1082">
        <v>2</v>
      </c>
      <c r="L1082">
        <f t="shared" si="49"/>
        <v>12</v>
      </c>
      <c r="M1082" s="4">
        <f t="shared" si="50"/>
        <v>0.03</v>
      </c>
      <c r="N1082">
        <v>400</v>
      </c>
      <c r="O1082">
        <v>350</v>
      </c>
      <c r="P1082" t="s">
        <v>25</v>
      </c>
      <c r="Q1082" t="s">
        <v>26</v>
      </c>
      <c r="R1082" t="str">
        <f>IF(COUNTIF(Sheet2!B:B, A1082) &gt; 0, "Yes", "No")</f>
        <v>No</v>
      </c>
    </row>
    <row r="1083" spans="1:18" x14ac:dyDescent="0.25">
      <c r="A1083" s="3">
        <v>45240</v>
      </c>
      <c r="B1083" t="s">
        <v>386</v>
      </c>
      <c r="C1083" t="s">
        <v>79</v>
      </c>
      <c r="D1083" t="s">
        <v>20</v>
      </c>
      <c r="E1083" t="s">
        <v>67</v>
      </c>
      <c r="F1083" t="s">
        <v>43</v>
      </c>
      <c r="G1083" t="s">
        <v>90</v>
      </c>
      <c r="H1083" t="s">
        <v>188</v>
      </c>
      <c r="I1083">
        <v>0.11</v>
      </c>
      <c r="J1083">
        <f t="shared" si="48"/>
        <v>38.5</v>
      </c>
      <c r="K1083">
        <v>6</v>
      </c>
      <c r="L1083">
        <f t="shared" si="49"/>
        <v>32.5</v>
      </c>
      <c r="M1083" s="4">
        <f t="shared" si="50"/>
        <v>8.1250000000000003E-2</v>
      </c>
      <c r="N1083">
        <v>400</v>
      </c>
      <c r="O1083">
        <v>350</v>
      </c>
      <c r="P1083" t="s">
        <v>25</v>
      </c>
      <c r="Q1083" t="s">
        <v>26</v>
      </c>
      <c r="R1083" t="str">
        <f>IF(COUNTIF(Sheet2!B:B, A1083) &gt; 0, "Yes", "No")</f>
        <v>No</v>
      </c>
    </row>
    <row r="1084" spans="1:18" x14ac:dyDescent="0.25">
      <c r="A1084" s="3">
        <v>45240</v>
      </c>
      <c r="B1084" t="s">
        <v>386</v>
      </c>
      <c r="C1084" t="s">
        <v>79</v>
      </c>
      <c r="D1084" t="s">
        <v>20</v>
      </c>
      <c r="E1084" t="s">
        <v>67</v>
      </c>
      <c r="F1084" t="s">
        <v>46</v>
      </c>
      <c r="G1084" t="s">
        <v>167</v>
      </c>
      <c r="H1084" t="s">
        <v>167</v>
      </c>
      <c r="I1084">
        <v>8.5000000000000006E-2</v>
      </c>
      <c r="J1084">
        <f t="shared" si="48"/>
        <v>29.750000000000004</v>
      </c>
      <c r="K1084">
        <v>4</v>
      </c>
      <c r="L1084">
        <f t="shared" si="49"/>
        <v>25.750000000000004</v>
      </c>
      <c r="M1084" s="4">
        <f t="shared" si="50"/>
        <v>6.4375000000000016E-2</v>
      </c>
      <c r="N1084">
        <v>400</v>
      </c>
      <c r="O1084">
        <v>350</v>
      </c>
      <c r="P1084" t="s">
        <v>25</v>
      </c>
      <c r="Q1084" t="s">
        <v>26</v>
      </c>
      <c r="R1084" t="str">
        <f>IF(COUNTIF(Sheet2!B:B, A1084) &gt; 0, "Yes", "No")</f>
        <v>No</v>
      </c>
    </row>
    <row r="1085" spans="1:18" x14ac:dyDescent="0.25">
      <c r="A1085" s="3">
        <v>45240</v>
      </c>
      <c r="B1085" t="s">
        <v>386</v>
      </c>
      <c r="C1085" t="s">
        <v>79</v>
      </c>
      <c r="D1085" t="s">
        <v>20</v>
      </c>
      <c r="E1085" t="s">
        <v>67</v>
      </c>
      <c r="F1085" t="s">
        <v>49</v>
      </c>
      <c r="G1085" t="s">
        <v>50</v>
      </c>
      <c r="H1085" t="s">
        <v>49</v>
      </c>
      <c r="I1085">
        <v>0.09</v>
      </c>
      <c r="J1085">
        <f t="shared" si="48"/>
        <v>31.5</v>
      </c>
      <c r="K1085">
        <v>7</v>
      </c>
      <c r="L1085">
        <f t="shared" si="49"/>
        <v>24.5</v>
      </c>
      <c r="M1085" s="4">
        <f t="shared" si="50"/>
        <v>6.1249999999999999E-2</v>
      </c>
      <c r="N1085">
        <v>400</v>
      </c>
      <c r="O1085">
        <v>350</v>
      </c>
      <c r="P1085" t="s">
        <v>25</v>
      </c>
      <c r="Q1085" t="s">
        <v>26</v>
      </c>
      <c r="R1085" t="str">
        <f>IF(COUNTIF(Sheet2!B:B, A1085) &gt; 0, "Yes", "No")</f>
        <v>No</v>
      </c>
    </row>
    <row r="1086" spans="1:18" x14ac:dyDescent="0.25">
      <c r="A1086" s="3">
        <v>45244</v>
      </c>
      <c r="B1086" t="s">
        <v>386</v>
      </c>
      <c r="C1086" t="s">
        <v>105</v>
      </c>
      <c r="D1086" t="s">
        <v>20</v>
      </c>
      <c r="E1086" t="s">
        <v>67</v>
      </c>
      <c r="F1086" t="s">
        <v>22</v>
      </c>
      <c r="G1086" t="s">
        <v>94</v>
      </c>
      <c r="H1086" t="s">
        <v>143</v>
      </c>
      <c r="I1086">
        <v>8.5000000000000006E-2</v>
      </c>
      <c r="J1086">
        <f t="shared" si="48"/>
        <v>36.550000000000004</v>
      </c>
      <c r="K1086">
        <v>10</v>
      </c>
      <c r="L1086">
        <f t="shared" si="49"/>
        <v>26.550000000000004</v>
      </c>
      <c r="M1086" s="4">
        <f t="shared" si="50"/>
        <v>5.3100000000000008E-2</v>
      </c>
      <c r="N1086">
        <v>500</v>
      </c>
      <c r="O1086">
        <v>430</v>
      </c>
      <c r="P1086" t="s">
        <v>25</v>
      </c>
      <c r="Q1086" t="s">
        <v>26</v>
      </c>
      <c r="R1086" t="str">
        <f>IF(COUNTIF(Sheet2!B:B, A1086) &gt; 0, "Yes", "No")</f>
        <v>No</v>
      </c>
    </row>
    <row r="1087" spans="1:18" x14ac:dyDescent="0.25">
      <c r="A1087" s="3">
        <v>45244</v>
      </c>
      <c r="B1087" t="s">
        <v>386</v>
      </c>
      <c r="C1087" t="s">
        <v>105</v>
      </c>
      <c r="D1087" t="s">
        <v>20</v>
      </c>
      <c r="E1087" t="s">
        <v>67</v>
      </c>
      <c r="F1087" t="s">
        <v>27</v>
      </c>
      <c r="G1087" t="s">
        <v>28</v>
      </c>
      <c r="H1087" t="s">
        <v>291</v>
      </c>
      <c r="I1087">
        <v>0.11</v>
      </c>
      <c r="J1087">
        <f t="shared" si="48"/>
        <v>47.3</v>
      </c>
      <c r="K1087">
        <v>11</v>
      </c>
      <c r="L1087">
        <f t="shared" si="49"/>
        <v>36.299999999999997</v>
      </c>
      <c r="M1087" s="4">
        <f t="shared" si="50"/>
        <v>7.2599999999999998E-2</v>
      </c>
      <c r="N1087">
        <v>500</v>
      </c>
      <c r="O1087">
        <v>430</v>
      </c>
      <c r="P1087" t="s">
        <v>25</v>
      </c>
      <c r="Q1087" t="s">
        <v>26</v>
      </c>
      <c r="R1087" t="str">
        <f>IF(COUNTIF(Sheet2!B:B, A1087) &gt; 0, "Yes", "No")</f>
        <v>No</v>
      </c>
    </row>
    <row r="1088" spans="1:18" x14ac:dyDescent="0.25">
      <c r="A1088" s="3">
        <v>45244</v>
      </c>
      <c r="B1088" t="s">
        <v>386</v>
      </c>
      <c r="C1088" t="s">
        <v>105</v>
      </c>
      <c r="D1088" t="s">
        <v>20</v>
      </c>
      <c r="E1088" t="s">
        <v>67</v>
      </c>
      <c r="F1088" t="s">
        <v>30</v>
      </c>
      <c r="G1088" t="s">
        <v>55</v>
      </c>
      <c r="H1088" t="s">
        <v>183</v>
      </c>
      <c r="I1088">
        <v>0.09</v>
      </c>
      <c r="J1088">
        <f t="shared" si="48"/>
        <v>38.699999999999996</v>
      </c>
      <c r="K1088">
        <v>7</v>
      </c>
      <c r="L1088">
        <f t="shared" si="49"/>
        <v>31.699999999999996</v>
      </c>
      <c r="M1088" s="4">
        <f t="shared" si="50"/>
        <v>6.3399999999999998E-2</v>
      </c>
      <c r="N1088">
        <v>500</v>
      </c>
      <c r="O1088">
        <v>430</v>
      </c>
      <c r="P1088" t="s">
        <v>25</v>
      </c>
      <c r="Q1088" t="s">
        <v>26</v>
      </c>
      <c r="R1088" t="str">
        <f>IF(COUNTIF(Sheet2!B:B, A1088) &gt; 0, "Yes", "No")</f>
        <v>No</v>
      </c>
    </row>
    <row r="1089" spans="1:18" x14ac:dyDescent="0.25">
      <c r="A1089" s="3">
        <v>45244</v>
      </c>
      <c r="B1089" t="s">
        <v>386</v>
      </c>
      <c r="C1089" t="s">
        <v>105</v>
      </c>
      <c r="D1089" t="s">
        <v>20</v>
      </c>
      <c r="E1089" t="s">
        <v>67</v>
      </c>
      <c r="F1089" t="s">
        <v>37</v>
      </c>
      <c r="G1089" t="s">
        <v>87</v>
      </c>
      <c r="H1089" t="s">
        <v>99</v>
      </c>
      <c r="I1089">
        <v>3.5000000000000003E-2</v>
      </c>
      <c r="J1089">
        <f t="shared" si="48"/>
        <v>15.05</v>
      </c>
      <c r="K1089">
        <v>4</v>
      </c>
      <c r="L1089">
        <f t="shared" si="49"/>
        <v>11.05</v>
      </c>
      <c r="M1089" s="4">
        <f t="shared" si="50"/>
        <v>2.2100000000000002E-2</v>
      </c>
      <c r="N1089">
        <v>500</v>
      </c>
      <c r="O1089">
        <v>430</v>
      </c>
      <c r="P1089" t="s">
        <v>25</v>
      </c>
      <c r="Q1089" t="s">
        <v>26</v>
      </c>
      <c r="R1089" t="str">
        <f>IF(COUNTIF(Sheet2!B:B, A1089) &gt; 0, "Yes", "No")</f>
        <v>No</v>
      </c>
    </row>
    <row r="1090" spans="1:18" x14ac:dyDescent="0.25">
      <c r="A1090" s="3">
        <v>45244</v>
      </c>
      <c r="B1090" t="s">
        <v>386</v>
      </c>
      <c r="C1090" t="s">
        <v>105</v>
      </c>
      <c r="D1090" t="s">
        <v>20</v>
      </c>
      <c r="E1090" t="s">
        <v>67</v>
      </c>
      <c r="F1090" t="s">
        <v>40</v>
      </c>
      <c r="G1090" t="s">
        <v>164</v>
      </c>
      <c r="H1090" t="s">
        <v>202</v>
      </c>
      <c r="I1090">
        <v>0.05</v>
      </c>
      <c r="J1090">
        <f t="shared" si="48"/>
        <v>21.5</v>
      </c>
      <c r="K1090">
        <v>4</v>
      </c>
      <c r="L1090">
        <f t="shared" si="49"/>
        <v>17.5</v>
      </c>
      <c r="M1090" s="4">
        <f t="shared" si="50"/>
        <v>3.5000000000000003E-2</v>
      </c>
      <c r="N1090">
        <v>500</v>
      </c>
      <c r="O1090">
        <v>430</v>
      </c>
      <c r="P1090" t="s">
        <v>25</v>
      </c>
      <c r="Q1090" t="s">
        <v>26</v>
      </c>
      <c r="R1090" t="str">
        <f>IF(COUNTIF(Sheet2!B:B, A1090) &gt; 0, "Yes", "No")</f>
        <v>No</v>
      </c>
    </row>
    <row r="1091" spans="1:18" x14ac:dyDescent="0.25">
      <c r="A1091" s="3">
        <v>45244</v>
      </c>
      <c r="B1091" t="s">
        <v>386</v>
      </c>
      <c r="C1091" t="s">
        <v>105</v>
      </c>
      <c r="D1091" t="s">
        <v>20</v>
      </c>
      <c r="E1091" t="s">
        <v>67</v>
      </c>
      <c r="F1091" t="s">
        <v>43</v>
      </c>
      <c r="G1091" t="s">
        <v>90</v>
      </c>
      <c r="H1091" t="s">
        <v>194</v>
      </c>
      <c r="I1091">
        <v>0.11</v>
      </c>
      <c r="J1091">
        <f t="shared" ref="J1091:J1154" si="51">I1091*O1091</f>
        <v>47.3</v>
      </c>
      <c r="K1091">
        <v>17</v>
      </c>
      <c r="L1091">
        <f t="shared" ref="L1091:L1154" si="52">J1091-K1091</f>
        <v>30.299999999999997</v>
      </c>
      <c r="M1091" s="4">
        <f t="shared" ref="M1091:M1154" si="53">((I1091*O1091)-K1091)/N1091</f>
        <v>6.0599999999999994E-2</v>
      </c>
      <c r="N1091">
        <v>500</v>
      </c>
      <c r="O1091">
        <v>430</v>
      </c>
      <c r="P1091" t="s">
        <v>25</v>
      </c>
      <c r="Q1091" t="s">
        <v>26</v>
      </c>
      <c r="R1091" t="str">
        <f>IF(COUNTIF(Sheet2!B:B, A1091) &gt; 0, "Yes", "No")</f>
        <v>No</v>
      </c>
    </row>
    <row r="1092" spans="1:18" x14ac:dyDescent="0.25">
      <c r="A1092" s="3">
        <v>45244</v>
      </c>
      <c r="B1092" t="s">
        <v>386</v>
      </c>
      <c r="C1092" t="s">
        <v>105</v>
      </c>
      <c r="D1092" t="s">
        <v>20</v>
      </c>
      <c r="E1092" t="s">
        <v>67</v>
      </c>
      <c r="F1092" t="s">
        <v>46</v>
      </c>
      <c r="G1092" t="s">
        <v>47</v>
      </c>
      <c r="H1092" t="s">
        <v>65</v>
      </c>
      <c r="I1092">
        <v>8.5000000000000006E-2</v>
      </c>
      <c r="J1092">
        <f t="shared" si="51"/>
        <v>36.550000000000004</v>
      </c>
      <c r="K1092">
        <v>12</v>
      </c>
      <c r="L1092">
        <f t="shared" si="52"/>
        <v>24.550000000000004</v>
      </c>
      <c r="M1092" s="4">
        <f t="shared" si="53"/>
        <v>4.9100000000000012E-2</v>
      </c>
      <c r="N1092">
        <v>500</v>
      </c>
      <c r="O1092">
        <v>430</v>
      </c>
      <c r="P1092" t="s">
        <v>25</v>
      </c>
      <c r="Q1092" t="s">
        <v>26</v>
      </c>
      <c r="R1092" t="str">
        <f>IF(COUNTIF(Sheet2!B:B, A1092) &gt; 0, "Yes", "No")</f>
        <v>No</v>
      </c>
    </row>
    <row r="1093" spans="1:18" x14ac:dyDescent="0.25">
      <c r="A1093" s="3">
        <v>45244</v>
      </c>
      <c r="B1093" t="s">
        <v>386</v>
      </c>
      <c r="C1093" t="s">
        <v>105</v>
      </c>
      <c r="D1093" t="s">
        <v>20</v>
      </c>
      <c r="E1093" t="s">
        <v>67</v>
      </c>
      <c r="F1093" t="s">
        <v>49</v>
      </c>
      <c r="G1093" t="s">
        <v>50</v>
      </c>
      <c r="H1093" t="s">
        <v>49</v>
      </c>
      <c r="I1093">
        <v>0.09</v>
      </c>
      <c r="J1093">
        <f t="shared" si="51"/>
        <v>38.699999999999996</v>
      </c>
      <c r="K1093">
        <v>11</v>
      </c>
      <c r="L1093">
        <f t="shared" si="52"/>
        <v>27.699999999999996</v>
      </c>
      <c r="M1093" s="4">
        <f t="shared" si="53"/>
        <v>5.5399999999999991E-2</v>
      </c>
      <c r="N1093">
        <v>500</v>
      </c>
      <c r="O1093">
        <v>430</v>
      </c>
      <c r="P1093" t="s">
        <v>25</v>
      </c>
      <c r="Q1093" t="s">
        <v>26</v>
      </c>
      <c r="R1093" t="str">
        <f>IF(COUNTIF(Sheet2!B:B, A1093) &gt; 0, "Yes", "No")</f>
        <v>No</v>
      </c>
    </row>
    <row r="1094" spans="1:18" x14ac:dyDescent="0.25">
      <c r="A1094" s="3">
        <v>45245</v>
      </c>
      <c r="B1094" t="s">
        <v>386</v>
      </c>
      <c r="C1094" t="s">
        <v>51</v>
      </c>
      <c r="D1094" t="s">
        <v>20</v>
      </c>
      <c r="E1094" t="s">
        <v>21</v>
      </c>
      <c r="F1094" t="s">
        <v>22</v>
      </c>
      <c r="G1094" t="s">
        <v>94</v>
      </c>
      <c r="H1094" t="s">
        <v>199</v>
      </c>
      <c r="I1094">
        <v>8.5000000000000006E-2</v>
      </c>
      <c r="J1094">
        <f t="shared" si="51"/>
        <v>29.750000000000004</v>
      </c>
      <c r="K1094">
        <v>3.5</v>
      </c>
      <c r="L1094">
        <f t="shared" si="52"/>
        <v>26.250000000000004</v>
      </c>
      <c r="M1094" s="4">
        <f t="shared" si="53"/>
        <v>6.5625000000000003E-2</v>
      </c>
      <c r="N1094">
        <v>400</v>
      </c>
      <c r="O1094">
        <v>350</v>
      </c>
      <c r="P1094" t="s">
        <v>25</v>
      </c>
      <c r="Q1094" t="s">
        <v>26</v>
      </c>
      <c r="R1094" t="str">
        <f>IF(COUNTIF(Sheet2!B:B, A1094) &gt; 0, "Yes", "No")</f>
        <v>No</v>
      </c>
    </row>
    <row r="1095" spans="1:18" x14ac:dyDescent="0.25">
      <c r="A1095" s="3">
        <v>45245</v>
      </c>
      <c r="B1095" t="s">
        <v>386</v>
      </c>
      <c r="C1095" t="s">
        <v>51</v>
      </c>
      <c r="D1095" t="s">
        <v>20</v>
      </c>
      <c r="E1095" t="s">
        <v>21</v>
      </c>
      <c r="F1095" t="s">
        <v>27</v>
      </c>
      <c r="G1095" t="s">
        <v>81</v>
      </c>
      <c r="H1095" t="s">
        <v>297</v>
      </c>
      <c r="I1095">
        <v>0.1</v>
      </c>
      <c r="J1095">
        <f t="shared" si="51"/>
        <v>35</v>
      </c>
      <c r="K1095">
        <v>3.5</v>
      </c>
      <c r="L1095">
        <f t="shared" si="52"/>
        <v>31.5</v>
      </c>
      <c r="M1095" s="4">
        <f t="shared" si="53"/>
        <v>7.8750000000000001E-2</v>
      </c>
      <c r="N1095">
        <v>400</v>
      </c>
      <c r="O1095">
        <v>350</v>
      </c>
      <c r="P1095" t="s">
        <v>25</v>
      </c>
      <c r="Q1095" t="s">
        <v>26</v>
      </c>
      <c r="R1095" t="str">
        <f>IF(COUNTIF(Sheet2!B:B, A1095) &gt; 0, "Yes", "No")</f>
        <v>No</v>
      </c>
    </row>
    <row r="1096" spans="1:18" x14ac:dyDescent="0.25">
      <c r="A1096" s="3">
        <v>45245</v>
      </c>
      <c r="B1096" t="s">
        <v>386</v>
      </c>
      <c r="C1096" t="s">
        <v>51</v>
      </c>
      <c r="D1096" t="s">
        <v>20</v>
      </c>
      <c r="E1096" t="s">
        <v>21</v>
      </c>
      <c r="F1096" t="s">
        <v>30</v>
      </c>
      <c r="G1096" t="s">
        <v>31</v>
      </c>
      <c r="H1096" t="s">
        <v>70</v>
      </c>
      <c r="I1096">
        <v>0.09</v>
      </c>
      <c r="J1096">
        <f t="shared" si="51"/>
        <v>31.5</v>
      </c>
      <c r="K1096">
        <v>2</v>
      </c>
      <c r="L1096">
        <f t="shared" si="52"/>
        <v>29.5</v>
      </c>
      <c r="M1096" s="4">
        <f t="shared" si="53"/>
        <v>7.3749999999999996E-2</v>
      </c>
      <c r="N1096">
        <v>400</v>
      </c>
      <c r="O1096">
        <v>350</v>
      </c>
      <c r="P1096" t="s">
        <v>25</v>
      </c>
      <c r="Q1096" t="s">
        <v>26</v>
      </c>
      <c r="R1096" t="str">
        <f>IF(COUNTIF(Sheet2!B:B, A1096) &gt; 0, "Yes", "No")</f>
        <v>No</v>
      </c>
    </row>
    <row r="1097" spans="1:18" x14ac:dyDescent="0.25">
      <c r="A1097" s="3">
        <v>45245</v>
      </c>
      <c r="B1097" t="s">
        <v>386</v>
      </c>
      <c r="C1097" t="s">
        <v>51</v>
      </c>
      <c r="D1097" t="s">
        <v>33</v>
      </c>
      <c r="E1097" t="s">
        <v>21</v>
      </c>
      <c r="F1097" t="s">
        <v>34</v>
      </c>
      <c r="G1097" t="s">
        <v>57</v>
      </c>
      <c r="H1097" t="s">
        <v>116</v>
      </c>
      <c r="I1097">
        <v>0.15</v>
      </c>
      <c r="J1097">
        <f t="shared" si="51"/>
        <v>26.25</v>
      </c>
      <c r="K1097">
        <v>0</v>
      </c>
      <c r="L1097">
        <f t="shared" si="52"/>
        <v>26.25</v>
      </c>
      <c r="M1097" s="4">
        <f t="shared" si="53"/>
        <v>0.13125000000000001</v>
      </c>
      <c r="N1097">
        <v>200</v>
      </c>
      <c r="O1097">
        <v>175</v>
      </c>
      <c r="P1097" t="s">
        <v>25</v>
      </c>
      <c r="Q1097" t="s">
        <v>26</v>
      </c>
      <c r="R1097" t="str">
        <f>IF(COUNTIF(Sheet2!B:B, A1097) &gt; 0, "Yes", "No")</f>
        <v>No</v>
      </c>
    </row>
    <row r="1098" spans="1:18" x14ac:dyDescent="0.25">
      <c r="A1098" s="3">
        <v>45245</v>
      </c>
      <c r="B1098" t="s">
        <v>386</v>
      </c>
      <c r="C1098" t="s">
        <v>51</v>
      </c>
      <c r="D1098" t="s">
        <v>20</v>
      </c>
      <c r="E1098" t="s">
        <v>21</v>
      </c>
      <c r="F1098" t="s">
        <v>37</v>
      </c>
      <c r="G1098" t="s">
        <v>59</v>
      </c>
      <c r="H1098" t="s">
        <v>60</v>
      </c>
      <c r="I1098">
        <v>0.03</v>
      </c>
      <c r="J1098">
        <f t="shared" si="51"/>
        <v>10.5</v>
      </c>
      <c r="K1098">
        <v>2</v>
      </c>
      <c r="L1098">
        <f t="shared" si="52"/>
        <v>8.5</v>
      </c>
      <c r="M1098" s="4">
        <f t="shared" si="53"/>
        <v>2.1250000000000002E-2</v>
      </c>
      <c r="N1098">
        <v>400</v>
      </c>
      <c r="O1098">
        <v>350</v>
      </c>
      <c r="P1098" t="s">
        <v>25</v>
      </c>
      <c r="Q1098" t="s">
        <v>26</v>
      </c>
      <c r="R1098" t="str">
        <f>IF(COUNTIF(Sheet2!B:B, A1098) &gt; 0, "Yes", "No")</f>
        <v>No</v>
      </c>
    </row>
    <row r="1099" spans="1:18" x14ac:dyDescent="0.25">
      <c r="A1099" s="3">
        <v>45245</v>
      </c>
      <c r="B1099" t="s">
        <v>386</v>
      </c>
      <c r="C1099" t="s">
        <v>51</v>
      </c>
      <c r="D1099" t="s">
        <v>20</v>
      </c>
      <c r="E1099" t="s">
        <v>21</v>
      </c>
      <c r="F1099" t="s">
        <v>40</v>
      </c>
      <c r="G1099" t="s">
        <v>157</v>
      </c>
      <c r="H1099" t="s">
        <v>158</v>
      </c>
      <c r="I1099">
        <v>4.4999999999999998E-2</v>
      </c>
      <c r="J1099">
        <f t="shared" si="51"/>
        <v>15.75</v>
      </c>
      <c r="K1099">
        <v>1.5</v>
      </c>
      <c r="L1099">
        <f t="shared" si="52"/>
        <v>14.25</v>
      </c>
      <c r="M1099" s="4">
        <f t="shared" si="53"/>
        <v>3.5624999999999997E-2</v>
      </c>
      <c r="N1099">
        <v>400</v>
      </c>
      <c r="O1099">
        <v>350</v>
      </c>
      <c r="P1099" t="s">
        <v>25</v>
      </c>
      <c r="Q1099" t="s">
        <v>26</v>
      </c>
      <c r="R1099" t="str">
        <f>IF(COUNTIF(Sheet2!B:B, A1099) &gt; 0, "Yes", "No")</f>
        <v>No</v>
      </c>
    </row>
    <row r="1100" spans="1:18" x14ac:dyDescent="0.25">
      <c r="A1100" s="3">
        <v>45245</v>
      </c>
      <c r="B1100" t="s">
        <v>386</v>
      </c>
      <c r="C1100" t="s">
        <v>51</v>
      </c>
      <c r="D1100" t="s">
        <v>20</v>
      </c>
      <c r="E1100" t="s">
        <v>21</v>
      </c>
      <c r="F1100" t="s">
        <v>43</v>
      </c>
      <c r="G1100" t="s">
        <v>44</v>
      </c>
      <c r="H1100" t="s">
        <v>397</v>
      </c>
      <c r="I1100">
        <v>0.11</v>
      </c>
      <c r="J1100">
        <f t="shared" si="51"/>
        <v>38.5</v>
      </c>
      <c r="K1100">
        <v>3.5</v>
      </c>
      <c r="L1100">
        <f t="shared" si="52"/>
        <v>35</v>
      </c>
      <c r="M1100" s="4">
        <f t="shared" si="53"/>
        <v>8.7499999999999994E-2</v>
      </c>
      <c r="N1100">
        <v>400</v>
      </c>
      <c r="O1100">
        <v>350</v>
      </c>
      <c r="P1100" t="s">
        <v>25</v>
      </c>
      <c r="Q1100" t="s">
        <v>26</v>
      </c>
      <c r="R1100" t="str">
        <f>IF(COUNTIF(Sheet2!B:B, A1100) &gt; 0, "Yes", "No")</f>
        <v>No</v>
      </c>
    </row>
    <row r="1101" spans="1:18" x14ac:dyDescent="0.25">
      <c r="A1101" s="3">
        <v>45245</v>
      </c>
      <c r="B1101" t="s">
        <v>386</v>
      </c>
      <c r="C1101" t="s">
        <v>51</v>
      </c>
      <c r="D1101" t="s">
        <v>20</v>
      </c>
      <c r="E1101" t="s">
        <v>21</v>
      </c>
      <c r="F1101" t="s">
        <v>46</v>
      </c>
      <c r="G1101" t="s">
        <v>92</v>
      </c>
      <c r="H1101" t="s">
        <v>93</v>
      </c>
      <c r="I1101">
        <v>8.5000000000000006E-2</v>
      </c>
      <c r="J1101">
        <f t="shared" si="51"/>
        <v>29.750000000000004</v>
      </c>
      <c r="K1101">
        <v>3.5</v>
      </c>
      <c r="L1101">
        <f t="shared" si="52"/>
        <v>26.250000000000004</v>
      </c>
      <c r="M1101" s="4">
        <f t="shared" si="53"/>
        <v>6.5625000000000003E-2</v>
      </c>
      <c r="N1101">
        <v>400</v>
      </c>
      <c r="O1101">
        <v>350</v>
      </c>
      <c r="P1101" t="s">
        <v>25</v>
      </c>
      <c r="Q1101" t="s">
        <v>26</v>
      </c>
      <c r="R1101" t="str">
        <f>IF(COUNTIF(Sheet2!B:B, A1101) &gt; 0, "Yes", "No")</f>
        <v>No</v>
      </c>
    </row>
    <row r="1102" spans="1:18" x14ac:dyDescent="0.25">
      <c r="A1102" s="3">
        <v>45245</v>
      </c>
      <c r="B1102" t="s">
        <v>386</v>
      </c>
      <c r="C1102" t="s">
        <v>51</v>
      </c>
      <c r="D1102" t="s">
        <v>20</v>
      </c>
      <c r="E1102" t="s">
        <v>21</v>
      </c>
      <c r="F1102" t="s">
        <v>49</v>
      </c>
      <c r="G1102" t="s">
        <v>50</v>
      </c>
      <c r="H1102" t="s">
        <v>49</v>
      </c>
      <c r="I1102">
        <v>0.09</v>
      </c>
      <c r="J1102">
        <f t="shared" si="51"/>
        <v>31.5</v>
      </c>
      <c r="K1102">
        <v>2</v>
      </c>
      <c r="L1102">
        <f t="shared" si="52"/>
        <v>29.5</v>
      </c>
      <c r="M1102" s="4">
        <f t="shared" si="53"/>
        <v>7.3749999999999996E-2</v>
      </c>
      <c r="N1102">
        <v>400</v>
      </c>
      <c r="O1102">
        <v>350</v>
      </c>
      <c r="P1102" t="s">
        <v>25</v>
      </c>
      <c r="Q1102" t="s">
        <v>26</v>
      </c>
      <c r="R1102" t="str">
        <f>IF(COUNTIF(Sheet2!B:B, A1102) &gt; 0, "Yes", "No")</f>
        <v>No</v>
      </c>
    </row>
    <row r="1103" spans="1:18" x14ac:dyDescent="0.25">
      <c r="A1103" s="3">
        <v>45246</v>
      </c>
      <c r="B1103" t="s">
        <v>386</v>
      </c>
      <c r="C1103" t="s">
        <v>66</v>
      </c>
      <c r="D1103" t="s">
        <v>20</v>
      </c>
      <c r="E1103" t="s">
        <v>67</v>
      </c>
      <c r="F1103" t="s">
        <v>22</v>
      </c>
      <c r="G1103" t="s">
        <v>94</v>
      </c>
      <c r="H1103" t="s">
        <v>294</v>
      </c>
      <c r="I1103">
        <v>8.5000000000000006E-2</v>
      </c>
      <c r="J1103">
        <f t="shared" si="51"/>
        <v>28.05</v>
      </c>
      <c r="K1103">
        <v>0</v>
      </c>
      <c r="L1103">
        <f t="shared" si="52"/>
        <v>28.05</v>
      </c>
      <c r="M1103" s="4">
        <f t="shared" si="53"/>
        <v>7.381578947368421E-2</v>
      </c>
      <c r="N1103">
        <v>380</v>
      </c>
      <c r="O1103">
        <v>330</v>
      </c>
      <c r="P1103" t="s">
        <v>25</v>
      </c>
      <c r="Q1103" t="s">
        <v>26</v>
      </c>
      <c r="R1103" t="str">
        <f>IF(COUNTIF(Sheet2!B:B, A1103) &gt; 0, "Yes", "No")</f>
        <v>No</v>
      </c>
    </row>
    <row r="1104" spans="1:18" x14ac:dyDescent="0.25">
      <c r="A1104" s="3">
        <v>45246</v>
      </c>
      <c r="B1104" t="s">
        <v>386</v>
      </c>
      <c r="C1104" t="s">
        <v>66</v>
      </c>
      <c r="D1104" t="s">
        <v>20</v>
      </c>
      <c r="E1104" t="s">
        <v>67</v>
      </c>
      <c r="F1104" t="s">
        <v>27</v>
      </c>
      <c r="G1104" t="s">
        <v>144</v>
      </c>
      <c r="H1104" t="s">
        <v>145</v>
      </c>
      <c r="I1104">
        <v>0.11</v>
      </c>
      <c r="J1104">
        <f t="shared" si="51"/>
        <v>36.299999999999997</v>
      </c>
      <c r="K1104">
        <v>0</v>
      </c>
      <c r="L1104">
        <f t="shared" si="52"/>
        <v>36.299999999999997</v>
      </c>
      <c r="M1104" s="4">
        <f t="shared" si="53"/>
        <v>9.5526315789473681E-2</v>
      </c>
      <c r="N1104">
        <v>380</v>
      </c>
      <c r="O1104">
        <v>330</v>
      </c>
      <c r="P1104" t="s">
        <v>25</v>
      </c>
      <c r="Q1104" t="s">
        <v>26</v>
      </c>
      <c r="R1104" t="str">
        <f>IF(COUNTIF(Sheet2!B:B, A1104) &gt; 0, "Yes", "No")</f>
        <v>No</v>
      </c>
    </row>
    <row r="1105" spans="1:18" x14ac:dyDescent="0.25">
      <c r="A1105" s="3">
        <v>45246</v>
      </c>
      <c r="B1105" t="s">
        <v>386</v>
      </c>
      <c r="C1105" t="s">
        <v>66</v>
      </c>
      <c r="D1105" t="s">
        <v>20</v>
      </c>
      <c r="E1105" t="s">
        <v>67</v>
      </c>
      <c r="F1105" t="s">
        <v>30</v>
      </c>
      <c r="G1105" t="s">
        <v>55</v>
      </c>
      <c r="H1105" t="s">
        <v>56</v>
      </c>
      <c r="I1105">
        <v>0.09</v>
      </c>
      <c r="J1105">
        <f t="shared" si="51"/>
        <v>29.7</v>
      </c>
      <c r="K1105">
        <v>1</v>
      </c>
      <c r="L1105">
        <f t="shared" si="52"/>
        <v>28.7</v>
      </c>
      <c r="M1105" s="4">
        <f t="shared" si="53"/>
        <v>7.5526315789473678E-2</v>
      </c>
      <c r="N1105">
        <v>380</v>
      </c>
      <c r="O1105">
        <v>330</v>
      </c>
      <c r="P1105" t="s">
        <v>25</v>
      </c>
      <c r="Q1105" t="s">
        <v>26</v>
      </c>
      <c r="R1105" t="str">
        <f>IF(COUNTIF(Sheet2!B:B, A1105) &gt; 0, "Yes", "No")</f>
        <v>No</v>
      </c>
    </row>
    <row r="1106" spans="1:18" x14ac:dyDescent="0.25">
      <c r="A1106" s="3">
        <v>45246</v>
      </c>
      <c r="B1106" t="s">
        <v>386</v>
      </c>
      <c r="C1106" t="s">
        <v>66</v>
      </c>
      <c r="D1106" t="s">
        <v>20</v>
      </c>
      <c r="E1106" t="s">
        <v>67</v>
      </c>
      <c r="F1106" t="s">
        <v>37</v>
      </c>
      <c r="G1106" t="s">
        <v>87</v>
      </c>
      <c r="H1106" t="s">
        <v>136</v>
      </c>
      <c r="I1106">
        <v>3.5000000000000003E-2</v>
      </c>
      <c r="J1106">
        <f t="shared" si="51"/>
        <v>11.55</v>
      </c>
      <c r="K1106">
        <v>0</v>
      </c>
      <c r="L1106">
        <f t="shared" si="52"/>
        <v>11.55</v>
      </c>
      <c r="M1106" s="4">
        <f t="shared" si="53"/>
        <v>3.0394736842105266E-2</v>
      </c>
      <c r="N1106">
        <v>380</v>
      </c>
      <c r="O1106">
        <v>330</v>
      </c>
      <c r="P1106" t="s">
        <v>25</v>
      </c>
      <c r="Q1106" t="s">
        <v>26</v>
      </c>
      <c r="R1106" t="str">
        <f>IF(COUNTIF(Sheet2!B:B, A1106) &gt; 0, "Yes", "No")</f>
        <v>No</v>
      </c>
    </row>
    <row r="1107" spans="1:18" x14ac:dyDescent="0.25">
      <c r="A1107" s="3">
        <v>45246</v>
      </c>
      <c r="B1107" t="s">
        <v>386</v>
      </c>
      <c r="C1107" t="s">
        <v>66</v>
      </c>
      <c r="D1107" t="s">
        <v>20</v>
      </c>
      <c r="E1107" t="s">
        <v>67</v>
      </c>
      <c r="F1107" t="s">
        <v>40</v>
      </c>
      <c r="G1107" t="s">
        <v>73</v>
      </c>
      <c r="H1107" t="s">
        <v>74</v>
      </c>
      <c r="I1107">
        <v>0.05</v>
      </c>
      <c r="J1107">
        <f t="shared" si="51"/>
        <v>16.5</v>
      </c>
      <c r="K1107">
        <v>0</v>
      </c>
      <c r="L1107">
        <f t="shared" si="52"/>
        <v>16.5</v>
      </c>
      <c r="M1107" s="4">
        <f t="shared" si="53"/>
        <v>4.3421052631578951E-2</v>
      </c>
      <c r="N1107">
        <v>380</v>
      </c>
      <c r="O1107">
        <v>330</v>
      </c>
      <c r="P1107" t="s">
        <v>25</v>
      </c>
      <c r="Q1107" t="s">
        <v>26</v>
      </c>
      <c r="R1107" t="str">
        <f>IF(COUNTIF(Sheet2!B:B, A1107) &gt; 0, "Yes", "No")</f>
        <v>No</v>
      </c>
    </row>
    <row r="1108" spans="1:18" x14ac:dyDescent="0.25">
      <c r="A1108" s="3">
        <v>45246</v>
      </c>
      <c r="B1108" t="s">
        <v>386</v>
      </c>
      <c r="C1108" t="s">
        <v>66</v>
      </c>
      <c r="D1108" t="s">
        <v>20</v>
      </c>
      <c r="E1108" t="s">
        <v>67</v>
      </c>
      <c r="F1108" t="s">
        <v>43</v>
      </c>
      <c r="G1108" t="s">
        <v>252</v>
      </c>
      <c r="H1108" t="s">
        <v>253</v>
      </c>
      <c r="I1108">
        <v>0.11</v>
      </c>
      <c r="J1108">
        <f t="shared" si="51"/>
        <v>36.299999999999997</v>
      </c>
      <c r="K1108">
        <v>0</v>
      </c>
      <c r="L1108">
        <f t="shared" si="52"/>
        <v>36.299999999999997</v>
      </c>
      <c r="M1108" s="4">
        <f t="shared" si="53"/>
        <v>9.5526315789473681E-2</v>
      </c>
      <c r="N1108">
        <v>380</v>
      </c>
      <c r="O1108">
        <v>330</v>
      </c>
      <c r="P1108" t="s">
        <v>25</v>
      </c>
      <c r="Q1108" t="s">
        <v>26</v>
      </c>
      <c r="R1108" t="str">
        <f>IF(COUNTIF(Sheet2!B:B, A1108) &gt; 0, "Yes", "No")</f>
        <v>No</v>
      </c>
    </row>
    <row r="1109" spans="1:18" x14ac:dyDescent="0.25">
      <c r="A1109" s="3">
        <v>45246</v>
      </c>
      <c r="B1109" t="s">
        <v>386</v>
      </c>
      <c r="C1109" t="s">
        <v>66</v>
      </c>
      <c r="D1109" t="s">
        <v>20</v>
      </c>
      <c r="E1109" t="s">
        <v>67</v>
      </c>
      <c r="F1109" t="s">
        <v>46</v>
      </c>
      <c r="G1109" t="s">
        <v>331</v>
      </c>
      <c r="H1109" t="s">
        <v>398</v>
      </c>
      <c r="I1109">
        <v>8.5000000000000006E-2</v>
      </c>
      <c r="J1109">
        <f t="shared" si="51"/>
        <v>28.05</v>
      </c>
      <c r="K1109">
        <v>3</v>
      </c>
      <c r="L1109">
        <f t="shared" si="52"/>
        <v>25.05</v>
      </c>
      <c r="M1109" s="4">
        <f t="shared" si="53"/>
        <v>6.592105263157895E-2</v>
      </c>
      <c r="N1109">
        <v>380</v>
      </c>
      <c r="O1109">
        <v>330</v>
      </c>
      <c r="P1109" t="s">
        <v>25</v>
      </c>
      <c r="Q1109" t="s">
        <v>26</v>
      </c>
      <c r="R1109" t="str">
        <f>IF(COUNTIF(Sheet2!B:B, A1109) &gt; 0, "Yes", "No")</f>
        <v>No</v>
      </c>
    </row>
    <row r="1110" spans="1:18" x14ac:dyDescent="0.25">
      <c r="A1110" s="3">
        <v>45246</v>
      </c>
      <c r="B1110" t="s">
        <v>386</v>
      </c>
      <c r="C1110" t="s">
        <v>66</v>
      </c>
      <c r="D1110" t="s">
        <v>20</v>
      </c>
      <c r="E1110" t="s">
        <v>67</v>
      </c>
      <c r="F1110" t="s">
        <v>49</v>
      </c>
      <c r="G1110" t="s">
        <v>50</v>
      </c>
      <c r="H1110" t="s">
        <v>49</v>
      </c>
      <c r="I1110">
        <v>0.09</v>
      </c>
      <c r="J1110">
        <f t="shared" si="51"/>
        <v>29.7</v>
      </c>
      <c r="K1110">
        <v>0</v>
      </c>
      <c r="L1110">
        <f t="shared" si="52"/>
        <v>29.7</v>
      </c>
      <c r="M1110" s="4">
        <f t="shared" si="53"/>
        <v>7.8157894736842107E-2</v>
      </c>
      <c r="N1110">
        <v>380</v>
      </c>
      <c r="O1110">
        <v>330</v>
      </c>
      <c r="P1110" t="s">
        <v>25</v>
      </c>
      <c r="Q1110" t="s">
        <v>26</v>
      </c>
      <c r="R1110" t="str">
        <f>IF(COUNTIF(Sheet2!B:B, A1110) &gt; 0, "Yes", "No")</f>
        <v>No</v>
      </c>
    </row>
    <row r="1111" spans="1:18" x14ac:dyDescent="0.25">
      <c r="A1111" s="3">
        <v>45247</v>
      </c>
      <c r="B1111" t="s">
        <v>386</v>
      </c>
      <c r="C1111" t="s">
        <v>79</v>
      </c>
      <c r="D1111" t="s">
        <v>20</v>
      </c>
      <c r="E1111" t="s">
        <v>21</v>
      </c>
      <c r="F1111" t="s">
        <v>22</v>
      </c>
      <c r="G1111" t="s">
        <v>122</v>
      </c>
      <c r="H1111" t="s">
        <v>155</v>
      </c>
      <c r="I1111" s="5">
        <v>0.06</v>
      </c>
      <c r="J1111">
        <f t="shared" si="51"/>
        <v>21</v>
      </c>
      <c r="K1111">
        <v>5</v>
      </c>
      <c r="L1111">
        <f t="shared" si="52"/>
        <v>16</v>
      </c>
      <c r="M1111" s="4">
        <f t="shared" si="53"/>
        <v>0.04</v>
      </c>
      <c r="N1111">
        <v>400</v>
      </c>
      <c r="O1111">
        <v>350</v>
      </c>
      <c r="P1111" t="s">
        <v>25</v>
      </c>
      <c r="Q1111" t="s">
        <v>26</v>
      </c>
      <c r="R1111" t="str">
        <f>IF(COUNTIF(Sheet2!B:B, A1111) &gt; 0, "Yes", "No")</f>
        <v>Yes</v>
      </c>
    </row>
    <row r="1112" spans="1:18" x14ac:dyDescent="0.25">
      <c r="A1112" s="3">
        <v>45247</v>
      </c>
      <c r="B1112" t="s">
        <v>386</v>
      </c>
      <c r="C1112" t="s">
        <v>79</v>
      </c>
      <c r="D1112" t="s">
        <v>20</v>
      </c>
      <c r="E1112" t="s">
        <v>21</v>
      </c>
      <c r="F1112" t="s">
        <v>27</v>
      </c>
      <c r="G1112" t="s">
        <v>81</v>
      </c>
      <c r="H1112" t="s">
        <v>310</v>
      </c>
      <c r="I1112" s="5">
        <v>0.1</v>
      </c>
      <c r="J1112">
        <f t="shared" si="51"/>
        <v>35</v>
      </c>
      <c r="K1112">
        <v>0</v>
      </c>
      <c r="L1112">
        <f t="shared" si="52"/>
        <v>35</v>
      </c>
      <c r="M1112" s="4">
        <f t="shared" si="53"/>
        <v>8.7499999999999994E-2</v>
      </c>
      <c r="N1112">
        <v>400</v>
      </c>
      <c r="O1112">
        <v>350</v>
      </c>
      <c r="P1112" t="s">
        <v>25</v>
      </c>
      <c r="Q1112" t="s">
        <v>26</v>
      </c>
      <c r="R1112" t="str">
        <f>IF(COUNTIF(Sheet2!B:B, A1112) &gt; 0, "Yes", "No")</f>
        <v>Yes</v>
      </c>
    </row>
    <row r="1113" spans="1:18" x14ac:dyDescent="0.25">
      <c r="A1113" s="3">
        <v>45247</v>
      </c>
      <c r="B1113" t="s">
        <v>386</v>
      </c>
      <c r="C1113" t="s">
        <v>79</v>
      </c>
      <c r="D1113" t="s">
        <v>20</v>
      </c>
      <c r="E1113" t="s">
        <v>21</v>
      </c>
      <c r="F1113" t="s">
        <v>30</v>
      </c>
      <c r="G1113" t="s">
        <v>31</v>
      </c>
      <c r="H1113" t="s">
        <v>172</v>
      </c>
      <c r="I1113" s="5">
        <v>0.06</v>
      </c>
      <c r="J1113">
        <f t="shared" si="51"/>
        <v>21</v>
      </c>
      <c r="K1113">
        <v>2</v>
      </c>
      <c r="L1113">
        <f t="shared" si="52"/>
        <v>19</v>
      </c>
      <c r="M1113" s="4">
        <f t="shared" si="53"/>
        <v>4.7500000000000001E-2</v>
      </c>
      <c r="N1113">
        <v>400</v>
      </c>
      <c r="O1113">
        <v>350</v>
      </c>
      <c r="P1113" t="s">
        <v>25</v>
      </c>
      <c r="Q1113" t="s">
        <v>26</v>
      </c>
      <c r="R1113" t="str">
        <f>IF(COUNTIF(Sheet2!B:B, A1113) &gt; 0, "Yes", "No")</f>
        <v>Yes</v>
      </c>
    </row>
    <row r="1114" spans="1:18" x14ac:dyDescent="0.25">
      <c r="A1114" s="3">
        <v>45247</v>
      </c>
      <c r="B1114" t="s">
        <v>386</v>
      </c>
      <c r="C1114" t="s">
        <v>79</v>
      </c>
      <c r="D1114" t="s">
        <v>33</v>
      </c>
      <c r="E1114" t="s">
        <v>21</v>
      </c>
      <c r="F1114" t="s">
        <v>84</v>
      </c>
      <c r="G1114" t="s">
        <v>177</v>
      </c>
      <c r="H1114" t="s">
        <v>220</v>
      </c>
      <c r="I1114" s="5">
        <v>0.3</v>
      </c>
      <c r="J1114">
        <f t="shared" si="51"/>
        <v>63</v>
      </c>
      <c r="K1114">
        <v>0</v>
      </c>
      <c r="L1114">
        <f t="shared" si="52"/>
        <v>63</v>
      </c>
      <c r="M1114" s="4">
        <f t="shared" si="53"/>
        <v>0.26250000000000001</v>
      </c>
      <c r="N1114">
        <v>240</v>
      </c>
      <c r="O1114">
        <v>210</v>
      </c>
      <c r="P1114" t="s">
        <v>25</v>
      </c>
      <c r="Q1114" t="s">
        <v>26</v>
      </c>
      <c r="R1114" t="str">
        <f>IF(COUNTIF(Sheet2!B:B, A1114) &gt; 0, "Yes", "No")</f>
        <v>Yes</v>
      </c>
    </row>
    <row r="1115" spans="1:18" x14ac:dyDescent="0.25">
      <c r="A1115" s="3">
        <v>45247</v>
      </c>
      <c r="B1115" t="s">
        <v>386</v>
      </c>
      <c r="C1115" t="s">
        <v>79</v>
      </c>
      <c r="D1115" t="s">
        <v>20</v>
      </c>
      <c r="E1115" t="s">
        <v>21</v>
      </c>
      <c r="F1115" t="s">
        <v>37</v>
      </c>
      <c r="G1115" t="s">
        <v>38</v>
      </c>
      <c r="H1115" t="s">
        <v>39</v>
      </c>
      <c r="I1115" s="5">
        <v>2.5000000000000001E-2</v>
      </c>
      <c r="J1115">
        <f t="shared" si="51"/>
        <v>8.75</v>
      </c>
      <c r="K1115">
        <v>1.5</v>
      </c>
      <c r="L1115">
        <f t="shared" si="52"/>
        <v>7.25</v>
      </c>
      <c r="M1115" s="4">
        <f t="shared" si="53"/>
        <v>1.8124999999999999E-2</v>
      </c>
      <c r="N1115">
        <v>400</v>
      </c>
      <c r="O1115">
        <v>350</v>
      </c>
      <c r="P1115" t="s">
        <v>25</v>
      </c>
      <c r="Q1115" t="s">
        <v>26</v>
      </c>
      <c r="R1115" t="str">
        <f>IF(COUNTIF(Sheet2!B:B, A1115) &gt; 0, "Yes", "No")</f>
        <v>Yes</v>
      </c>
    </row>
    <row r="1116" spans="1:18" x14ac:dyDescent="0.25">
      <c r="A1116" s="3">
        <v>45247</v>
      </c>
      <c r="B1116" t="s">
        <v>386</v>
      </c>
      <c r="C1116" t="s">
        <v>79</v>
      </c>
      <c r="D1116" t="s">
        <v>20</v>
      </c>
      <c r="E1116" t="s">
        <v>21</v>
      </c>
      <c r="F1116" t="s">
        <v>40</v>
      </c>
      <c r="G1116" t="s">
        <v>61</v>
      </c>
      <c r="H1116" t="s">
        <v>119</v>
      </c>
      <c r="I1116" s="5">
        <v>0.04</v>
      </c>
      <c r="J1116">
        <f t="shared" si="51"/>
        <v>14</v>
      </c>
      <c r="K1116">
        <v>2.5</v>
      </c>
      <c r="L1116">
        <f t="shared" si="52"/>
        <v>11.5</v>
      </c>
      <c r="M1116" s="4">
        <f t="shared" si="53"/>
        <v>2.8750000000000001E-2</v>
      </c>
      <c r="N1116">
        <v>400</v>
      </c>
      <c r="O1116">
        <v>350</v>
      </c>
      <c r="P1116" t="s">
        <v>25</v>
      </c>
      <c r="Q1116" t="s">
        <v>26</v>
      </c>
      <c r="R1116" t="str">
        <f>IF(COUNTIF(Sheet2!B:B, A1116) &gt; 0, "Yes", "No")</f>
        <v>Yes</v>
      </c>
    </row>
    <row r="1117" spans="1:18" x14ac:dyDescent="0.25">
      <c r="A1117" s="3">
        <v>45247</v>
      </c>
      <c r="B1117" t="s">
        <v>386</v>
      </c>
      <c r="C1117" t="s">
        <v>79</v>
      </c>
      <c r="D1117" t="s">
        <v>20</v>
      </c>
      <c r="E1117" t="s">
        <v>21</v>
      </c>
      <c r="F1117" t="s">
        <v>43</v>
      </c>
      <c r="G1117" t="s">
        <v>44</v>
      </c>
      <c r="H1117" t="s">
        <v>293</v>
      </c>
      <c r="I1117" s="5">
        <v>0.08</v>
      </c>
      <c r="J1117">
        <f t="shared" si="51"/>
        <v>28</v>
      </c>
      <c r="K1117">
        <v>3</v>
      </c>
      <c r="L1117">
        <f t="shared" si="52"/>
        <v>25</v>
      </c>
      <c r="M1117" s="4">
        <f t="shared" si="53"/>
        <v>6.25E-2</v>
      </c>
      <c r="N1117">
        <v>400</v>
      </c>
      <c r="O1117">
        <v>350</v>
      </c>
      <c r="P1117" t="s">
        <v>25</v>
      </c>
      <c r="Q1117" t="s">
        <v>26</v>
      </c>
      <c r="R1117" t="str">
        <f>IF(COUNTIF(Sheet2!B:B, A1117) &gt; 0, "Yes", "No")</f>
        <v>Yes</v>
      </c>
    </row>
    <row r="1118" spans="1:18" x14ac:dyDescent="0.25">
      <c r="A1118" s="3">
        <v>45247</v>
      </c>
      <c r="B1118" t="s">
        <v>386</v>
      </c>
      <c r="C1118" t="s">
        <v>79</v>
      </c>
      <c r="D1118" t="s">
        <v>20</v>
      </c>
      <c r="E1118" t="s">
        <v>21</v>
      </c>
      <c r="F1118" t="s">
        <v>46</v>
      </c>
      <c r="G1118" t="s">
        <v>47</v>
      </c>
      <c r="H1118" t="s">
        <v>78</v>
      </c>
      <c r="I1118" s="5">
        <v>5.5E-2</v>
      </c>
      <c r="J1118">
        <f t="shared" si="51"/>
        <v>19.25</v>
      </c>
      <c r="K1118">
        <v>2</v>
      </c>
      <c r="L1118">
        <f t="shared" si="52"/>
        <v>17.25</v>
      </c>
      <c r="M1118" s="4">
        <f t="shared" si="53"/>
        <v>4.3124999999999997E-2</v>
      </c>
      <c r="N1118">
        <v>400</v>
      </c>
      <c r="O1118">
        <v>350</v>
      </c>
      <c r="P1118" t="s">
        <v>25</v>
      </c>
      <c r="Q1118" t="s">
        <v>26</v>
      </c>
      <c r="R1118" t="str">
        <f>IF(COUNTIF(Sheet2!B:B, A1118) &gt; 0, "Yes", "No")</f>
        <v>Yes</v>
      </c>
    </row>
    <row r="1119" spans="1:18" x14ac:dyDescent="0.25">
      <c r="A1119" s="3">
        <v>45247</v>
      </c>
      <c r="B1119" t="s">
        <v>386</v>
      </c>
      <c r="C1119" t="s">
        <v>79</v>
      </c>
      <c r="D1119" t="s">
        <v>20</v>
      </c>
      <c r="E1119" t="s">
        <v>21</v>
      </c>
      <c r="F1119" t="s">
        <v>49</v>
      </c>
      <c r="G1119" t="s">
        <v>50</v>
      </c>
      <c r="H1119" t="s">
        <v>49</v>
      </c>
      <c r="I1119" s="5">
        <v>0.04</v>
      </c>
      <c r="J1119">
        <f t="shared" si="51"/>
        <v>14</v>
      </c>
      <c r="K1119">
        <v>4</v>
      </c>
      <c r="L1119">
        <f t="shared" si="52"/>
        <v>10</v>
      </c>
      <c r="M1119" s="4">
        <f t="shared" si="53"/>
        <v>2.5000000000000001E-2</v>
      </c>
      <c r="N1119">
        <v>400</v>
      </c>
      <c r="O1119">
        <v>350</v>
      </c>
      <c r="P1119" t="s">
        <v>25</v>
      </c>
      <c r="Q1119" t="s">
        <v>26</v>
      </c>
      <c r="R1119" t="str">
        <f>IF(COUNTIF(Sheet2!B:B, A1119) &gt; 0, "Yes", "No")</f>
        <v>Yes</v>
      </c>
    </row>
    <row r="1120" spans="1:18" x14ac:dyDescent="0.25">
      <c r="A1120" s="3">
        <v>45250</v>
      </c>
      <c r="B1120" t="s">
        <v>386</v>
      </c>
      <c r="C1120" t="s">
        <v>19</v>
      </c>
      <c r="D1120" t="s">
        <v>20</v>
      </c>
      <c r="E1120" t="s">
        <v>21</v>
      </c>
      <c r="F1120" t="s">
        <v>22</v>
      </c>
      <c r="G1120" t="s">
        <v>52</v>
      </c>
      <c r="H1120" t="s">
        <v>53</v>
      </c>
      <c r="I1120">
        <v>8.5000000000000006E-2</v>
      </c>
      <c r="J1120">
        <f t="shared" si="51"/>
        <v>38.25</v>
      </c>
      <c r="K1120">
        <v>2.5</v>
      </c>
      <c r="L1120">
        <f t="shared" si="52"/>
        <v>35.75</v>
      </c>
      <c r="M1120" s="4">
        <f t="shared" si="53"/>
        <v>7.1499999999999994E-2</v>
      </c>
      <c r="N1120">
        <v>500</v>
      </c>
      <c r="O1120">
        <v>450</v>
      </c>
      <c r="P1120" t="s">
        <v>322</v>
      </c>
      <c r="Q1120" t="s">
        <v>320</v>
      </c>
      <c r="R1120" t="str">
        <f>IF(COUNTIF(Sheet2!B:B, A1120) &gt; 0, "Yes", "No")</f>
        <v>No</v>
      </c>
    </row>
    <row r="1121" spans="1:18" x14ac:dyDescent="0.25">
      <c r="A1121" s="3">
        <v>45250</v>
      </c>
      <c r="B1121" t="s">
        <v>386</v>
      </c>
      <c r="C1121" t="s">
        <v>19</v>
      </c>
      <c r="D1121" t="s">
        <v>20</v>
      </c>
      <c r="E1121" t="s">
        <v>21</v>
      </c>
      <c r="F1121" t="s">
        <v>27</v>
      </c>
      <c r="G1121" t="s">
        <v>28</v>
      </c>
      <c r="H1121" t="s">
        <v>204</v>
      </c>
      <c r="I1121">
        <v>0.11</v>
      </c>
      <c r="J1121">
        <f t="shared" si="51"/>
        <v>49.5</v>
      </c>
      <c r="K1121">
        <v>3</v>
      </c>
      <c r="L1121">
        <f t="shared" si="52"/>
        <v>46.5</v>
      </c>
      <c r="M1121" s="4">
        <f t="shared" si="53"/>
        <v>9.2999999999999999E-2</v>
      </c>
      <c r="N1121">
        <v>500</v>
      </c>
      <c r="O1121">
        <v>450</v>
      </c>
      <c r="P1121" t="s">
        <v>322</v>
      </c>
      <c r="Q1121" t="s">
        <v>320</v>
      </c>
      <c r="R1121" t="str">
        <f>IF(COUNTIF(Sheet2!B:B, A1121) &gt; 0, "Yes", "No")</f>
        <v>No</v>
      </c>
    </row>
    <row r="1122" spans="1:18" x14ac:dyDescent="0.25">
      <c r="A1122" s="3">
        <v>45250</v>
      </c>
      <c r="B1122" t="s">
        <v>386</v>
      </c>
      <c r="C1122" t="s">
        <v>19</v>
      </c>
      <c r="D1122" t="s">
        <v>20</v>
      </c>
      <c r="E1122" t="s">
        <v>21</v>
      </c>
      <c r="F1122" t="s">
        <v>30</v>
      </c>
      <c r="G1122" t="s">
        <v>31</v>
      </c>
      <c r="H1122" t="s">
        <v>172</v>
      </c>
      <c r="I1122">
        <v>0.09</v>
      </c>
      <c r="J1122">
        <f t="shared" si="51"/>
        <v>40.5</v>
      </c>
      <c r="K1122">
        <v>0.5</v>
      </c>
      <c r="L1122">
        <f t="shared" si="52"/>
        <v>40</v>
      </c>
      <c r="M1122" s="4">
        <f t="shared" si="53"/>
        <v>0.08</v>
      </c>
      <c r="N1122">
        <v>500</v>
      </c>
      <c r="O1122">
        <v>450</v>
      </c>
      <c r="P1122" t="s">
        <v>322</v>
      </c>
      <c r="Q1122" t="s">
        <v>320</v>
      </c>
      <c r="R1122" t="str">
        <f>IF(COUNTIF(Sheet2!B:B, A1122) &gt; 0, "Yes", "No")</f>
        <v>No</v>
      </c>
    </row>
    <row r="1123" spans="1:18" x14ac:dyDescent="0.25">
      <c r="A1123" s="3">
        <v>45250</v>
      </c>
      <c r="B1123" t="s">
        <v>386</v>
      </c>
      <c r="C1123" t="s">
        <v>19</v>
      </c>
      <c r="D1123" t="s">
        <v>33</v>
      </c>
      <c r="E1123" t="s">
        <v>21</v>
      </c>
      <c r="F1123" t="s">
        <v>34</v>
      </c>
      <c r="G1123" t="s">
        <v>57</v>
      </c>
      <c r="H1123" t="s">
        <v>351</v>
      </c>
      <c r="I1123">
        <v>0.15</v>
      </c>
      <c r="J1123">
        <f t="shared" si="51"/>
        <v>40.5</v>
      </c>
      <c r="K1123">
        <v>0</v>
      </c>
      <c r="L1123">
        <f t="shared" si="52"/>
        <v>40.5</v>
      </c>
      <c r="M1123" s="4">
        <f t="shared" si="53"/>
        <v>0.13500000000000001</v>
      </c>
      <c r="N1123">
        <v>300</v>
      </c>
      <c r="O1123">
        <v>270</v>
      </c>
      <c r="P1123" t="s">
        <v>322</v>
      </c>
      <c r="Q1123" t="s">
        <v>320</v>
      </c>
      <c r="R1123" t="str">
        <f>IF(COUNTIF(Sheet2!B:B, A1123) &gt; 0, "Yes", "No")</f>
        <v>No</v>
      </c>
    </row>
    <row r="1124" spans="1:18" x14ac:dyDescent="0.25">
      <c r="A1124" s="3">
        <v>45250</v>
      </c>
      <c r="B1124" t="s">
        <v>386</v>
      </c>
      <c r="C1124" t="s">
        <v>19</v>
      </c>
      <c r="D1124" t="s">
        <v>20</v>
      </c>
      <c r="E1124" t="s">
        <v>21</v>
      </c>
      <c r="F1124" t="s">
        <v>37</v>
      </c>
      <c r="G1124" t="s">
        <v>117</v>
      </c>
      <c r="H1124" t="s">
        <v>118</v>
      </c>
      <c r="I1124">
        <v>0.03</v>
      </c>
      <c r="J1124">
        <f t="shared" si="51"/>
        <v>13.5</v>
      </c>
      <c r="K1124">
        <v>1</v>
      </c>
      <c r="L1124">
        <f t="shared" si="52"/>
        <v>12.5</v>
      </c>
      <c r="M1124" s="4">
        <f t="shared" si="53"/>
        <v>2.5000000000000001E-2</v>
      </c>
      <c r="N1124">
        <v>500</v>
      </c>
      <c r="O1124">
        <v>450</v>
      </c>
      <c r="P1124" t="s">
        <v>322</v>
      </c>
      <c r="Q1124" t="s">
        <v>320</v>
      </c>
      <c r="R1124" t="str">
        <f>IF(COUNTIF(Sheet2!B:B, A1124) &gt; 0, "Yes", "No")</f>
        <v>No</v>
      </c>
    </row>
    <row r="1125" spans="1:18" x14ac:dyDescent="0.25">
      <c r="A1125" s="3">
        <v>45250</v>
      </c>
      <c r="B1125" t="s">
        <v>386</v>
      </c>
      <c r="C1125" t="s">
        <v>19</v>
      </c>
      <c r="D1125" t="s">
        <v>20</v>
      </c>
      <c r="E1125" t="s">
        <v>21</v>
      </c>
      <c r="F1125" t="s">
        <v>40</v>
      </c>
      <c r="G1125" t="s">
        <v>164</v>
      </c>
      <c r="H1125" t="s">
        <v>193</v>
      </c>
      <c r="I1125">
        <v>4.4999999999999998E-2</v>
      </c>
      <c r="J1125">
        <f t="shared" si="51"/>
        <v>20.25</v>
      </c>
      <c r="K1125">
        <v>1.5</v>
      </c>
      <c r="L1125">
        <f t="shared" si="52"/>
        <v>18.75</v>
      </c>
      <c r="M1125" s="4">
        <f t="shared" si="53"/>
        <v>3.7499999999999999E-2</v>
      </c>
      <c r="N1125">
        <v>500</v>
      </c>
      <c r="O1125">
        <v>450</v>
      </c>
      <c r="P1125" t="s">
        <v>322</v>
      </c>
      <c r="Q1125" t="s">
        <v>320</v>
      </c>
      <c r="R1125" t="str">
        <f>IF(COUNTIF(Sheet2!B:B, A1125) &gt; 0, "Yes", "No")</f>
        <v>No</v>
      </c>
    </row>
    <row r="1126" spans="1:18" x14ac:dyDescent="0.25">
      <c r="A1126" s="3">
        <v>45250</v>
      </c>
      <c r="B1126" t="s">
        <v>386</v>
      </c>
      <c r="C1126" t="s">
        <v>19</v>
      </c>
      <c r="D1126" t="s">
        <v>20</v>
      </c>
      <c r="E1126" t="s">
        <v>21</v>
      </c>
      <c r="F1126" t="s">
        <v>43</v>
      </c>
      <c r="G1126" t="s">
        <v>44</v>
      </c>
      <c r="H1126" t="s">
        <v>399</v>
      </c>
      <c r="I1126">
        <v>0.11</v>
      </c>
      <c r="J1126">
        <f t="shared" si="51"/>
        <v>49.5</v>
      </c>
      <c r="K1126">
        <v>1.5</v>
      </c>
      <c r="L1126">
        <f t="shared" si="52"/>
        <v>48</v>
      </c>
      <c r="M1126" s="4">
        <f t="shared" si="53"/>
        <v>9.6000000000000002E-2</v>
      </c>
      <c r="N1126">
        <v>500</v>
      </c>
      <c r="O1126">
        <v>450</v>
      </c>
      <c r="P1126" t="s">
        <v>322</v>
      </c>
      <c r="Q1126" t="s">
        <v>320</v>
      </c>
      <c r="R1126" t="str">
        <f>IF(COUNTIF(Sheet2!B:B, A1126) &gt; 0, "Yes", "No")</f>
        <v>No</v>
      </c>
    </row>
    <row r="1127" spans="1:18" x14ac:dyDescent="0.25">
      <c r="A1127" s="3">
        <v>45250</v>
      </c>
      <c r="B1127" t="s">
        <v>386</v>
      </c>
      <c r="C1127" t="s">
        <v>19</v>
      </c>
      <c r="D1127" t="s">
        <v>20</v>
      </c>
      <c r="E1127" t="s">
        <v>21</v>
      </c>
      <c r="F1127" t="s">
        <v>46</v>
      </c>
      <c r="G1127" t="s">
        <v>256</v>
      </c>
      <c r="H1127" t="s">
        <v>400</v>
      </c>
      <c r="I1127">
        <v>8.5000000000000006E-2</v>
      </c>
      <c r="J1127">
        <f t="shared" si="51"/>
        <v>38.25</v>
      </c>
      <c r="K1127">
        <v>1</v>
      </c>
      <c r="L1127">
        <f t="shared" si="52"/>
        <v>37.25</v>
      </c>
      <c r="M1127" s="4">
        <f t="shared" si="53"/>
        <v>7.4499999999999997E-2</v>
      </c>
      <c r="N1127">
        <v>500</v>
      </c>
      <c r="O1127">
        <v>450</v>
      </c>
      <c r="P1127" t="s">
        <v>322</v>
      </c>
      <c r="Q1127" t="s">
        <v>320</v>
      </c>
      <c r="R1127" t="str">
        <f>IF(COUNTIF(Sheet2!B:B, A1127) &gt; 0, "Yes", "No")</f>
        <v>No</v>
      </c>
    </row>
    <row r="1128" spans="1:18" x14ac:dyDescent="0.25">
      <c r="A1128" s="3">
        <v>45250</v>
      </c>
      <c r="B1128" t="s">
        <v>386</v>
      </c>
      <c r="C1128" t="s">
        <v>19</v>
      </c>
      <c r="D1128" t="s">
        <v>20</v>
      </c>
      <c r="E1128" t="s">
        <v>21</v>
      </c>
      <c r="F1128" t="s">
        <v>49</v>
      </c>
      <c r="G1128" t="s">
        <v>50</v>
      </c>
      <c r="H1128" t="s">
        <v>49</v>
      </c>
      <c r="I1128">
        <v>0.09</v>
      </c>
      <c r="J1128">
        <f t="shared" si="51"/>
        <v>40.5</v>
      </c>
      <c r="K1128">
        <v>0</v>
      </c>
      <c r="L1128">
        <f t="shared" si="52"/>
        <v>40.5</v>
      </c>
      <c r="M1128" s="4">
        <f t="shared" si="53"/>
        <v>8.1000000000000003E-2</v>
      </c>
      <c r="N1128">
        <v>500</v>
      </c>
      <c r="O1128">
        <v>450</v>
      </c>
      <c r="P1128" t="s">
        <v>322</v>
      </c>
      <c r="Q1128" t="s">
        <v>320</v>
      </c>
      <c r="R1128" t="str">
        <f>IF(COUNTIF(Sheet2!B:B, A1128) &gt; 0, "Yes", "No")</f>
        <v>No</v>
      </c>
    </row>
    <row r="1129" spans="1:18" x14ac:dyDescent="0.25">
      <c r="A1129" s="3">
        <v>45251</v>
      </c>
      <c r="B1129" t="s">
        <v>386</v>
      </c>
      <c r="C1129" t="s">
        <v>105</v>
      </c>
      <c r="D1129" t="s">
        <v>20</v>
      </c>
      <c r="E1129" t="s">
        <v>67</v>
      </c>
      <c r="F1129" t="s">
        <v>22</v>
      </c>
      <c r="G1129" t="s">
        <v>52</v>
      </c>
      <c r="H1129" t="s">
        <v>353</v>
      </c>
      <c r="I1129">
        <v>8.5000000000000006E-2</v>
      </c>
      <c r="J1129">
        <f t="shared" si="51"/>
        <v>40.800000000000004</v>
      </c>
      <c r="K1129">
        <v>2</v>
      </c>
      <c r="L1129">
        <f t="shared" si="52"/>
        <v>38.800000000000004</v>
      </c>
      <c r="M1129" s="4">
        <f t="shared" si="53"/>
        <v>7.054545454545455E-2</v>
      </c>
      <c r="N1129">
        <v>550</v>
      </c>
      <c r="O1129">
        <v>480</v>
      </c>
      <c r="P1129" t="s">
        <v>25</v>
      </c>
      <c r="Q1129" t="s">
        <v>26</v>
      </c>
      <c r="R1129" t="str">
        <f>IF(COUNTIF(Sheet2!B:B, A1129) &gt; 0, "Yes", "No")</f>
        <v>No</v>
      </c>
    </row>
    <row r="1130" spans="1:18" x14ac:dyDescent="0.25">
      <c r="A1130" s="3">
        <v>45251</v>
      </c>
      <c r="B1130" t="s">
        <v>386</v>
      </c>
      <c r="C1130" t="s">
        <v>105</v>
      </c>
      <c r="D1130" t="s">
        <v>20</v>
      </c>
      <c r="E1130" t="s">
        <v>67</v>
      </c>
      <c r="F1130" t="s">
        <v>27</v>
      </c>
      <c r="G1130" t="s">
        <v>115</v>
      </c>
      <c r="H1130" t="s">
        <v>115</v>
      </c>
      <c r="I1130">
        <v>0.11</v>
      </c>
      <c r="J1130">
        <f t="shared" si="51"/>
        <v>52.8</v>
      </c>
      <c r="K1130">
        <v>3</v>
      </c>
      <c r="L1130">
        <f t="shared" si="52"/>
        <v>49.8</v>
      </c>
      <c r="M1130" s="4">
        <f t="shared" si="53"/>
        <v>9.054545454545454E-2</v>
      </c>
      <c r="N1130">
        <v>550</v>
      </c>
      <c r="O1130">
        <v>480</v>
      </c>
      <c r="P1130" t="s">
        <v>25</v>
      </c>
      <c r="Q1130" t="s">
        <v>26</v>
      </c>
      <c r="R1130" t="str">
        <f>IF(COUNTIF(Sheet2!B:B, A1130) &gt; 0, "Yes", "No")</f>
        <v>No</v>
      </c>
    </row>
    <row r="1131" spans="1:18" x14ac:dyDescent="0.25">
      <c r="A1131" s="3">
        <v>45251</v>
      </c>
      <c r="B1131" t="s">
        <v>386</v>
      </c>
      <c r="C1131" t="s">
        <v>105</v>
      </c>
      <c r="D1131" t="s">
        <v>20</v>
      </c>
      <c r="E1131" t="s">
        <v>67</v>
      </c>
      <c r="F1131" t="s">
        <v>30</v>
      </c>
      <c r="G1131" t="s">
        <v>354</v>
      </c>
      <c r="H1131" t="s">
        <v>355</v>
      </c>
      <c r="I1131">
        <v>0.09</v>
      </c>
      <c r="J1131">
        <f t="shared" si="51"/>
        <v>43.199999999999996</v>
      </c>
      <c r="K1131">
        <v>1</v>
      </c>
      <c r="L1131">
        <f t="shared" si="52"/>
        <v>42.199999999999996</v>
      </c>
      <c r="M1131" s="4">
        <f t="shared" si="53"/>
        <v>7.6727272727272713E-2</v>
      </c>
      <c r="N1131">
        <v>550</v>
      </c>
      <c r="O1131">
        <v>480</v>
      </c>
      <c r="P1131" t="s">
        <v>25</v>
      </c>
      <c r="Q1131" t="s">
        <v>26</v>
      </c>
      <c r="R1131" t="str">
        <f>IF(COUNTIF(Sheet2!B:B, A1131) &gt; 0, "Yes", "No")</f>
        <v>No</v>
      </c>
    </row>
    <row r="1132" spans="1:18" x14ac:dyDescent="0.25">
      <c r="A1132" s="3">
        <v>45251</v>
      </c>
      <c r="B1132" t="s">
        <v>386</v>
      </c>
      <c r="C1132" t="s">
        <v>105</v>
      </c>
      <c r="D1132" t="s">
        <v>20</v>
      </c>
      <c r="E1132" t="s">
        <v>67</v>
      </c>
      <c r="F1132" t="s">
        <v>37</v>
      </c>
      <c r="G1132" t="s">
        <v>108</v>
      </c>
      <c r="H1132" t="s">
        <v>266</v>
      </c>
      <c r="I1132">
        <v>3.5000000000000003E-2</v>
      </c>
      <c r="J1132">
        <f t="shared" si="51"/>
        <v>16.8</v>
      </c>
      <c r="K1132">
        <v>2</v>
      </c>
      <c r="L1132">
        <f t="shared" si="52"/>
        <v>14.8</v>
      </c>
      <c r="M1132" s="4">
        <f t="shared" si="53"/>
        <v>2.690909090909091E-2</v>
      </c>
      <c r="N1132">
        <v>550</v>
      </c>
      <c r="O1132">
        <v>480</v>
      </c>
      <c r="P1132" t="s">
        <v>25</v>
      </c>
      <c r="Q1132" t="s">
        <v>26</v>
      </c>
      <c r="R1132" t="str">
        <f>IF(COUNTIF(Sheet2!B:B, A1132) &gt; 0, "Yes", "No")</f>
        <v>No</v>
      </c>
    </row>
    <row r="1133" spans="1:18" x14ac:dyDescent="0.25">
      <c r="A1133" s="3">
        <v>45251</v>
      </c>
      <c r="B1133" t="s">
        <v>386</v>
      </c>
      <c r="C1133" t="s">
        <v>105</v>
      </c>
      <c r="D1133" t="s">
        <v>20</v>
      </c>
      <c r="E1133" t="s">
        <v>67</v>
      </c>
      <c r="F1133" t="s">
        <v>40</v>
      </c>
      <c r="G1133" t="s">
        <v>137</v>
      </c>
      <c r="H1133" t="s">
        <v>138</v>
      </c>
      <c r="I1133">
        <v>0.05</v>
      </c>
      <c r="J1133">
        <f t="shared" si="51"/>
        <v>24</v>
      </c>
      <c r="K1133">
        <v>2</v>
      </c>
      <c r="L1133">
        <f t="shared" si="52"/>
        <v>22</v>
      </c>
      <c r="M1133" s="4">
        <f t="shared" si="53"/>
        <v>0.04</v>
      </c>
      <c r="N1133">
        <v>550</v>
      </c>
      <c r="O1133">
        <v>480</v>
      </c>
      <c r="P1133" t="s">
        <v>25</v>
      </c>
      <c r="Q1133" t="s">
        <v>26</v>
      </c>
      <c r="R1133" t="str">
        <f>IF(COUNTIF(Sheet2!B:B, A1133) &gt; 0, "Yes", "No")</f>
        <v>No</v>
      </c>
    </row>
    <row r="1134" spans="1:18" x14ac:dyDescent="0.25">
      <c r="A1134" s="3">
        <v>45251</v>
      </c>
      <c r="B1134" t="s">
        <v>386</v>
      </c>
      <c r="C1134" t="s">
        <v>105</v>
      </c>
      <c r="D1134" t="s">
        <v>20</v>
      </c>
      <c r="E1134" t="s">
        <v>67</v>
      </c>
      <c r="F1134" t="s">
        <v>43</v>
      </c>
      <c r="G1134" t="s">
        <v>90</v>
      </c>
      <c r="H1134" t="s">
        <v>356</v>
      </c>
      <c r="I1134">
        <v>0.11</v>
      </c>
      <c r="J1134">
        <f t="shared" si="51"/>
        <v>52.8</v>
      </c>
      <c r="K1134">
        <v>3</v>
      </c>
      <c r="L1134">
        <f t="shared" si="52"/>
        <v>49.8</v>
      </c>
      <c r="M1134" s="4">
        <f t="shared" si="53"/>
        <v>9.054545454545454E-2</v>
      </c>
      <c r="N1134">
        <v>550</v>
      </c>
      <c r="O1134">
        <v>480</v>
      </c>
      <c r="P1134" t="s">
        <v>25</v>
      </c>
      <c r="Q1134" t="s">
        <v>26</v>
      </c>
      <c r="R1134" t="str">
        <f>IF(COUNTIF(Sheet2!B:B, A1134) &gt; 0, "Yes", "No")</f>
        <v>No</v>
      </c>
    </row>
    <row r="1135" spans="1:18" x14ac:dyDescent="0.25">
      <c r="A1135" s="3">
        <v>45251</v>
      </c>
      <c r="B1135" t="s">
        <v>386</v>
      </c>
      <c r="C1135" t="s">
        <v>105</v>
      </c>
      <c r="D1135" t="s">
        <v>20</v>
      </c>
      <c r="E1135" t="s">
        <v>67</v>
      </c>
      <c r="F1135" t="s">
        <v>46</v>
      </c>
      <c r="G1135" t="s">
        <v>92</v>
      </c>
      <c r="H1135" t="s">
        <v>374</v>
      </c>
      <c r="I1135">
        <v>8.5000000000000006E-2</v>
      </c>
      <c r="J1135">
        <f t="shared" si="51"/>
        <v>40.800000000000004</v>
      </c>
      <c r="K1135">
        <v>3</v>
      </c>
      <c r="L1135">
        <f t="shared" si="52"/>
        <v>37.800000000000004</v>
      </c>
      <c r="M1135" s="4">
        <f t="shared" si="53"/>
        <v>6.8727272727272734E-2</v>
      </c>
      <c r="N1135">
        <v>550</v>
      </c>
      <c r="O1135">
        <v>480</v>
      </c>
      <c r="P1135" t="s">
        <v>25</v>
      </c>
      <c r="Q1135" t="s">
        <v>26</v>
      </c>
      <c r="R1135" t="str">
        <f>IF(COUNTIF(Sheet2!B:B, A1135) &gt; 0, "Yes", "No")</f>
        <v>No</v>
      </c>
    </row>
    <row r="1136" spans="1:18" x14ac:dyDescent="0.25">
      <c r="A1136" s="3">
        <v>45251</v>
      </c>
      <c r="B1136" t="s">
        <v>386</v>
      </c>
      <c r="C1136" t="s">
        <v>105</v>
      </c>
      <c r="D1136" t="s">
        <v>20</v>
      </c>
      <c r="E1136" t="s">
        <v>67</v>
      </c>
      <c r="F1136" t="s">
        <v>49</v>
      </c>
      <c r="G1136" t="s">
        <v>50</v>
      </c>
      <c r="H1136" t="s">
        <v>49</v>
      </c>
      <c r="I1136">
        <v>0.09</v>
      </c>
      <c r="J1136">
        <f t="shared" si="51"/>
        <v>43.199999999999996</v>
      </c>
      <c r="K1136">
        <v>2</v>
      </c>
      <c r="L1136">
        <f t="shared" si="52"/>
        <v>41.199999999999996</v>
      </c>
      <c r="M1136" s="4">
        <f t="shared" si="53"/>
        <v>7.4909090909090897E-2</v>
      </c>
      <c r="N1136">
        <v>550</v>
      </c>
      <c r="O1136">
        <v>480</v>
      </c>
      <c r="P1136" t="s">
        <v>25</v>
      </c>
      <c r="Q1136" t="s">
        <v>26</v>
      </c>
      <c r="R1136" t="str">
        <f>IF(COUNTIF(Sheet2!B:B, A1136) &gt; 0, "Yes", "No")</f>
        <v>No</v>
      </c>
    </row>
    <row r="1137" spans="1:18" x14ac:dyDescent="0.25">
      <c r="A1137" s="3">
        <v>45252</v>
      </c>
      <c r="B1137" t="s">
        <v>386</v>
      </c>
      <c r="C1137" t="s">
        <v>51</v>
      </c>
      <c r="D1137" t="s">
        <v>20</v>
      </c>
      <c r="E1137" t="s">
        <v>21</v>
      </c>
      <c r="F1137" t="s">
        <v>22</v>
      </c>
      <c r="G1137" t="s">
        <v>94</v>
      </c>
      <c r="H1137" t="s">
        <v>199</v>
      </c>
      <c r="I1137">
        <v>8.5000000000000006E-2</v>
      </c>
      <c r="J1137">
        <f t="shared" si="51"/>
        <v>42.5</v>
      </c>
      <c r="K1137">
        <v>0.25</v>
      </c>
      <c r="L1137">
        <f t="shared" si="52"/>
        <v>42.25</v>
      </c>
      <c r="M1137" s="4">
        <f t="shared" si="53"/>
        <v>7.6818181818181813E-2</v>
      </c>
      <c r="N1137">
        <v>550</v>
      </c>
      <c r="O1137">
        <v>500</v>
      </c>
      <c r="P1137" t="s">
        <v>25</v>
      </c>
      <c r="Q1137" t="s">
        <v>26</v>
      </c>
      <c r="R1137" t="str">
        <f>IF(COUNTIF(Sheet2!B:B, A1137) &gt; 0, "Yes", "No")</f>
        <v>No</v>
      </c>
    </row>
    <row r="1138" spans="1:18" x14ac:dyDescent="0.25">
      <c r="A1138" s="3">
        <v>45252</v>
      </c>
      <c r="B1138" t="s">
        <v>386</v>
      </c>
      <c r="C1138" t="s">
        <v>51</v>
      </c>
      <c r="D1138" t="s">
        <v>20</v>
      </c>
      <c r="E1138" t="s">
        <v>21</v>
      </c>
      <c r="F1138" t="s">
        <v>27</v>
      </c>
      <c r="G1138" t="s">
        <v>28</v>
      </c>
      <c r="H1138" t="s">
        <v>357</v>
      </c>
      <c r="I1138">
        <v>0.11</v>
      </c>
      <c r="J1138">
        <f t="shared" si="51"/>
        <v>55</v>
      </c>
      <c r="K1138">
        <v>2</v>
      </c>
      <c r="L1138">
        <f t="shared" si="52"/>
        <v>53</v>
      </c>
      <c r="M1138" s="4">
        <f t="shared" si="53"/>
        <v>9.636363636363636E-2</v>
      </c>
      <c r="N1138">
        <v>550</v>
      </c>
      <c r="O1138">
        <v>500</v>
      </c>
      <c r="P1138" t="s">
        <v>25</v>
      </c>
      <c r="Q1138" t="s">
        <v>26</v>
      </c>
      <c r="R1138" t="str">
        <f>IF(COUNTIF(Sheet2!B:B, A1138) &gt; 0, "Yes", "No")</f>
        <v>No</v>
      </c>
    </row>
    <row r="1139" spans="1:18" x14ac:dyDescent="0.25">
      <c r="A1139" s="3">
        <v>45252</v>
      </c>
      <c r="B1139" t="s">
        <v>386</v>
      </c>
      <c r="C1139" t="s">
        <v>51</v>
      </c>
      <c r="D1139" t="s">
        <v>20</v>
      </c>
      <c r="E1139" t="s">
        <v>21</v>
      </c>
      <c r="F1139" t="s">
        <v>30</v>
      </c>
      <c r="G1139" t="s">
        <v>31</v>
      </c>
      <c r="H1139" t="s">
        <v>31</v>
      </c>
      <c r="I1139">
        <v>0.09</v>
      </c>
      <c r="J1139">
        <f t="shared" si="51"/>
        <v>45</v>
      </c>
      <c r="K1139">
        <v>0.5</v>
      </c>
      <c r="L1139">
        <f t="shared" si="52"/>
        <v>44.5</v>
      </c>
      <c r="M1139" s="4">
        <f t="shared" si="53"/>
        <v>8.0909090909090903E-2</v>
      </c>
      <c r="N1139">
        <v>550</v>
      </c>
      <c r="O1139">
        <v>500</v>
      </c>
      <c r="P1139" t="s">
        <v>25</v>
      </c>
      <c r="Q1139" t="s">
        <v>26</v>
      </c>
      <c r="R1139" t="str">
        <f>IF(COUNTIF(Sheet2!B:B, A1139) &gt; 0, "Yes", "No")</f>
        <v>No</v>
      </c>
    </row>
    <row r="1140" spans="1:18" x14ac:dyDescent="0.25">
      <c r="A1140" s="3">
        <v>45252</v>
      </c>
      <c r="B1140" t="s">
        <v>386</v>
      </c>
      <c r="C1140" t="s">
        <v>51</v>
      </c>
      <c r="D1140" t="s">
        <v>33</v>
      </c>
      <c r="E1140" t="s">
        <v>21</v>
      </c>
      <c r="F1140" t="s">
        <v>34</v>
      </c>
      <c r="G1140" t="s">
        <v>57</v>
      </c>
      <c r="H1140" t="s">
        <v>314</v>
      </c>
      <c r="I1140">
        <v>0.15</v>
      </c>
      <c r="J1140">
        <f t="shared" si="51"/>
        <v>37.5</v>
      </c>
      <c r="K1140">
        <v>0</v>
      </c>
      <c r="L1140">
        <f t="shared" si="52"/>
        <v>37.5</v>
      </c>
      <c r="M1140" s="4">
        <f t="shared" si="53"/>
        <v>0.13636363636363635</v>
      </c>
      <c r="N1140">
        <v>275</v>
      </c>
      <c r="O1140">
        <v>250</v>
      </c>
      <c r="P1140" t="s">
        <v>25</v>
      </c>
      <c r="Q1140" t="s">
        <v>26</v>
      </c>
      <c r="R1140" t="str">
        <f>IF(COUNTIF(Sheet2!B:B, A1140) &gt; 0, "Yes", "No")</f>
        <v>No</v>
      </c>
    </row>
    <row r="1141" spans="1:18" x14ac:dyDescent="0.25">
      <c r="A1141" s="3">
        <v>45252</v>
      </c>
      <c r="B1141" t="s">
        <v>386</v>
      </c>
      <c r="C1141" t="s">
        <v>51</v>
      </c>
      <c r="D1141" t="s">
        <v>20</v>
      </c>
      <c r="E1141" t="s">
        <v>21</v>
      </c>
      <c r="F1141" t="s">
        <v>37</v>
      </c>
      <c r="G1141" t="s">
        <v>87</v>
      </c>
      <c r="H1141" t="s">
        <v>99</v>
      </c>
      <c r="I1141">
        <v>0.03</v>
      </c>
      <c r="J1141">
        <f t="shared" si="51"/>
        <v>15</v>
      </c>
      <c r="K1141">
        <v>1.5</v>
      </c>
      <c r="L1141">
        <f t="shared" si="52"/>
        <v>13.5</v>
      </c>
      <c r="M1141" s="4">
        <f t="shared" si="53"/>
        <v>2.4545454545454544E-2</v>
      </c>
      <c r="N1141">
        <v>550</v>
      </c>
      <c r="O1141">
        <v>500</v>
      </c>
      <c r="P1141" t="s">
        <v>25</v>
      </c>
      <c r="Q1141" t="s">
        <v>26</v>
      </c>
      <c r="R1141" t="str">
        <f>IF(COUNTIF(Sheet2!B:B, A1141) &gt; 0, "Yes", "No")</f>
        <v>No</v>
      </c>
    </row>
    <row r="1142" spans="1:18" x14ac:dyDescent="0.25">
      <c r="A1142" s="3">
        <v>45252</v>
      </c>
      <c r="B1142" t="s">
        <v>386</v>
      </c>
      <c r="C1142" t="s">
        <v>51</v>
      </c>
      <c r="D1142" t="s">
        <v>20</v>
      </c>
      <c r="E1142" t="s">
        <v>21</v>
      </c>
      <c r="F1142" t="s">
        <v>40</v>
      </c>
      <c r="G1142" t="s">
        <v>127</v>
      </c>
      <c r="H1142" t="s">
        <v>358</v>
      </c>
      <c r="I1142">
        <v>4.4999999999999998E-2</v>
      </c>
      <c r="J1142">
        <f t="shared" si="51"/>
        <v>22.5</v>
      </c>
      <c r="K1142">
        <v>1</v>
      </c>
      <c r="L1142">
        <f t="shared" si="52"/>
        <v>21.5</v>
      </c>
      <c r="M1142" s="4">
        <f t="shared" si="53"/>
        <v>3.9090909090909093E-2</v>
      </c>
      <c r="N1142">
        <v>550</v>
      </c>
      <c r="O1142">
        <v>500</v>
      </c>
      <c r="P1142" t="s">
        <v>25</v>
      </c>
      <c r="Q1142" t="s">
        <v>26</v>
      </c>
      <c r="R1142" t="str">
        <f>IF(COUNTIF(Sheet2!B:B, A1142) &gt; 0, "Yes", "No")</f>
        <v>No</v>
      </c>
    </row>
    <row r="1143" spans="1:18" x14ac:dyDescent="0.25">
      <c r="A1143" s="3">
        <v>45252</v>
      </c>
      <c r="B1143" t="s">
        <v>386</v>
      </c>
      <c r="C1143" t="s">
        <v>51</v>
      </c>
      <c r="D1143" t="s">
        <v>20</v>
      </c>
      <c r="E1143" t="s">
        <v>21</v>
      </c>
      <c r="F1143" t="s">
        <v>43</v>
      </c>
      <c r="G1143" t="s">
        <v>90</v>
      </c>
      <c r="H1143" t="s">
        <v>401</v>
      </c>
      <c r="I1143">
        <v>0.11</v>
      </c>
      <c r="J1143">
        <f t="shared" si="51"/>
        <v>55</v>
      </c>
      <c r="K1143">
        <v>1.5</v>
      </c>
      <c r="L1143">
        <f t="shared" si="52"/>
        <v>53.5</v>
      </c>
      <c r="M1143" s="4">
        <f t="shared" si="53"/>
        <v>9.7272727272727275E-2</v>
      </c>
      <c r="N1143">
        <v>550</v>
      </c>
      <c r="O1143">
        <v>500</v>
      </c>
      <c r="P1143" t="s">
        <v>25</v>
      </c>
      <c r="Q1143" t="s">
        <v>26</v>
      </c>
      <c r="R1143" t="str">
        <f>IF(COUNTIF(Sheet2!B:B, A1143) &gt; 0, "Yes", "No")</f>
        <v>No</v>
      </c>
    </row>
    <row r="1144" spans="1:18" x14ac:dyDescent="0.25">
      <c r="A1144" s="3">
        <v>45252</v>
      </c>
      <c r="B1144" t="s">
        <v>386</v>
      </c>
      <c r="C1144" t="s">
        <v>51</v>
      </c>
      <c r="D1144" t="s">
        <v>20</v>
      </c>
      <c r="E1144" t="s">
        <v>21</v>
      </c>
      <c r="F1144" t="s">
        <v>46</v>
      </c>
      <c r="G1144" t="s">
        <v>130</v>
      </c>
      <c r="H1144" t="s">
        <v>131</v>
      </c>
      <c r="I1144">
        <v>8.5000000000000006E-2</v>
      </c>
      <c r="J1144">
        <f t="shared" si="51"/>
        <v>42.5</v>
      </c>
      <c r="K1144">
        <v>4</v>
      </c>
      <c r="L1144">
        <f t="shared" si="52"/>
        <v>38.5</v>
      </c>
      <c r="M1144" s="4">
        <f t="shared" si="53"/>
        <v>7.0000000000000007E-2</v>
      </c>
      <c r="N1144">
        <v>550</v>
      </c>
      <c r="O1144">
        <v>500</v>
      </c>
      <c r="P1144" t="s">
        <v>25</v>
      </c>
      <c r="Q1144" t="s">
        <v>26</v>
      </c>
      <c r="R1144" t="str">
        <f>IF(COUNTIF(Sheet2!B:B, A1144) &gt; 0, "Yes", "No")</f>
        <v>No</v>
      </c>
    </row>
    <row r="1145" spans="1:18" x14ac:dyDescent="0.25">
      <c r="A1145" s="3">
        <v>45252</v>
      </c>
      <c r="B1145" t="s">
        <v>386</v>
      </c>
      <c r="C1145" t="s">
        <v>51</v>
      </c>
      <c r="D1145" t="s">
        <v>20</v>
      </c>
      <c r="E1145" t="s">
        <v>21</v>
      </c>
      <c r="F1145" t="s">
        <v>49</v>
      </c>
      <c r="G1145" t="s">
        <v>50</v>
      </c>
      <c r="H1145" t="s">
        <v>49</v>
      </c>
      <c r="I1145">
        <v>0.09</v>
      </c>
      <c r="J1145">
        <f t="shared" si="51"/>
        <v>45</v>
      </c>
      <c r="K1145">
        <v>1</v>
      </c>
      <c r="L1145">
        <f t="shared" si="52"/>
        <v>44</v>
      </c>
      <c r="M1145" s="4">
        <f t="shared" si="53"/>
        <v>0.08</v>
      </c>
      <c r="N1145">
        <v>550</v>
      </c>
      <c r="O1145">
        <v>500</v>
      </c>
      <c r="P1145" t="s">
        <v>25</v>
      </c>
      <c r="Q1145" t="s">
        <v>26</v>
      </c>
      <c r="R1145" t="str">
        <f>IF(COUNTIF(Sheet2!B:B, A1145) &gt; 0, "Yes", "No")</f>
        <v>No</v>
      </c>
    </row>
    <row r="1146" spans="1:18" x14ac:dyDescent="0.25">
      <c r="A1146" s="3">
        <v>45253</v>
      </c>
      <c r="B1146" t="s">
        <v>386</v>
      </c>
      <c r="C1146" t="s">
        <v>66</v>
      </c>
      <c r="D1146" t="s">
        <v>20</v>
      </c>
      <c r="E1146" t="s">
        <v>67</v>
      </c>
      <c r="F1146" t="s">
        <v>22</v>
      </c>
      <c r="G1146" t="s">
        <v>23</v>
      </c>
      <c r="H1146" t="s">
        <v>196</v>
      </c>
      <c r="I1146">
        <v>8.5000000000000006E-2</v>
      </c>
      <c r="J1146">
        <f t="shared" si="51"/>
        <v>36.550000000000004</v>
      </c>
      <c r="K1146">
        <v>1.5</v>
      </c>
      <c r="L1146">
        <f t="shared" si="52"/>
        <v>35.050000000000004</v>
      </c>
      <c r="M1146" s="4">
        <f t="shared" si="53"/>
        <v>7.010000000000001E-2</v>
      </c>
      <c r="N1146">
        <v>500</v>
      </c>
      <c r="O1146">
        <v>430</v>
      </c>
      <c r="P1146" t="s">
        <v>25</v>
      </c>
      <c r="Q1146" t="s">
        <v>26</v>
      </c>
      <c r="R1146" t="str">
        <f>IF(COUNTIF(Sheet2!B:B, A1146) &gt; 0, "Yes", "No")</f>
        <v>No</v>
      </c>
    </row>
    <row r="1147" spans="1:18" x14ac:dyDescent="0.25">
      <c r="A1147" s="3">
        <v>45253</v>
      </c>
      <c r="B1147" t="s">
        <v>386</v>
      </c>
      <c r="C1147" t="s">
        <v>66</v>
      </c>
      <c r="D1147" t="s">
        <v>20</v>
      </c>
      <c r="E1147" t="s">
        <v>67</v>
      </c>
      <c r="F1147" t="s">
        <v>27</v>
      </c>
      <c r="G1147" t="s">
        <v>780</v>
      </c>
      <c r="H1147" t="s">
        <v>149</v>
      </c>
      <c r="I1147">
        <v>0.11</v>
      </c>
      <c r="J1147">
        <f t="shared" si="51"/>
        <v>47.3</v>
      </c>
      <c r="K1147">
        <v>2</v>
      </c>
      <c r="L1147">
        <f t="shared" si="52"/>
        <v>45.3</v>
      </c>
      <c r="M1147" s="4">
        <f t="shared" si="53"/>
        <v>9.06E-2</v>
      </c>
      <c r="N1147">
        <v>500</v>
      </c>
      <c r="O1147">
        <v>430</v>
      </c>
      <c r="P1147" t="s">
        <v>25</v>
      </c>
      <c r="Q1147" t="s">
        <v>26</v>
      </c>
      <c r="R1147" t="str">
        <f>IF(COUNTIF(Sheet2!B:B, A1147) &gt; 0, "Yes", "No")</f>
        <v>No</v>
      </c>
    </row>
    <row r="1148" spans="1:18" x14ac:dyDescent="0.25">
      <c r="A1148" s="3">
        <v>45253</v>
      </c>
      <c r="B1148" t="s">
        <v>386</v>
      </c>
      <c r="C1148" t="s">
        <v>66</v>
      </c>
      <c r="D1148" t="s">
        <v>20</v>
      </c>
      <c r="E1148" t="s">
        <v>67</v>
      </c>
      <c r="F1148" t="s">
        <v>30</v>
      </c>
      <c r="G1148" t="s">
        <v>354</v>
      </c>
      <c r="H1148" t="s">
        <v>361</v>
      </c>
      <c r="I1148">
        <v>0.09</v>
      </c>
      <c r="J1148">
        <f t="shared" si="51"/>
        <v>38.699999999999996</v>
      </c>
      <c r="K1148">
        <v>0.5</v>
      </c>
      <c r="L1148">
        <f t="shared" si="52"/>
        <v>38.199999999999996</v>
      </c>
      <c r="M1148" s="4">
        <f t="shared" si="53"/>
        <v>7.6399999999999996E-2</v>
      </c>
      <c r="N1148">
        <v>500</v>
      </c>
      <c r="O1148">
        <v>430</v>
      </c>
      <c r="P1148" t="s">
        <v>25</v>
      </c>
      <c r="Q1148" t="s">
        <v>26</v>
      </c>
      <c r="R1148" t="str">
        <f>IF(COUNTIF(Sheet2!B:B, A1148) &gt; 0, "Yes", "No")</f>
        <v>No</v>
      </c>
    </row>
    <row r="1149" spans="1:18" x14ac:dyDescent="0.25">
      <c r="A1149" s="3">
        <v>45253</v>
      </c>
      <c r="B1149" t="s">
        <v>386</v>
      </c>
      <c r="C1149" t="s">
        <v>66</v>
      </c>
      <c r="D1149" t="s">
        <v>20</v>
      </c>
      <c r="E1149" t="s">
        <v>67</v>
      </c>
      <c r="F1149" t="s">
        <v>37</v>
      </c>
      <c r="G1149" t="s">
        <v>38</v>
      </c>
      <c r="H1149" t="s">
        <v>39</v>
      </c>
      <c r="I1149">
        <v>3.5000000000000003E-2</v>
      </c>
      <c r="J1149">
        <f t="shared" si="51"/>
        <v>15.05</v>
      </c>
      <c r="K1149">
        <v>0</v>
      </c>
      <c r="L1149">
        <f t="shared" si="52"/>
        <v>15.05</v>
      </c>
      <c r="M1149" s="4">
        <f t="shared" si="53"/>
        <v>3.0100000000000002E-2</v>
      </c>
      <c r="N1149">
        <v>500</v>
      </c>
      <c r="O1149">
        <v>430</v>
      </c>
      <c r="P1149" t="s">
        <v>25</v>
      </c>
      <c r="Q1149" t="s">
        <v>26</v>
      </c>
      <c r="R1149" t="str">
        <f>IF(COUNTIF(Sheet2!B:B, A1149) &gt; 0, "Yes", "No")</f>
        <v>No</v>
      </c>
    </row>
    <row r="1150" spans="1:18" x14ac:dyDescent="0.25">
      <c r="A1150" s="3">
        <v>45253</v>
      </c>
      <c r="B1150" t="s">
        <v>386</v>
      </c>
      <c r="C1150" t="s">
        <v>66</v>
      </c>
      <c r="D1150" t="s">
        <v>20</v>
      </c>
      <c r="E1150" t="s">
        <v>67</v>
      </c>
      <c r="F1150" t="s">
        <v>40</v>
      </c>
      <c r="G1150" t="s">
        <v>402</v>
      </c>
      <c r="H1150" t="s">
        <v>402</v>
      </c>
      <c r="I1150">
        <v>0.05</v>
      </c>
      <c r="J1150">
        <f t="shared" si="51"/>
        <v>21.5</v>
      </c>
      <c r="K1150">
        <v>0</v>
      </c>
      <c r="L1150">
        <f t="shared" si="52"/>
        <v>21.5</v>
      </c>
      <c r="M1150" s="4">
        <f t="shared" si="53"/>
        <v>4.2999999999999997E-2</v>
      </c>
      <c r="N1150">
        <v>500</v>
      </c>
      <c r="O1150">
        <v>430</v>
      </c>
      <c r="P1150" t="s">
        <v>25</v>
      </c>
      <c r="Q1150" t="s">
        <v>26</v>
      </c>
      <c r="R1150" t="str">
        <f>IF(COUNTIF(Sheet2!B:B, A1150) &gt; 0, "Yes", "No")</f>
        <v>No</v>
      </c>
    </row>
    <row r="1151" spans="1:18" x14ac:dyDescent="0.25">
      <c r="A1151" s="3">
        <v>45253</v>
      </c>
      <c r="B1151" t="s">
        <v>386</v>
      </c>
      <c r="C1151" t="s">
        <v>66</v>
      </c>
      <c r="D1151" t="s">
        <v>20</v>
      </c>
      <c r="E1151" t="s">
        <v>67</v>
      </c>
      <c r="F1151" t="s">
        <v>43</v>
      </c>
      <c r="G1151" t="s">
        <v>111</v>
      </c>
      <c r="H1151" t="s">
        <v>112</v>
      </c>
      <c r="I1151">
        <v>0.11</v>
      </c>
      <c r="J1151">
        <f t="shared" si="51"/>
        <v>47.3</v>
      </c>
      <c r="K1151">
        <v>1</v>
      </c>
      <c r="L1151">
        <f t="shared" si="52"/>
        <v>46.3</v>
      </c>
      <c r="M1151" s="4">
        <f t="shared" si="53"/>
        <v>9.2599999999999988E-2</v>
      </c>
      <c r="N1151">
        <v>500</v>
      </c>
      <c r="O1151">
        <v>430</v>
      </c>
      <c r="P1151" t="s">
        <v>25</v>
      </c>
      <c r="Q1151" t="s">
        <v>26</v>
      </c>
      <c r="R1151" t="str">
        <f>IF(COUNTIF(Sheet2!B:B, A1151) &gt; 0, "Yes", "No")</f>
        <v>No</v>
      </c>
    </row>
    <row r="1152" spans="1:18" x14ac:dyDescent="0.25">
      <c r="A1152" s="3">
        <v>45253</v>
      </c>
      <c r="B1152" t="s">
        <v>386</v>
      </c>
      <c r="C1152" t="s">
        <v>66</v>
      </c>
      <c r="D1152" t="s">
        <v>20</v>
      </c>
      <c r="E1152" t="s">
        <v>67</v>
      </c>
      <c r="F1152" t="s">
        <v>46</v>
      </c>
      <c r="G1152" t="s">
        <v>47</v>
      </c>
      <c r="H1152" t="s">
        <v>403</v>
      </c>
      <c r="I1152">
        <v>8.5000000000000006E-2</v>
      </c>
      <c r="J1152">
        <f t="shared" si="51"/>
        <v>36.550000000000004</v>
      </c>
      <c r="K1152">
        <v>1</v>
      </c>
      <c r="L1152">
        <f t="shared" si="52"/>
        <v>35.550000000000004</v>
      </c>
      <c r="M1152" s="4">
        <f t="shared" si="53"/>
        <v>7.110000000000001E-2</v>
      </c>
      <c r="N1152">
        <v>500</v>
      </c>
      <c r="O1152">
        <v>430</v>
      </c>
      <c r="P1152" t="s">
        <v>25</v>
      </c>
      <c r="Q1152" t="s">
        <v>26</v>
      </c>
      <c r="R1152" t="str">
        <f>IF(COUNTIF(Sheet2!B:B, A1152) &gt; 0, "Yes", "No")</f>
        <v>No</v>
      </c>
    </row>
    <row r="1153" spans="1:18" x14ac:dyDescent="0.25">
      <c r="A1153" s="3">
        <v>45253</v>
      </c>
      <c r="B1153" t="s">
        <v>386</v>
      </c>
      <c r="C1153" t="s">
        <v>66</v>
      </c>
      <c r="D1153" t="s">
        <v>20</v>
      </c>
      <c r="E1153" t="s">
        <v>67</v>
      </c>
      <c r="F1153" t="s">
        <v>49</v>
      </c>
      <c r="G1153" t="s">
        <v>50</v>
      </c>
      <c r="H1153" t="s">
        <v>49</v>
      </c>
      <c r="I1153">
        <v>0.09</v>
      </c>
      <c r="J1153">
        <f t="shared" si="51"/>
        <v>38.699999999999996</v>
      </c>
      <c r="K1153">
        <v>0.5</v>
      </c>
      <c r="L1153">
        <f t="shared" si="52"/>
        <v>38.199999999999996</v>
      </c>
      <c r="M1153" s="4">
        <f t="shared" si="53"/>
        <v>7.6399999999999996E-2</v>
      </c>
      <c r="N1153">
        <v>500</v>
      </c>
      <c r="O1153">
        <v>430</v>
      </c>
      <c r="P1153" t="s">
        <v>25</v>
      </c>
      <c r="Q1153" t="s">
        <v>26</v>
      </c>
      <c r="R1153" t="str">
        <f>IF(COUNTIF(Sheet2!B:B, A1153) &gt; 0, "Yes", "No")</f>
        <v>No</v>
      </c>
    </row>
    <row r="1154" spans="1:18" x14ac:dyDescent="0.25">
      <c r="A1154" s="3">
        <v>45257</v>
      </c>
      <c r="B1154" t="s">
        <v>386</v>
      </c>
      <c r="C1154" t="s">
        <v>19</v>
      </c>
      <c r="D1154" t="s">
        <v>20</v>
      </c>
      <c r="E1154" t="s">
        <v>21</v>
      </c>
      <c r="F1154" t="s">
        <v>22</v>
      </c>
      <c r="G1154" t="s">
        <v>23</v>
      </c>
      <c r="H1154" t="s">
        <v>24</v>
      </c>
      <c r="I1154">
        <v>8.5000000000000006E-2</v>
      </c>
      <c r="J1154">
        <f t="shared" si="51"/>
        <v>38.25</v>
      </c>
      <c r="K1154">
        <v>0</v>
      </c>
      <c r="L1154">
        <f t="shared" si="52"/>
        <v>38.25</v>
      </c>
      <c r="M1154" s="4">
        <f t="shared" si="53"/>
        <v>7.6499999999999999E-2</v>
      </c>
      <c r="N1154">
        <v>500</v>
      </c>
      <c r="O1154">
        <v>450</v>
      </c>
      <c r="P1154" t="s">
        <v>25</v>
      </c>
      <c r="Q1154" t="s">
        <v>26</v>
      </c>
      <c r="R1154" t="str">
        <f>IF(COUNTIF(Sheet2!B:B, A1154) &gt; 0, "Yes", "No")</f>
        <v>No</v>
      </c>
    </row>
    <row r="1155" spans="1:18" x14ac:dyDescent="0.25">
      <c r="A1155" s="3">
        <v>45257</v>
      </c>
      <c r="B1155" t="s">
        <v>386</v>
      </c>
      <c r="C1155" t="s">
        <v>19</v>
      </c>
      <c r="D1155" t="s">
        <v>20</v>
      </c>
      <c r="E1155" t="s">
        <v>21</v>
      </c>
      <c r="F1155" t="s">
        <v>27</v>
      </c>
      <c r="G1155" t="s">
        <v>28</v>
      </c>
      <c r="H1155" t="s">
        <v>156</v>
      </c>
      <c r="I1155">
        <v>0.11</v>
      </c>
      <c r="J1155">
        <f t="shared" ref="J1155:J1218" si="54">I1155*O1155</f>
        <v>49.5</v>
      </c>
      <c r="K1155">
        <v>0</v>
      </c>
      <c r="L1155">
        <f t="shared" ref="L1155:L1218" si="55">J1155-K1155</f>
        <v>49.5</v>
      </c>
      <c r="M1155" s="4">
        <f t="shared" ref="M1155:M1218" si="56">((I1155*O1155)-K1155)/N1155</f>
        <v>9.9000000000000005E-2</v>
      </c>
      <c r="N1155">
        <v>500</v>
      </c>
      <c r="O1155">
        <v>450</v>
      </c>
      <c r="P1155" t="s">
        <v>25</v>
      </c>
      <c r="Q1155" t="s">
        <v>26</v>
      </c>
      <c r="R1155" t="str">
        <f>IF(COUNTIF(Sheet2!B:B, A1155) &gt; 0, "Yes", "No")</f>
        <v>No</v>
      </c>
    </row>
    <row r="1156" spans="1:18" x14ac:dyDescent="0.25">
      <c r="A1156" s="3">
        <v>45257</v>
      </c>
      <c r="B1156" t="s">
        <v>386</v>
      </c>
      <c r="C1156" t="s">
        <v>19</v>
      </c>
      <c r="D1156" t="s">
        <v>20</v>
      </c>
      <c r="E1156" t="s">
        <v>21</v>
      </c>
      <c r="F1156" t="s">
        <v>30</v>
      </c>
      <c r="G1156" t="s">
        <v>55</v>
      </c>
      <c r="H1156" t="s">
        <v>134</v>
      </c>
      <c r="I1156">
        <v>0.09</v>
      </c>
      <c r="J1156">
        <f t="shared" si="54"/>
        <v>40.5</v>
      </c>
      <c r="K1156">
        <v>0</v>
      </c>
      <c r="L1156">
        <f t="shared" si="55"/>
        <v>40.5</v>
      </c>
      <c r="M1156" s="4">
        <f t="shared" si="56"/>
        <v>8.1000000000000003E-2</v>
      </c>
      <c r="N1156">
        <v>500</v>
      </c>
      <c r="O1156">
        <v>450</v>
      </c>
      <c r="P1156" t="s">
        <v>25</v>
      </c>
      <c r="Q1156" t="s">
        <v>26</v>
      </c>
      <c r="R1156" t="str">
        <f>IF(COUNTIF(Sheet2!B:B, A1156) &gt; 0, "Yes", "No")</f>
        <v>No</v>
      </c>
    </row>
    <row r="1157" spans="1:18" x14ac:dyDescent="0.25">
      <c r="A1157" s="3">
        <v>45257</v>
      </c>
      <c r="B1157" t="s">
        <v>386</v>
      </c>
      <c r="C1157" t="s">
        <v>19</v>
      </c>
      <c r="D1157" t="s">
        <v>33</v>
      </c>
      <c r="E1157" t="s">
        <v>21</v>
      </c>
      <c r="F1157" t="s">
        <v>34</v>
      </c>
      <c r="G1157" t="s">
        <v>35</v>
      </c>
      <c r="H1157" t="s">
        <v>287</v>
      </c>
      <c r="I1157">
        <v>0.15</v>
      </c>
      <c r="J1157">
        <f t="shared" si="54"/>
        <v>47.25</v>
      </c>
      <c r="K1157">
        <v>0</v>
      </c>
      <c r="L1157">
        <f t="shared" si="55"/>
        <v>47.25</v>
      </c>
      <c r="M1157" s="4">
        <f t="shared" si="56"/>
        <v>0.13500000000000001</v>
      </c>
      <c r="N1157">
        <v>350</v>
      </c>
      <c r="O1157">
        <v>315</v>
      </c>
      <c r="P1157" t="s">
        <v>25</v>
      </c>
      <c r="Q1157" t="s">
        <v>26</v>
      </c>
      <c r="R1157" t="str">
        <f>IF(COUNTIF(Sheet2!B:B, A1157) &gt; 0, "Yes", "No")</f>
        <v>No</v>
      </c>
    </row>
    <row r="1158" spans="1:18" x14ac:dyDescent="0.25">
      <c r="A1158" s="3">
        <v>45257</v>
      </c>
      <c r="B1158" t="s">
        <v>386</v>
      </c>
      <c r="C1158" t="s">
        <v>19</v>
      </c>
      <c r="D1158" t="s">
        <v>20</v>
      </c>
      <c r="E1158" t="s">
        <v>21</v>
      </c>
      <c r="F1158" t="s">
        <v>37</v>
      </c>
      <c r="G1158" t="s">
        <v>87</v>
      </c>
      <c r="H1158" t="s">
        <v>88</v>
      </c>
      <c r="I1158">
        <v>0.03</v>
      </c>
      <c r="J1158">
        <f t="shared" si="54"/>
        <v>13.5</v>
      </c>
      <c r="K1158">
        <v>1</v>
      </c>
      <c r="L1158">
        <f t="shared" si="55"/>
        <v>12.5</v>
      </c>
      <c r="M1158" s="4">
        <f t="shared" si="56"/>
        <v>2.5000000000000001E-2</v>
      </c>
      <c r="N1158">
        <v>500</v>
      </c>
      <c r="O1158">
        <v>450</v>
      </c>
      <c r="P1158" t="s">
        <v>25</v>
      </c>
      <c r="Q1158" t="s">
        <v>26</v>
      </c>
      <c r="R1158" t="str">
        <f>IF(COUNTIF(Sheet2!B:B, A1158) &gt; 0, "Yes", "No")</f>
        <v>No</v>
      </c>
    </row>
    <row r="1159" spans="1:18" x14ac:dyDescent="0.25">
      <c r="A1159" s="3">
        <v>45257</v>
      </c>
      <c r="B1159" t="s">
        <v>386</v>
      </c>
      <c r="C1159" t="s">
        <v>19</v>
      </c>
      <c r="D1159" t="s">
        <v>20</v>
      </c>
      <c r="E1159" t="s">
        <v>21</v>
      </c>
      <c r="F1159" t="s">
        <v>40</v>
      </c>
      <c r="G1159" t="s">
        <v>41</v>
      </c>
      <c r="H1159" t="s">
        <v>42</v>
      </c>
      <c r="I1159">
        <v>4.4999999999999998E-2</v>
      </c>
      <c r="J1159">
        <f t="shared" si="54"/>
        <v>20.25</v>
      </c>
      <c r="K1159">
        <v>1</v>
      </c>
      <c r="L1159">
        <f t="shared" si="55"/>
        <v>19.25</v>
      </c>
      <c r="M1159" s="4">
        <f t="shared" si="56"/>
        <v>3.85E-2</v>
      </c>
      <c r="N1159">
        <v>500</v>
      </c>
      <c r="O1159">
        <v>450</v>
      </c>
      <c r="P1159" t="s">
        <v>25</v>
      </c>
      <c r="Q1159" t="s">
        <v>26</v>
      </c>
      <c r="R1159" t="str">
        <f>IF(COUNTIF(Sheet2!B:B, A1159) &gt; 0, "Yes", "No")</f>
        <v>No</v>
      </c>
    </row>
    <row r="1160" spans="1:18" x14ac:dyDescent="0.25">
      <c r="A1160" s="3">
        <v>45257</v>
      </c>
      <c r="B1160" t="s">
        <v>386</v>
      </c>
      <c r="C1160" t="s">
        <v>19</v>
      </c>
      <c r="D1160" t="s">
        <v>20</v>
      </c>
      <c r="E1160" t="s">
        <v>21</v>
      </c>
      <c r="F1160" t="s">
        <v>43</v>
      </c>
      <c r="G1160" t="s">
        <v>288</v>
      </c>
      <c r="H1160" t="s">
        <v>289</v>
      </c>
      <c r="I1160">
        <v>0.11</v>
      </c>
      <c r="J1160">
        <f t="shared" si="54"/>
        <v>49.5</v>
      </c>
      <c r="K1160">
        <v>1</v>
      </c>
      <c r="L1160">
        <f t="shared" si="55"/>
        <v>48.5</v>
      </c>
      <c r="M1160" s="4">
        <f t="shared" si="56"/>
        <v>9.7000000000000003E-2</v>
      </c>
      <c r="N1160">
        <v>500</v>
      </c>
      <c r="O1160">
        <v>450</v>
      </c>
      <c r="P1160" t="s">
        <v>25</v>
      </c>
      <c r="Q1160" t="s">
        <v>26</v>
      </c>
      <c r="R1160" t="str">
        <f>IF(COUNTIF(Sheet2!B:B, A1160) &gt; 0, "Yes", "No")</f>
        <v>No</v>
      </c>
    </row>
    <row r="1161" spans="1:18" x14ac:dyDescent="0.25">
      <c r="A1161" s="3">
        <v>45257</v>
      </c>
      <c r="B1161" t="s">
        <v>386</v>
      </c>
      <c r="C1161" t="s">
        <v>19</v>
      </c>
      <c r="D1161" t="s">
        <v>20</v>
      </c>
      <c r="E1161" t="s">
        <v>21</v>
      </c>
      <c r="F1161" t="s">
        <v>46</v>
      </c>
      <c r="G1161" t="s">
        <v>92</v>
      </c>
      <c r="H1161" t="s">
        <v>321</v>
      </c>
      <c r="I1161">
        <v>8.5000000000000006E-2</v>
      </c>
      <c r="J1161">
        <f t="shared" si="54"/>
        <v>38.25</v>
      </c>
      <c r="K1161">
        <v>0</v>
      </c>
      <c r="L1161">
        <f t="shared" si="55"/>
        <v>38.25</v>
      </c>
      <c r="M1161" s="4">
        <f t="shared" si="56"/>
        <v>7.6499999999999999E-2</v>
      </c>
      <c r="N1161">
        <v>500</v>
      </c>
      <c r="O1161">
        <v>450</v>
      </c>
      <c r="P1161" t="s">
        <v>25</v>
      </c>
      <c r="Q1161" t="s">
        <v>26</v>
      </c>
      <c r="R1161" t="str">
        <f>IF(COUNTIF(Sheet2!B:B, A1161) &gt; 0, "Yes", "No")</f>
        <v>No</v>
      </c>
    </row>
    <row r="1162" spans="1:18" x14ac:dyDescent="0.25">
      <c r="A1162" s="3">
        <v>45257</v>
      </c>
      <c r="B1162" t="s">
        <v>386</v>
      </c>
      <c r="C1162" t="s">
        <v>19</v>
      </c>
      <c r="D1162" t="s">
        <v>20</v>
      </c>
      <c r="E1162" t="s">
        <v>21</v>
      </c>
      <c r="F1162" t="s">
        <v>49</v>
      </c>
      <c r="G1162" t="s">
        <v>50</v>
      </c>
      <c r="H1162" t="s">
        <v>49</v>
      </c>
      <c r="I1162">
        <v>0.09</v>
      </c>
      <c r="J1162">
        <f t="shared" si="54"/>
        <v>40.5</v>
      </c>
      <c r="K1162">
        <v>0</v>
      </c>
      <c r="L1162">
        <f t="shared" si="55"/>
        <v>40.5</v>
      </c>
      <c r="M1162" s="4">
        <f t="shared" si="56"/>
        <v>8.1000000000000003E-2</v>
      </c>
      <c r="N1162">
        <v>500</v>
      </c>
      <c r="O1162">
        <v>450</v>
      </c>
      <c r="P1162" t="s">
        <v>25</v>
      </c>
      <c r="Q1162" t="s">
        <v>26</v>
      </c>
      <c r="R1162" t="str">
        <f>IF(COUNTIF(Sheet2!B:B, A1162) &gt; 0, "Yes", "No")</f>
        <v>No</v>
      </c>
    </row>
    <row r="1163" spans="1:18" x14ac:dyDescent="0.25">
      <c r="A1163" s="3">
        <v>45258</v>
      </c>
      <c r="B1163" t="s">
        <v>386</v>
      </c>
      <c r="C1163" t="s">
        <v>105</v>
      </c>
      <c r="D1163" t="s">
        <v>20</v>
      </c>
      <c r="E1163" t="s">
        <v>67</v>
      </c>
      <c r="F1163" t="s">
        <v>22</v>
      </c>
      <c r="G1163" t="s">
        <v>94</v>
      </c>
      <c r="H1163" t="s">
        <v>143</v>
      </c>
      <c r="I1163">
        <v>8.5000000000000006E-2</v>
      </c>
      <c r="J1163">
        <f t="shared" si="54"/>
        <v>45.050000000000004</v>
      </c>
      <c r="K1163">
        <v>0</v>
      </c>
      <c r="L1163">
        <f t="shared" si="55"/>
        <v>45.050000000000004</v>
      </c>
      <c r="M1163" s="4">
        <f t="shared" si="56"/>
        <v>7.5083333333333335E-2</v>
      </c>
      <c r="N1163">
        <v>600</v>
      </c>
      <c r="O1163">
        <v>530</v>
      </c>
      <c r="P1163" t="s">
        <v>25</v>
      </c>
      <c r="Q1163" t="s">
        <v>26</v>
      </c>
      <c r="R1163" t="str">
        <f>IF(COUNTIF(Sheet2!B:B, A1163) &gt; 0, "Yes", "No")</f>
        <v>No</v>
      </c>
    </row>
    <row r="1164" spans="1:18" x14ac:dyDescent="0.25">
      <c r="A1164" s="3">
        <v>45258</v>
      </c>
      <c r="B1164" t="s">
        <v>386</v>
      </c>
      <c r="C1164" t="s">
        <v>105</v>
      </c>
      <c r="D1164" t="s">
        <v>20</v>
      </c>
      <c r="E1164" t="s">
        <v>67</v>
      </c>
      <c r="F1164" t="s">
        <v>27</v>
      </c>
      <c r="G1164" t="s">
        <v>28</v>
      </c>
      <c r="H1164" t="s">
        <v>291</v>
      </c>
      <c r="I1164">
        <v>0.11</v>
      </c>
      <c r="J1164">
        <f t="shared" si="54"/>
        <v>58.3</v>
      </c>
      <c r="K1164">
        <v>1</v>
      </c>
      <c r="L1164">
        <f t="shared" si="55"/>
        <v>57.3</v>
      </c>
      <c r="M1164" s="4">
        <f t="shared" si="56"/>
        <v>9.5500000000000002E-2</v>
      </c>
      <c r="N1164">
        <v>600</v>
      </c>
      <c r="O1164">
        <v>530</v>
      </c>
      <c r="P1164" t="s">
        <v>25</v>
      </c>
      <c r="Q1164" t="s">
        <v>26</v>
      </c>
      <c r="R1164" t="str">
        <f>IF(COUNTIF(Sheet2!B:B, A1164) &gt; 0, "Yes", "No")</f>
        <v>No</v>
      </c>
    </row>
    <row r="1165" spans="1:18" x14ac:dyDescent="0.25">
      <c r="A1165" s="3">
        <v>45258</v>
      </c>
      <c r="B1165" t="s">
        <v>386</v>
      </c>
      <c r="C1165" t="s">
        <v>105</v>
      </c>
      <c r="D1165" t="s">
        <v>20</v>
      </c>
      <c r="E1165" t="s">
        <v>67</v>
      </c>
      <c r="F1165" t="s">
        <v>30</v>
      </c>
      <c r="G1165" t="s">
        <v>55</v>
      </c>
      <c r="H1165" t="s">
        <v>183</v>
      </c>
      <c r="I1165">
        <v>0.09</v>
      </c>
      <c r="J1165">
        <f t="shared" si="54"/>
        <v>47.699999999999996</v>
      </c>
      <c r="K1165">
        <v>0</v>
      </c>
      <c r="L1165">
        <f t="shared" si="55"/>
        <v>47.699999999999996</v>
      </c>
      <c r="M1165" s="4">
        <f t="shared" si="56"/>
        <v>7.9499999999999987E-2</v>
      </c>
      <c r="N1165">
        <v>600</v>
      </c>
      <c r="O1165">
        <v>530</v>
      </c>
      <c r="P1165" t="s">
        <v>25</v>
      </c>
      <c r="Q1165" t="s">
        <v>26</v>
      </c>
      <c r="R1165" t="str">
        <f>IF(COUNTIF(Sheet2!B:B, A1165) &gt; 0, "Yes", "No")</f>
        <v>No</v>
      </c>
    </row>
    <row r="1166" spans="1:18" x14ac:dyDescent="0.25">
      <c r="A1166" s="3">
        <v>45258</v>
      </c>
      <c r="B1166" t="s">
        <v>386</v>
      </c>
      <c r="C1166" t="s">
        <v>105</v>
      </c>
      <c r="D1166" t="s">
        <v>20</v>
      </c>
      <c r="E1166" t="s">
        <v>67</v>
      </c>
      <c r="F1166" t="s">
        <v>37</v>
      </c>
      <c r="G1166" t="s">
        <v>87</v>
      </c>
      <c r="H1166" t="s">
        <v>99</v>
      </c>
      <c r="I1166">
        <v>3.5000000000000003E-2</v>
      </c>
      <c r="J1166">
        <f t="shared" si="54"/>
        <v>18.55</v>
      </c>
      <c r="K1166">
        <v>0</v>
      </c>
      <c r="L1166">
        <f t="shared" si="55"/>
        <v>18.55</v>
      </c>
      <c r="M1166" s="4">
        <f t="shared" si="56"/>
        <v>3.0916666666666669E-2</v>
      </c>
      <c r="N1166">
        <v>600</v>
      </c>
      <c r="O1166">
        <v>530</v>
      </c>
      <c r="P1166" t="s">
        <v>25</v>
      </c>
      <c r="Q1166" t="s">
        <v>26</v>
      </c>
      <c r="R1166" t="str">
        <f>IF(COUNTIF(Sheet2!B:B, A1166) &gt; 0, "Yes", "No")</f>
        <v>No</v>
      </c>
    </row>
    <row r="1167" spans="1:18" x14ac:dyDescent="0.25">
      <c r="A1167" s="3">
        <v>45258</v>
      </c>
      <c r="B1167" t="s">
        <v>386</v>
      </c>
      <c r="C1167" t="s">
        <v>105</v>
      </c>
      <c r="D1167" t="s">
        <v>20</v>
      </c>
      <c r="E1167" t="s">
        <v>67</v>
      </c>
      <c r="F1167" t="s">
        <v>40</v>
      </c>
      <c r="G1167" t="s">
        <v>164</v>
      </c>
      <c r="H1167" t="s">
        <v>202</v>
      </c>
      <c r="I1167">
        <v>0.05</v>
      </c>
      <c r="J1167">
        <f t="shared" si="54"/>
        <v>26.5</v>
      </c>
      <c r="K1167">
        <v>0</v>
      </c>
      <c r="L1167">
        <f t="shared" si="55"/>
        <v>26.5</v>
      </c>
      <c r="M1167" s="4">
        <f t="shared" si="56"/>
        <v>4.4166666666666667E-2</v>
      </c>
      <c r="N1167">
        <v>600</v>
      </c>
      <c r="O1167">
        <v>530</v>
      </c>
      <c r="P1167" t="s">
        <v>25</v>
      </c>
      <c r="Q1167" t="s">
        <v>26</v>
      </c>
      <c r="R1167" t="str">
        <f>IF(COUNTIF(Sheet2!B:B, A1167) &gt; 0, "Yes", "No")</f>
        <v>No</v>
      </c>
    </row>
    <row r="1168" spans="1:18" x14ac:dyDescent="0.25">
      <c r="A1168" s="3">
        <v>45258</v>
      </c>
      <c r="B1168" t="s">
        <v>386</v>
      </c>
      <c r="C1168" t="s">
        <v>105</v>
      </c>
      <c r="D1168" t="s">
        <v>20</v>
      </c>
      <c r="E1168" t="s">
        <v>67</v>
      </c>
      <c r="F1168" t="s">
        <v>43</v>
      </c>
      <c r="G1168" t="s">
        <v>90</v>
      </c>
      <c r="H1168" t="s">
        <v>194</v>
      </c>
      <c r="I1168">
        <v>0.11</v>
      </c>
      <c r="J1168">
        <f t="shared" si="54"/>
        <v>58.3</v>
      </c>
      <c r="K1168">
        <v>1</v>
      </c>
      <c r="L1168">
        <f t="shared" si="55"/>
        <v>57.3</v>
      </c>
      <c r="M1168" s="4">
        <f t="shared" si="56"/>
        <v>9.5500000000000002E-2</v>
      </c>
      <c r="N1168">
        <v>600</v>
      </c>
      <c r="O1168">
        <v>530</v>
      </c>
      <c r="P1168" t="s">
        <v>25</v>
      </c>
      <c r="Q1168" t="s">
        <v>26</v>
      </c>
      <c r="R1168" t="str">
        <f>IF(COUNTIF(Sheet2!B:B, A1168) &gt; 0, "Yes", "No")</f>
        <v>No</v>
      </c>
    </row>
    <row r="1169" spans="1:18" x14ac:dyDescent="0.25">
      <c r="A1169" s="3">
        <v>45258</v>
      </c>
      <c r="B1169" t="s">
        <v>386</v>
      </c>
      <c r="C1169" t="s">
        <v>105</v>
      </c>
      <c r="D1169" t="s">
        <v>20</v>
      </c>
      <c r="E1169" t="s">
        <v>67</v>
      </c>
      <c r="F1169" t="s">
        <v>46</v>
      </c>
      <c r="G1169" t="s">
        <v>47</v>
      </c>
      <c r="H1169" t="s">
        <v>65</v>
      </c>
      <c r="I1169">
        <v>8.5000000000000006E-2</v>
      </c>
      <c r="J1169">
        <f t="shared" si="54"/>
        <v>45.050000000000004</v>
      </c>
      <c r="K1169">
        <v>0</v>
      </c>
      <c r="L1169">
        <f t="shared" si="55"/>
        <v>45.050000000000004</v>
      </c>
      <c r="M1169" s="4">
        <f t="shared" si="56"/>
        <v>7.5083333333333335E-2</v>
      </c>
      <c r="N1169">
        <v>600</v>
      </c>
      <c r="O1169">
        <v>530</v>
      </c>
      <c r="P1169" t="s">
        <v>25</v>
      </c>
      <c r="Q1169" t="s">
        <v>26</v>
      </c>
      <c r="R1169" t="str">
        <f>IF(COUNTIF(Sheet2!B:B, A1169) &gt; 0, "Yes", "No")</f>
        <v>No</v>
      </c>
    </row>
    <row r="1170" spans="1:18" x14ac:dyDescent="0.25">
      <c r="A1170" s="3">
        <v>45258</v>
      </c>
      <c r="B1170" t="s">
        <v>386</v>
      </c>
      <c r="C1170" t="s">
        <v>105</v>
      </c>
      <c r="D1170" t="s">
        <v>20</v>
      </c>
      <c r="E1170" t="s">
        <v>67</v>
      </c>
      <c r="F1170" t="s">
        <v>49</v>
      </c>
      <c r="G1170" t="s">
        <v>50</v>
      </c>
      <c r="H1170" t="s">
        <v>49</v>
      </c>
      <c r="I1170">
        <v>0.09</v>
      </c>
      <c r="J1170">
        <f t="shared" si="54"/>
        <v>47.699999999999996</v>
      </c>
      <c r="K1170">
        <v>0</v>
      </c>
      <c r="L1170">
        <f t="shared" si="55"/>
        <v>47.699999999999996</v>
      </c>
      <c r="M1170" s="4">
        <f t="shared" si="56"/>
        <v>7.9499999999999987E-2</v>
      </c>
      <c r="N1170">
        <v>600</v>
      </c>
      <c r="O1170">
        <v>530</v>
      </c>
      <c r="P1170" t="s">
        <v>25</v>
      </c>
      <c r="Q1170" t="s">
        <v>26</v>
      </c>
      <c r="R1170" t="str">
        <f>IF(COUNTIF(Sheet2!B:B, A1170) &gt; 0, "Yes", "No")</f>
        <v>No</v>
      </c>
    </row>
    <row r="1171" spans="1:18" x14ac:dyDescent="0.25">
      <c r="A1171" s="3">
        <v>45259</v>
      </c>
      <c r="B1171" t="s">
        <v>386</v>
      </c>
      <c r="C1171" t="s">
        <v>51</v>
      </c>
      <c r="D1171" t="s">
        <v>20</v>
      </c>
      <c r="E1171" t="s">
        <v>21</v>
      </c>
      <c r="F1171" t="s">
        <v>22</v>
      </c>
      <c r="G1171" t="s">
        <v>94</v>
      </c>
      <c r="H1171" t="s">
        <v>199</v>
      </c>
      <c r="I1171">
        <v>8.5000000000000006E-2</v>
      </c>
      <c r="J1171">
        <f t="shared" si="54"/>
        <v>51.000000000000007</v>
      </c>
      <c r="K1171">
        <v>3</v>
      </c>
      <c r="L1171">
        <f t="shared" si="55"/>
        <v>48.000000000000007</v>
      </c>
      <c r="M1171" s="4">
        <f t="shared" si="56"/>
        <v>7.3846153846153853E-2</v>
      </c>
      <c r="N1171">
        <v>650</v>
      </c>
      <c r="O1171">
        <v>600</v>
      </c>
      <c r="P1171" t="s">
        <v>25</v>
      </c>
      <c r="Q1171" t="s">
        <v>26</v>
      </c>
      <c r="R1171" t="str">
        <f>IF(COUNTIF(Sheet2!B:B, A1171) &gt; 0, "Yes", "No")</f>
        <v>No</v>
      </c>
    </row>
    <row r="1172" spans="1:18" x14ac:dyDescent="0.25">
      <c r="A1172" s="3">
        <v>45259</v>
      </c>
      <c r="B1172" t="s">
        <v>386</v>
      </c>
      <c r="C1172" t="s">
        <v>51</v>
      </c>
      <c r="D1172" t="s">
        <v>20</v>
      </c>
      <c r="E1172" t="s">
        <v>21</v>
      </c>
      <c r="F1172" t="s">
        <v>27</v>
      </c>
      <c r="G1172" t="s">
        <v>81</v>
      </c>
      <c r="H1172" t="s">
        <v>297</v>
      </c>
      <c r="I1172">
        <v>0.1</v>
      </c>
      <c r="J1172">
        <f t="shared" si="54"/>
        <v>60</v>
      </c>
      <c r="K1172">
        <v>0</v>
      </c>
      <c r="L1172">
        <f t="shared" si="55"/>
        <v>60</v>
      </c>
      <c r="M1172" s="4">
        <f t="shared" si="56"/>
        <v>9.2307692307692313E-2</v>
      </c>
      <c r="N1172">
        <v>650</v>
      </c>
      <c r="O1172">
        <v>600</v>
      </c>
      <c r="P1172" t="s">
        <v>25</v>
      </c>
      <c r="Q1172" t="s">
        <v>26</v>
      </c>
      <c r="R1172" t="str">
        <f>IF(COUNTIF(Sheet2!B:B, A1172) &gt; 0, "Yes", "No")</f>
        <v>No</v>
      </c>
    </row>
    <row r="1173" spans="1:18" x14ac:dyDescent="0.25">
      <c r="A1173" s="3">
        <v>45259</v>
      </c>
      <c r="B1173" t="s">
        <v>386</v>
      </c>
      <c r="C1173" t="s">
        <v>51</v>
      </c>
      <c r="D1173" t="s">
        <v>20</v>
      </c>
      <c r="E1173" t="s">
        <v>21</v>
      </c>
      <c r="F1173" t="s">
        <v>30</v>
      </c>
      <c r="G1173" t="s">
        <v>31</v>
      </c>
      <c r="H1173" t="s">
        <v>70</v>
      </c>
      <c r="I1173">
        <v>0.09</v>
      </c>
      <c r="J1173">
        <f t="shared" si="54"/>
        <v>54</v>
      </c>
      <c r="K1173">
        <v>0.5</v>
      </c>
      <c r="L1173">
        <f t="shared" si="55"/>
        <v>53.5</v>
      </c>
      <c r="M1173" s="4">
        <f t="shared" si="56"/>
        <v>8.2307692307692304E-2</v>
      </c>
      <c r="N1173">
        <v>650</v>
      </c>
      <c r="O1173">
        <v>600</v>
      </c>
      <c r="P1173" t="s">
        <v>25</v>
      </c>
      <c r="Q1173" t="s">
        <v>26</v>
      </c>
      <c r="R1173" t="str">
        <f>IF(COUNTIF(Sheet2!B:B, A1173) &gt; 0, "Yes", "No")</f>
        <v>No</v>
      </c>
    </row>
    <row r="1174" spans="1:18" x14ac:dyDescent="0.25">
      <c r="A1174" s="3">
        <v>45259</v>
      </c>
      <c r="B1174" t="s">
        <v>386</v>
      </c>
      <c r="C1174" t="s">
        <v>51</v>
      </c>
      <c r="D1174" t="s">
        <v>33</v>
      </c>
      <c r="E1174" t="s">
        <v>21</v>
      </c>
      <c r="F1174" t="s">
        <v>34</v>
      </c>
      <c r="G1174" t="s">
        <v>57</v>
      </c>
      <c r="H1174" t="s">
        <v>116</v>
      </c>
      <c r="I1174">
        <v>0.15</v>
      </c>
      <c r="J1174">
        <f t="shared" si="54"/>
        <v>63</v>
      </c>
      <c r="K1174">
        <v>0</v>
      </c>
      <c r="L1174">
        <f t="shared" si="55"/>
        <v>63</v>
      </c>
      <c r="M1174" s="4">
        <f t="shared" si="56"/>
        <v>0.13846153846153847</v>
      </c>
      <c r="N1174">
        <v>455</v>
      </c>
      <c r="O1174">
        <v>420</v>
      </c>
      <c r="P1174" t="s">
        <v>25</v>
      </c>
      <c r="Q1174" t="s">
        <v>26</v>
      </c>
      <c r="R1174" t="str">
        <f>IF(COUNTIF(Sheet2!B:B, A1174) &gt; 0, "Yes", "No")</f>
        <v>No</v>
      </c>
    </row>
    <row r="1175" spans="1:18" x14ac:dyDescent="0.25">
      <c r="A1175" s="3">
        <v>45259</v>
      </c>
      <c r="B1175" t="s">
        <v>386</v>
      </c>
      <c r="C1175" t="s">
        <v>51</v>
      </c>
      <c r="D1175" t="s">
        <v>20</v>
      </c>
      <c r="E1175" t="s">
        <v>21</v>
      </c>
      <c r="F1175" t="s">
        <v>37</v>
      </c>
      <c r="G1175" t="s">
        <v>59</v>
      </c>
      <c r="H1175" t="s">
        <v>60</v>
      </c>
      <c r="I1175">
        <v>0.03</v>
      </c>
      <c r="J1175">
        <f t="shared" si="54"/>
        <v>18</v>
      </c>
      <c r="K1175">
        <v>0</v>
      </c>
      <c r="L1175">
        <f t="shared" si="55"/>
        <v>18</v>
      </c>
      <c r="M1175" s="4">
        <f t="shared" si="56"/>
        <v>2.7692307692307693E-2</v>
      </c>
      <c r="N1175">
        <v>650</v>
      </c>
      <c r="O1175">
        <v>600</v>
      </c>
      <c r="P1175" t="s">
        <v>25</v>
      </c>
      <c r="Q1175" t="s">
        <v>26</v>
      </c>
      <c r="R1175" t="str">
        <f>IF(COUNTIF(Sheet2!B:B, A1175) &gt; 0, "Yes", "No")</f>
        <v>No</v>
      </c>
    </row>
    <row r="1176" spans="1:18" x14ac:dyDescent="0.25">
      <c r="A1176" s="3">
        <v>45259</v>
      </c>
      <c r="B1176" t="s">
        <v>386</v>
      </c>
      <c r="C1176" t="s">
        <v>51</v>
      </c>
      <c r="D1176" t="s">
        <v>20</v>
      </c>
      <c r="E1176" t="s">
        <v>21</v>
      </c>
      <c r="F1176" t="s">
        <v>40</v>
      </c>
      <c r="G1176" t="s">
        <v>157</v>
      </c>
      <c r="H1176" t="s">
        <v>158</v>
      </c>
      <c r="I1176">
        <v>4.4999999999999998E-2</v>
      </c>
      <c r="J1176">
        <f t="shared" si="54"/>
        <v>27</v>
      </c>
      <c r="K1176">
        <v>2</v>
      </c>
      <c r="L1176">
        <f t="shared" si="55"/>
        <v>25</v>
      </c>
      <c r="M1176" s="4">
        <f t="shared" si="56"/>
        <v>3.8461538461538464E-2</v>
      </c>
      <c r="N1176">
        <v>650</v>
      </c>
      <c r="O1176">
        <v>600</v>
      </c>
      <c r="P1176" t="s">
        <v>25</v>
      </c>
      <c r="Q1176" t="s">
        <v>26</v>
      </c>
      <c r="R1176" t="str">
        <f>IF(COUNTIF(Sheet2!B:B, A1176) &gt; 0, "Yes", "No")</f>
        <v>No</v>
      </c>
    </row>
    <row r="1177" spans="1:18" x14ac:dyDescent="0.25">
      <c r="A1177" s="3">
        <v>45259</v>
      </c>
      <c r="B1177" t="s">
        <v>386</v>
      </c>
      <c r="C1177" t="s">
        <v>51</v>
      </c>
      <c r="D1177" t="s">
        <v>20</v>
      </c>
      <c r="E1177" t="s">
        <v>21</v>
      </c>
      <c r="F1177" t="s">
        <v>43</v>
      </c>
      <c r="G1177" t="s">
        <v>44</v>
      </c>
      <c r="H1177" t="s">
        <v>397</v>
      </c>
      <c r="I1177">
        <v>0.11</v>
      </c>
      <c r="J1177">
        <f t="shared" si="54"/>
        <v>66</v>
      </c>
      <c r="K1177">
        <v>0</v>
      </c>
      <c r="L1177">
        <f t="shared" si="55"/>
        <v>66</v>
      </c>
      <c r="M1177" s="4">
        <f t="shared" si="56"/>
        <v>0.10153846153846154</v>
      </c>
      <c r="N1177">
        <v>650</v>
      </c>
      <c r="O1177">
        <v>600</v>
      </c>
      <c r="P1177" t="s">
        <v>25</v>
      </c>
      <c r="Q1177" t="s">
        <v>26</v>
      </c>
      <c r="R1177" t="str">
        <f>IF(COUNTIF(Sheet2!B:B, A1177) &gt; 0, "Yes", "No")</f>
        <v>No</v>
      </c>
    </row>
    <row r="1178" spans="1:18" x14ac:dyDescent="0.25">
      <c r="A1178" s="3">
        <v>45259</v>
      </c>
      <c r="B1178" t="s">
        <v>386</v>
      </c>
      <c r="C1178" t="s">
        <v>51</v>
      </c>
      <c r="D1178" t="s">
        <v>20</v>
      </c>
      <c r="E1178" t="s">
        <v>21</v>
      </c>
      <c r="F1178" t="s">
        <v>46</v>
      </c>
      <c r="G1178" t="s">
        <v>92</v>
      </c>
      <c r="H1178" t="s">
        <v>93</v>
      </c>
      <c r="I1178">
        <v>8.5000000000000006E-2</v>
      </c>
      <c r="J1178">
        <f t="shared" si="54"/>
        <v>51.000000000000007</v>
      </c>
      <c r="K1178">
        <v>5</v>
      </c>
      <c r="L1178">
        <f t="shared" si="55"/>
        <v>46.000000000000007</v>
      </c>
      <c r="M1178" s="4">
        <f t="shared" si="56"/>
        <v>7.0769230769230779E-2</v>
      </c>
      <c r="N1178">
        <v>650</v>
      </c>
      <c r="O1178">
        <v>600</v>
      </c>
      <c r="P1178" t="s">
        <v>25</v>
      </c>
      <c r="Q1178" t="s">
        <v>26</v>
      </c>
      <c r="R1178" t="str">
        <f>IF(COUNTIF(Sheet2!B:B, A1178) &gt; 0, "Yes", "No")</f>
        <v>No</v>
      </c>
    </row>
    <row r="1179" spans="1:18" x14ac:dyDescent="0.25">
      <c r="A1179" s="3">
        <v>45259</v>
      </c>
      <c r="B1179" t="s">
        <v>386</v>
      </c>
      <c r="C1179" t="s">
        <v>51</v>
      </c>
      <c r="D1179" t="s">
        <v>20</v>
      </c>
      <c r="E1179" t="s">
        <v>21</v>
      </c>
      <c r="F1179" t="s">
        <v>49</v>
      </c>
      <c r="G1179" t="s">
        <v>50</v>
      </c>
      <c r="H1179" t="s">
        <v>49</v>
      </c>
      <c r="I1179">
        <v>0.09</v>
      </c>
      <c r="J1179">
        <f t="shared" si="54"/>
        <v>54</v>
      </c>
      <c r="K1179">
        <v>0</v>
      </c>
      <c r="L1179">
        <f t="shared" si="55"/>
        <v>54</v>
      </c>
      <c r="M1179" s="4">
        <f t="shared" si="56"/>
        <v>8.3076923076923076E-2</v>
      </c>
      <c r="N1179">
        <v>650</v>
      </c>
      <c r="O1179">
        <v>600</v>
      </c>
      <c r="P1179" t="s">
        <v>25</v>
      </c>
      <c r="Q1179" t="s">
        <v>26</v>
      </c>
      <c r="R1179" t="str">
        <f>IF(COUNTIF(Sheet2!B:B, A1179) &gt; 0, "Yes", "No")</f>
        <v>No</v>
      </c>
    </row>
    <row r="1180" spans="1:18" x14ac:dyDescent="0.25">
      <c r="A1180" s="3">
        <v>45260</v>
      </c>
      <c r="B1180" t="s">
        <v>386</v>
      </c>
      <c r="C1180" t="s">
        <v>66</v>
      </c>
      <c r="D1180" t="s">
        <v>20</v>
      </c>
      <c r="E1180" t="s">
        <v>67</v>
      </c>
      <c r="F1180" t="s">
        <v>22</v>
      </c>
      <c r="G1180" t="s">
        <v>94</v>
      </c>
      <c r="H1180" t="s">
        <v>294</v>
      </c>
      <c r="I1180">
        <v>8.5000000000000006E-2</v>
      </c>
      <c r="J1180">
        <f t="shared" si="54"/>
        <v>45.050000000000004</v>
      </c>
      <c r="K1180">
        <v>0</v>
      </c>
      <c r="L1180">
        <f t="shared" si="55"/>
        <v>45.050000000000004</v>
      </c>
      <c r="M1180" s="4">
        <f t="shared" si="56"/>
        <v>7.5083333333333335E-2</v>
      </c>
      <c r="N1180">
        <v>600</v>
      </c>
      <c r="O1180">
        <v>530</v>
      </c>
      <c r="P1180" t="s">
        <v>25</v>
      </c>
      <c r="Q1180" t="s">
        <v>26</v>
      </c>
      <c r="R1180" t="str">
        <f>IF(COUNTIF(Sheet2!B:B, A1180) &gt; 0, "Yes", "No")</f>
        <v>No</v>
      </c>
    </row>
    <row r="1181" spans="1:18" x14ac:dyDescent="0.25">
      <c r="A1181" s="3">
        <v>45260</v>
      </c>
      <c r="B1181" t="s">
        <v>386</v>
      </c>
      <c r="C1181" t="s">
        <v>66</v>
      </c>
      <c r="D1181" t="s">
        <v>20</v>
      </c>
      <c r="E1181" t="s">
        <v>67</v>
      </c>
      <c r="F1181" t="s">
        <v>27</v>
      </c>
      <c r="G1181" t="s">
        <v>144</v>
      </c>
      <c r="H1181" t="s">
        <v>145</v>
      </c>
      <c r="I1181">
        <v>0.11</v>
      </c>
      <c r="J1181">
        <f t="shared" si="54"/>
        <v>58.3</v>
      </c>
      <c r="K1181">
        <v>1</v>
      </c>
      <c r="L1181">
        <f t="shared" si="55"/>
        <v>57.3</v>
      </c>
      <c r="M1181" s="4">
        <f t="shared" si="56"/>
        <v>9.5500000000000002E-2</v>
      </c>
      <c r="N1181">
        <v>600</v>
      </c>
      <c r="O1181">
        <v>530</v>
      </c>
      <c r="P1181" t="s">
        <v>25</v>
      </c>
      <c r="Q1181" t="s">
        <v>26</v>
      </c>
      <c r="R1181" t="str">
        <f>IF(COUNTIF(Sheet2!B:B, A1181) &gt; 0, "Yes", "No")</f>
        <v>No</v>
      </c>
    </row>
    <row r="1182" spans="1:18" x14ac:dyDescent="0.25">
      <c r="A1182" s="3">
        <v>45260</v>
      </c>
      <c r="B1182" t="s">
        <v>386</v>
      </c>
      <c r="C1182" t="s">
        <v>66</v>
      </c>
      <c r="D1182" t="s">
        <v>20</v>
      </c>
      <c r="E1182" t="s">
        <v>67</v>
      </c>
      <c r="F1182" t="s">
        <v>30</v>
      </c>
      <c r="G1182" t="s">
        <v>55</v>
      </c>
      <c r="H1182" t="s">
        <v>56</v>
      </c>
      <c r="I1182">
        <v>0.09</v>
      </c>
      <c r="J1182">
        <f t="shared" si="54"/>
        <v>47.699999999999996</v>
      </c>
      <c r="K1182">
        <v>1</v>
      </c>
      <c r="L1182">
        <f t="shared" si="55"/>
        <v>46.699999999999996</v>
      </c>
      <c r="M1182" s="4">
        <f t="shared" si="56"/>
        <v>7.7833333333333324E-2</v>
      </c>
      <c r="N1182">
        <v>600</v>
      </c>
      <c r="O1182">
        <v>530</v>
      </c>
      <c r="P1182" t="s">
        <v>25</v>
      </c>
      <c r="Q1182" t="s">
        <v>26</v>
      </c>
      <c r="R1182" t="str">
        <f>IF(COUNTIF(Sheet2!B:B, A1182) &gt; 0, "Yes", "No")</f>
        <v>No</v>
      </c>
    </row>
    <row r="1183" spans="1:18" x14ac:dyDescent="0.25">
      <c r="A1183" s="3">
        <v>45260</v>
      </c>
      <c r="B1183" t="s">
        <v>386</v>
      </c>
      <c r="C1183" t="s">
        <v>66</v>
      </c>
      <c r="D1183" t="s">
        <v>20</v>
      </c>
      <c r="E1183" t="s">
        <v>67</v>
      </c>
      <c r="F1183" t="s">
        <v>37</v>
      </c>
      <c r="G1183" t="s">
        <v>87</v>
      </c>
      <c r="H1183" t="s">
        <v>136</v>
      </c>
      <c r="I1183">
        <v>3.5000000000000003E-2</v>
      </c>
      <c r="J1183">
        <f t="shared" si="54"/>
        <v>18.55</v>
      </c>
      <c r="K1183">
        <v>0</v>
      </c>
      <c r="L1183">
        <f t="shared" si="55"/>
        <v>18.55</v>
      </c>
      <c r="M1183" s="4">
        <f t="shared" si="56"/>
        <v>3.0916666666666669E-2</v>
      </c>
      <c r="N1183">
        <v>600</v>
      </c>
      <c r="O1183">
        <v>530</v>
      </c>
      <c r="P1183" t="s">
        <v>25</v>
      </c>
      <c r="Q1183" t="s">
        <v>26</v>
      </c>
      <c r="R1183" t="str">
        <f>IF(COUNTIF(Sheet2!B:B, A1183) &gt; 0, "Yes", "No")</f>
        <v>No</v>
      </c>
    </row>
    <row r="1184" spans="1:18" x14ac:dyDescent="0.25">
      <c r="A1184" s="3">
        <v>45260</v>
      </c>
      <c r="B1184" t="s">
        <v>386</v>
      </c>
      <c r="C1184" t="s">
        <v>66</v>
      </c>
      <c r="D1184" t="s">
        <v>20</v>
      </c>
      <c r="E1184" t="s">
        <v>67</v>
      </c>
      <c r="F1184" t="s">
        <v>40</v>
      </c>
      <c r="G1184" t="s">
        <v>73</v>
      </c>
      <c r="H1184" t="s">
        <v>74</v>
      </c>
      <c r="I1184">
        <v>0.05</v>
      </c>
      <c r="J1184">
        <f t="shared" si="54"/>
        <v>26.5</v>
      </c>
      <c r="K1184">
        <v>0</v>
      </c>
      <c r="L1184">
        <f t="shared" si="55"/>
        <v>26.5</v>
      </c>
      <c r="M1184" s="4">
        <f t="shared" si="56"/>
        <v>4.4166666666666667E-2</v>
      </c>
      <c r="N1184">
        <v>600</v>
      </c>
      <c r="O1184">
        <v>530</v>
      </c>
      <c r="P1184" t="s">
        <v>25</v>
      </c>
      <c r="Q1184" t="s">
        <v>26</v>
      </c>
      <c r="R1184" t="str">
        <f>IF(COUNTIF(Sheet2!B:B, A1184) &gt; 0, "Yes", "No")</f>
        <v>No</v>
      </c>
    </row>
    <row r="1185" spans="1:18" x14ac:dyDescent="0.25">
      <c r="A1185" s="3">
        <v>45260</v>
      </c>
      <c r="B1185" t="s">
        <v>386</v>
      </c>
      <c r="C1185" t="s">
        <v>66</v>
      </c>
      <c r="D1185" t="s">
        <v>20</v>
      </c>
      <c r="E1185" t="s">
        <v>67</v>
      </c>
      <c r="F1185" t="s">
        <v>43</v>
      </c>
      <c r="G1185" t="s">
        <v>90</v>
      </c>
      <c r="H1185" t="s">
        <v>404</v>
      </c>
      <c r="I1185">
        <v>0.11</v>
      </c>
      <c r="J1185">
        <f t="shared" si="54"/>
        <v>58.3</v>
      </c>
      <c r="K1185">
        <v>3</v>
      </c>
      <c r="L1185">
        <f t="shared" si="55"/>
        <v>55.3</v>
      </c>
      <c r="M1185" s="4">
        <f t="shared" si="56"/>
        <v>9.2166666666666661E-2</v>
      </c>
      <c r="N1185">
        <v>600</v>
      </c>
      <c r="O1185">
        <v>530</v>
      </c>
      <c r="P1185" t="s">
        <v>25</v>
      </c>
      <c r="Q1185" t="s">
        <v>26</v>
      </c>
      <c r="R1185" t="str">
        <f>IF(COUNTIF(Sheet2!B:B, A1185) &gt; 0, "Yes", "No")</f>
        <v>No</v>
      </c>
    </row>
    <row r="1186" spans="1:18" x14ac:dyDescent="0.25">
      <c r="A1186" s="3">
        <v>45260</v>
      </c>
      <c r="B1186" t="s">
        <v>386</v>
      </c>
      <c r="C1186" t="s">
        <v>66</v>
      </c>
      <c r="D1186" t="s">
        <v>20</v>
      </c>
      <c r="E1186" t="s">
        <v>67</v>
      </c>
      <c r="F1186" t="s">
        <v>46</v>
      </c>
      <c r="G1186" t="s">
        <v>47</v>
      </c>
      <c r="H1186" t="s">
        <v>141</v>
      </c>
      <c r="I1186">
        <v>8.5000000000000006E-2</v>
      </c>
      <c r="J1186">
        <f t="shared" si="54"/>
        <v>45.050000000000004</v>
      </c>
      <c r="K1186">
        <v>0</v>
      </c>
      <c r="L1186">
        <f t="shared" si="55"/>
        <v>45.050000000000004</v>
      </c>
      <c r="M1186" s="4">
        <f t="shared" si="56"/>
        <v>7.5083333333333335E-2</v>
      </c>
      <c r="N1186">
        <v>600</v>
      </c>
      <c r="O1186">
        <v>530</v>
      </c>
      <c r="P1186" t="s">
        <v>25</v>
      </c>
      <c r="Q1186" t="s">
        <v>26</v>
      </c>
      <c r="R1186" t="str">
        <f>IF(COUNTIF(Sheet2!B:B, A1186) &gt; 0, "Yes", "No")</f>
        <v>No</v>
      </c>
    </row>
    <row r="1187" spans="1:18" x14ac:dyDescent="0.25">
      <c r="A1187" s="3">
        <v>45260</v>
      </c>
      <c r="B1187" t="s">
        <v>386</v>
      </c>
      <c r="C1187" t="s">
        <v>66</v>
      </c>
      <c r="D1187" t="s">
        <v>20</v>
      </c>
      <c r="E1187" t="s">
        <v>67</v>
      </c>
      <c r="F1187" t="s">
        <v>49</v>
      </c>
      <c r="G1187" t="s">
        <v>50</v>
      </c>
      <c r="H1187" t="s">
        <v>49</v>
      </c>
      <c r="I1187">
        <v>0.09</v>
      </c>
      <c r="J1187">
        <f t="shared" si="54"/>
        <v>47.699999999999996</v>
      </c>
      <c r="K1187">
        <v>0.5</v>
      </c>
      <c r="L1187">
        <f t="shared" si="55"/>
        <v>47.199999999999996</v>
      </c>
      <c r="M1187" s="4">
        <f t="shared" si="56"/>
        <v>7.8666666666666663E-2</v>
      </c>
      <c r="N1187">
        <v>600</v>
      </c>
      <c r="O1187">
        <v>530</v>
      </c>
      <c r="P1187" t="s">
        <v>25</v>
      </c>
      <c r="Q1187" t="s">
        <v>26</v>
      </c>
      <c r="R1187" t="str">
        <f>IF(COUNTIF(Sheet2!B:B, A1187) &gt; 0, "Yes", "No")</f>
        <v>No</v>
      </c>
    </row>
    <row r="1188" spans="1:18" x14ac:dyDescent="0.25">
      <c r="A1188" s="3">
        <v>45261</v>
      </c>
      <c r="B1188" t="s">
        <v>405</v>
      </c>
      <c r="C1188" t="s">
        <v>79</v>
      </c>
      <c r="D1188" t="s">
        <v>20</v>
      </c>
      <c r="E1188" t="s">
        <v>21</v>
      </c>
      <c r="F1188" t="s">
        <v>22</v>
      </c>
      <c r="G1188" t="s">
        <v>122</v>
      </c>
      <c r="H1188" t="s">
        <v>155</v>
      </c>
      <c r="I1188" s="5">
        <v>0.06</v>
      </c>
      <c r="J1188">
        <f t="shared" si="54"/>
        <v>33</v>
      </c>
      <c r="K1188">
        <v>2</v>
      </c>
      <c r="L1188">
        <f t="shared" si="55"/>
        <v>31</v>
      </c>
      <c r="M1188" s="4">
        <f t="shared" si="56"/>
        <v>5.1666666666666666E-2</v>
      </c>
      <c r="N1188">
        <v>600</v>
      </c>
      <c r="O1188">
        <v>550</v>
      </c>
      <c r="P1188" t="s">
        <v>25</v>
      </c>
      <c r="Q1188" t="s">
        <v>26</v>
      </c>
      <c r="R1188" t="str">
        <f>IF(COUNTIF(Sheet2!B:B, A1188) &gt; 0, "Yes", "No")</f>
        <v>Yes</v>
      </c>
    </row>
    <row r="1189" spans="1:18" x14ac:dyDescent="0.25">
      <c r="A1189" s="3">
        <v>45261</v>
      </c>
      <c r="B1189" t="s">
        <v>405</v>
      </c>
      <c r="C1189" t="s">
        <v>79</v>
      </c>
      <c r="D1189" t="s">
        <v>20</v>
      </c>
      <c r="E1189" t="s">
        <v>21</v>
      </c>
      <c r="F1189" t="s">
        <v>27</v>
      </c>
      <c r="G1189" t="s">
        <v>81</v>
      </c>
      <c r="H1189" t="s">
        <v>310</v>
      </c>
      <c r="I1189" s="5">
        <v>0.1</v>
      </c>
      <c r="J1189">
        <f t="shared" si="54"/>
        <v>55</v>
      </c>
      <c r="K1189">
        <v>1</v>
      </c>
      <c r="L1189">
        <f t="shared" si="55"/>
        <v>54</v>
      </c>
      <c r="M1189" s="4">
        <f t="shared" si="56"/>
        <v>0.09</v>
      </c>
      <c r="N1189">
        <v>600</v>
      </c>
      <c r="O1189">
        <v>550</v>
      </c>
      <c r="P1189" t="s">
        <v>25</v>
      </c>
      <c r="Q1189" t="s">
        <v>26</v>
      </c>
      <c r="R1189" t="str">
        <f>IF(COUNTIF(Sheet2!B:B, A1189) &gt; 0, "Yes", "No")</f>
        <v>Yes</v>
      </c>
    </row>
    <row r="1190" spans="1:18" x14ac:dyDescent="0.25">
      <c r="A1190" s="3">
        <v>45261</v>
      </c>
      <c r="B1190" t="s">
        <v>405</v>
      </c>
      <c r="C1190" t="s">
        <v>79</v>
      </c>
      <c r="D1190" t="s">
        <v>20</v>
      </c>
      <c r="E1190" t="s">
        <v>21</v>
      </c>
      <c r="F1190" t="s">
        <v>30</v>
      </c>
      <c r="G1190" t="s">
        <v>31</v>
      </c>
      <c r="H1190" t="s">
        <v>172</v>
      </c>
      <c r="I1190" s="5">
        <v>0.06</v>
      </c>
      <c r="J1190">
        <f t="shared" si="54"/>
        <v>33</v>
      </c>
      <c r="K1190">
        <v>2.5</v>
      </c>
      <c r="L1190">
        <f t="shared" si="55"/>
        <v>30.5</v>
      </c>
      <c r="M1190" s="4">
        <f t="shared" si="56"/>
        <v>5.0833333333333335E-2</v>
      </c>
      <c r="N1190">
        <v>600</v>
      </c>
      <c r="O1190">
        <v>550</v>
      </c>
      <c r="P1190" t="s">
        <v>25</v>
      </c>
      <c r="Q1190" t="s">
        <v>26</v>
      </c>
      <c r="R1190" t="str">
        <f>IF(COUNTIF(Sheet2!B:B, A1190) &gt; 0, "Yes", "No")</f>
        <v>Yes</v>
      </c>
    </row>
    <row r="1191" spans="1:18" x14ac:dyDescent="0.25">
      <c r="A1191" s="3">
        <v>45261</v>
      </c>
      <c r="B1191" t="s">
        <v>405</v>
      </c>
      <c r="C1191" t="s">
        <v>79</v>
      </c>
      <c r="D1191" t="s">
        <v>33</v>
      </c>
      <c r="E1191" t="s">
        <v>21</v>
      </c>
      <c r="F1191" t="s">
        <v>84</v>
      </c>
      <c r="G1191" t="s">
        <v>177</v>
      </c>
      <c r="H1191" t="s">
        <v>220</v>
      </c>
      <c r="I1191" s="5">
        <v>0.3</v>
      </c>
      <c r="J1191">
        <f t="shared" si="54"/>
        <v>115.5</v>
      </c>
      <c r="K1191">
        <v>2</v>
      </c>
      <c r="L1191">
        <f t="shared" si="55"/>
        <v>113.5</v>
      </c>
      <c r="M1191" s="4">
        <f t="shared" si="56"/>
        <v>0.27023809523809522</v>
      </c>
      <c r="N1191">
        <v>420</v>
      </c>
      <c r="O1191">
        <v>385</v>
      </c>
      <c r="P1191" t="s">
        <v>25</v>
      </c>
      <c r="Q1191" t="s">
        <v>26</v>
      </c>
      <c r="R1191" t="str">
        <f>IF(COUNTIF(Sheet2!B:B, A1191) &gt; 0, "Yes", "No")</f>
        <v>Yes</v>
      </c>
    </row>
    <row r="1192" spans="1:18" x14ac:dyDescent="0.25">
      <c r="A1192" s="3">
        <v>45261</v>
      </c>
      <c r="B1192" t="s">
        <v>405</v>
      </c>
      <c r="C1192" t="s">
        <v>79</v>
      </c>
      <c r="D1192" t="s">
        <v>20</v>
      </c>
      <c r="E1192" t="s">
        <v>21</v>
      </c>
      <c r="F1192" t="s">
        <v>37</v>
      </c>
      <c r="G1192" t="s">
        <v>38</v>
      </c>
      <c r="H1192" t="s">
        <v>39</v>
      </c>
      <c r="I1192" s="5">
        <v>2.5000000000000001E-2</v>
      </c>
      <c r="J1192">
        <f t="shared" si="54"/>
        <v>13.75</v>
      </c>
      <c r="K1192">
        <v>1</v>
      </c>
      <c r="L1192">
        <f t="shared" si="55"/>
        <v>12.75</v>
      </c>
      <c r="M1192" s="4">
        <f t="shared" si="56"/>
        <v>2.1250000000000002E-2</v>
      </c>
      <c r="N1192">
        <v>600</v>
      </c>
      <c r="O1192">
        <v>550</v>
      </c>
      <c r="P1192" t="s">
        <v>25</v>
      </c>
      <c r="Q1192" t="s">
        <v>26</v>
      </c>
      <c r="R1192" t="str">
        <f>IF(COUNTIF(Sheet2!B:B, A1192) &gt; 0, "Yes", "No")</f>
        <v>Yes</v>
      </c>
    </row>
    <row r="1193" spans="1:18" x14ac:dyDescent="0.25">
      <c r="A1193" s="3">
        <v>45261</v>
      </c>
      <c r="B1193" t="s">
        <v>405</v>
      </c>
      <c r="C1193" t="s">
        <v>79</v>
      </c>
      <c r="D1193" t="s">
        <v>20</v>
      </c>
      <c r="E1193" t="s">
        <v>21</v>
      </c>
      <c r="F1193" t="s">
        <v>40</v>
      </c>
      <c r="G1193" t="s">
        <v>61</v>
      </c>
      <c r="H1193" t="s">
        <v>119</v>
      </c>
      <c r="I1193" s="5">
        <v>0.04</v>
      </c>
      <c r="J1193">
        <f t="shared" si="54"/>
        <v>22</v>
      </c>
      <c r="K1193">
        <v>1</v>
      </c>
      <c r="L1193">
        <f t="shared" si="55"/>
        <v>21</v>
      </c>
      <c r="M1193" s="4">
        <f t="shared" si="56"/>
        <v>3.5000000000000003E-2</v>
      </c>
      <c r="N1193">
        <v>600</v>
      </c>
      <c r="O1193">
        <v>550</v>
      </c>
      <c r="P1193" t="s">
        <v>25</v>
      </c>
      <c r="Q1193" t="s">
        <v>26</v>
      </c>
      <c r="R1193" t="str">
        <f>IF(COUNTIF(Sheet2!B:B, A1193) &gt; 0, "Yes", "No")</f>
        <v>Yes</v>
      </c>
    </row>
    <row r="1194" spans="1:18" x14ac:dyDescent="0.25">
      <c r="A1194" s="3">
        <v>45261</v>
      </c>
      <c r="B1194" t="s">
        <v>405</v>
      </c>
      <c r="C1194" t="s">
        <v>79</v>
      </c>
      <c r="D1194" t="s">
        <v>20</v>
      </c>
      <c r="E1194" t="s">
        <v>21</v>
      </c>
      <c r="F1194" t="s">
        <v>43</v>
      </c>
      <c r="G1194" t="s">
        <v>44</v>
      </c>
      <c r="H1194" t="s">
        <v>293</v>
      </c>
      <c r="I1194" s="5">
        <v>0.08</v>
      </c>
      <c r="J1194">
        <f t="shared" si="54"/>
        <v>44</v>
      </c>
      <c r="K1194">
        <v>2</v>
      </c>
      <c r="L1194">
        <f t="shared" si="55"/>
        <v>42</v>
      </c>
      <c r="M1194" s="4">
        <f t="shared" si="56"/>
        <v>7.0000000000000007E-2</v>
      </c>
      <c r="N1194">
        <v>600</v>
      </c>
      <c r="O1194">
        <v>550</v>
      </c>
      <c r="P1194" t="s">
        <v>25</v>
      </c>
      <c r="Q1194" t="s">
        <v>26</v>
      </c>
      <c r="R1194" t="str">
        <f>IF(COUNTIF(Sheet2!B:B, A1194) &gt; 0, "Yes", "No")</f>
        <v>Yes</v>
      </c>
    </row>
    <row r="1195" spans="1:18" x14ac:dyDescent="0.25">
      <c r="A1195" s="3">
        <v>45261</v>
      </c>
      <c r="B1195" t="s">
        <v>405</v>
      </c>
      <c r="C1195" t="s">
        <v>79</v>
      </c>
      <c r="D1195" t="s">
        <v>20</v>
      </c>
      <c r="E1195" t="s">
        <v>21</v>
      </c>
      <c r="F1195" t="s">
        <v>46</v>
      </c>
      <c r="G1195" t="s">
        <v>47</v>
      </c>
      <c r="H1195" t="s">
        <v>78</v>
      </c>
      <c r="I1195" s="5">
        <v>5.5E-2</v>
      </c>
      <c r="J1195">
        <f t="shared" si="54"/>
        <v>30.25</v>
      </c>
      <c r="K1195">
        <v>3</v>
      </c>
      <c r="L1195">
        <f t="shared" si="55"/>
        <v>27.25</v>
      </c>
      <c r="M1195" s="4">
        <f t="shared" si="56"/>
        <v>4.5416666666666668E-2</v>
      </c>
      <c r="N1195">
        <v>600</v>
      </c>
      <c r="O1195">
        <v>550</v>
      </c>
      <c r="P1195" t="s">
        <v>25</v>
      </c>
      <c r="Q1195" t="s">
        <v>26</v>
      </c>
      <c r="R1195" t="str">
        <f>IF(COUNTIF(Sheet2!B:B, A1195) &gt; 0, "Yes", "No")</f>
        <v>Yes</v>
      </c>
    </row>
    <row r="1196" spans="1:18" x14ac:dyDescent="0.25">
      <c r="A1196" s="3">
        <v>45261</v>
      </c>
      <c r="B1196" t="s">
        <v>405</v>
      </c>
      <c r="C1196" t="s">
        <v>79</v>
      </c>
      <c r="D1196" t="s">
        <v>20</v>
      </c>
      <c r="E1196" t="s">
        <v>21</v>
      </c>
      <c r="F1196" t="s">
        <v>49</v>
      </c>
      <c r="G1196" t="s">
        <v>50</v>
      </c>
      <c r="H1196" t="s">
        <v>49</v>
      </c>
      <c r="I1196" s="5">
        <v>0.04</v>
      </c>
      <c r="J1196">
        <f t="shared" si="54"/>
        <v>22</v>
      </c>
      <c r="K1196">
        <v>2</v>
      </c>
      <c r="L1196">
        <f t="shared" si="55"/>
        <v>20</v>
      </c>
      <c r="M1196" s="4">
        <f t="shared" si="56"/>
        <v>3.3333333333333333E-2</v>
      </c>
      <c r="N1196">
        <v>600</v>
      </c>
      <c r="O1196">
        <v>550</v>
      </c>
      <c r="P1196" t="s">
        <v>25</v>
      </c>
      <c r="Q1196" t="s">
        <v>26</v>
      </c>
      <c r="R1196" t="str">
        <f>IF(COUNTIF(Sheet2!B:B, A1196) &gt; 0, "Yes", "No")</f>
        <v>Yes</v>
      </c>
    </row>
    <row r="1197" spans="1:18" x14ac:dyDescent="0.25">
      <c r="A1197" s="3">
        <v>45264</v>
      </c>
      <c r="B1197" t="s">
        <v>405</v>
      </c>
      <c r="C1197" t="s">
        <v>19</v>
      </c>
      <c r="D1197" t="s">
        <v>20</v>
      </c>
      <c r="E1197" t="s">
        <v>21</v>
      </c>
      <c r="F1197" t="s">
        <v>22</v>
      </c>
      <c r="G1197" t="s">
        <v>94</v>
      </c>
      <c r="H1197" t="s">
        <v>95</v>
      </c>
      <c r="I1197">
        <v>8.5000000000000006E-2</v>
      </c>
      <c r="J1197">
        <f t="shared" si="54"/>
        <v>46.75</v>
      </c>
      <c r="K1197">
        <v>0</v>
      </c>
      <c r="L1197">
        <f t="shared" si="55"/>
        <v>46.75</v>
      </c>
      <c r="M1197" s="4">
        <f t="shared" si="56"/>
        <v>7.7916666666666662E-2</v>
      </c>
      <c r="N1197">
        <v>600</v>
      </c>
      <c r="O1197">
        <v>550</v>
      </c>
      <c r="P1197" t="s">
        <v>25</v>
      </c>
      <c r="Q1197" t="s">
        <v>26</v>
      </c>
      <c r="R1197" t="str">
        <f>IF(COUNTIF(Sheet2!B:B, A1197) &gt; 0, "Yes", "No")</f>
        <v>No</v>
      </c>
    </row>
    <row r="1198" spans="1:18" x14ac:dyDescent="0.25">
      <c r="A1198" s="3">
        <v>45264</v>
      </c>
      <c r="B1198" t="s">
        <v>405</v>
      </c>
      <c r="C1198" t="s">
        <v>19</v>
      </c>
      <c r="D1198" t="s">
        <v>20</v>
      </c>
      <c r="E1198" t="s">
        <v>21</v>
      </c>
      <c r="F1198" t="s">
        <v>27</v>
      </c>
      <c r="G1198" t="s">
        <v>780</v>
      </c>
      <c r="H1198" t="s">
        <v>149</v>
      </c>
      <c r="I1198">
        <v>0.11</v>
      </c>
      <c r="J1198">
        <f t="shared" si="54"/>
        <v>60.5</v>
      </c>
      <c r="K1198">
        <v>1</v>
      </c>
      <c r="L1198">
        <f t="shared" si="55"/>
        <v>59.5</v>
      </c>
      <c r="M1198" s="4">
        <f t="shared" si="56"/>
        <v>9.9166666666666667E-2</v>
      </c>
      <c r="N1198">
        <v>600</v>
      </c>
      <c r="O1198">
        <v>550</v>
      </c>
      <c r="P1198" t="s">
        <v>25</v>
      </c>
      <c r="Q1198" t="s">
        <v>26</v>
      </c>
      <c r="R1198" t="str">
        <f>IF(COUNTIF(Sheet2!B:B, A1198) &gt; 0, "Yes", "No")</f>
        <v>No</v>
      </c>
    </row>
    <row r="1199" spans="1:18" x14ac:dyDescent="0.25">
      <c r="A1199" s="3">
        <v>45264</v>
      </c>
      <c r="B1199" t="s">
        <v>405</v>
      </c>
      <c r="C1199" t="s">
        <v>19</v>
      </c>
      <c r="D1199" t="s">
        <v>20</v>
      </c>
      <c r="E1199" t="s">
        <v>21</v>
      </c>
      <c r="F1199" t="s">
        <v>30</v>
      </c>
      <c r="G1199" t="s">
        <v>55</v>
      </c>
      <c r="H1199" t="s">
        <v>97</v>
      </c>
      <c r="I1199">
        <v>0.09</v>
      </c>
      <c r="J1199">
        <f t="shared" si="54"/>
        <v>49.5</v>
      </c>
      <c r="K1199">
        <v>0</v>
      </c>
      <c r="L1199">
        <f t="shared" si="55"/>
        <v>49.5</v>
      </c>
      <c r="M1199" s="4">
        <f t="shared" si="56"/>
        <v>8.2500000000000004E-2</v>
      </c>
      <c r="N1199">
        <v>600</v>
      </c>
      <c r="O1199">
        <v>550</v>
      </c>
      <c r="P1199" t="s">
        <v>25</v>
      </c>
      <c r="Q1199" t="s">
        <v>26</v>
      </c>
      <c r="R1199" t="str">
        <f>IF(COUNTIF(Sheet2!B:B, A1199) &gt; 0, "Yes", "No")</f>
        <v>No</v>
      </c>
    </row>
    <row r="1200" spans="1:18" x14ac:dyDescent="0.25">
      <c r="A1200" s="3">
        <v>45264</v>
      </c>
      <c r="B1200" t="s">
        <v>405</v>
      </c>
      <c r="C1200" t="s">
        <v>19</v>
      </c>
      <c r="D1200" t="s">
        <v>33</v>
      </c>
      <c r="E1200" t="s">
        <v>21</v>
      </c>
      <c r="F1200" t="s">
        <v>34</v>
      </c>
      <c r="G1200" t="s">
        <v>57</v>
      </c>
      <c r="H1200" t="s">
        <v>406</v>
      </c>
      <c r="I1200">
        <v>0.15</v>
      </c>
      <c r="J1200">
        <f t="shared" si="54"/>
        <v>57.75</v>
      </c>
      <c r="K1200">
        <v>3</v>
      </c>
      <c r="L1200">
        <f t="shared" si="55"/>
        <v>54.75</v>
      </c>
      <c r="M1200" s="4">
        <f t="shared" si="56"/>
        <v>0.13035714285714287</v>
      </c>
      <c r="N1200">
        <v>420</v>
      </c>
      <c r="O1200">
        <v>385</v>
      </c>
      <c r="P1200" t="s">
        <v>25</v>
      </c>
      <c r="Q1200" t="s">
        <v>26</v>
      </c>
      <c r="R1200" t="str">
        <f>IF(COUNTIF(Sheet2!B:B, A1200) &gt; 0, "Yes", "No")</f>
        <v>No</v>
      </c>
    </row>
    <row r="1201" spans="1:18" x14ac:dyDescent="0.25">
      <c r="A1201" s="3">
        <v>45264</v>
      </c>
      <c r="B1201" t="s">
        <v>405</v>
      </c>
      <c r="C1201" t="s">
        <v>19</v>
      </c>
      <c r="D1201" t="s">
        <v>20</v>
      </c>
      <c r="E1201" t="s">
        <v>21</v>
      </c>
      <c r="F1201" t="s">
        <v>37</v>
      </c>
      <c r="G1201" t="s">
        <v>117</v>
      </c>
      <c r="H1201" t="s">
        <v>407</v>
      </c>
      <c r="I1201">
        <v>0.03</v>
      </c>
      <c r="J1201">
        <f t="shared" si="54"/>
        <v>16.5</v>
      </c>
      <c r="K1201">
        <v>0</v>
      </c>
      <c r="L1201">
        <f t="shared" si="55"/>
        <v>16.5</v>
      </c>
      <c r="M1201" s="4">
        <f t="shared" si="56"/>
        <v>2.75E-2</v>
      </c>
      <c r="N1201">
        <v>600</v>
      </c>
      <c r="O1201">
        <v>550</v>
      </c>
      <c r="P1201" t="s">
        <v>25</v>
      </c>
      <c r="Q1201" t="s">
        <v>26</v>
      </c>
      <c r="R1201" t="str">
        <f>IF(COUNTIF(Sheet2!B:B, A1201) &gt; 0, "Yes", "No")</f>
        <v>No</v>
      </c>
    </row>
    <row r="1202" spans="1:18" x14ac:dyDescent="0.25">
      <c r="A1202" s="3">
        <v>45264</v>
      </c>
      <c r="B1202" t="s">
        <v>405</v>
      </c>
      <c r="C1202" t="s">
        <v>19</v>
      </c>
      <c r="D1202" t="s">
        <v>20</v>
      </c>
      <c r="E1202" t="s">
        <v>21</v>
      </c>
      <c r="F1202" t="s">
        <v>40</v>
      </c>
      <c r="G1202" t="s">
        <v>61</v>
      </c>
      <c r="H1202" t="s">
        <v>119</v>
      </c>
      <c r="I1202">
        <v>4.4999999999999998E-2</v>
      </c>
      <c r="J1202">
        <f t="shared" si="54"/>
        <v>24.75</v>
      </c>
      <c r="K1202">
        <v>0</v>
      </c>
      <c r="L1202">
        <f t="shared" si="55"/>
        <v>24.75</v>
      </c>
      <c r="M1202" s="4">
        <f t="shared" si="56"/>
        <v>4.1250000000000002E-2</v>
      </c>
      <c r="N1202">
        <v>600</v>
      </c>
      <c r="O1202">
        <v>550</v>
      </c>
      <c r="P1202" t="s">
        <v>25</v>
      </c>
      <c r="Q1202" t="s">
        <v>26</v>
      </c>
      <c r="R1202" t="str">
        <f>IF(COUNTIF(Sheet2!B:B, A1202) &gt; 0, "Yes", "No")</f>
        <v>No</v>
      </c>
    </row>
    <row r="1203" spans="1:18" x14ac:dyDescent="0.25">
      <c r="A1203" s="3">
        <v>45264</v>
      </c>
      <c r="B1203" t="s">
        <v>405</v>
      </c>
      <c r="C1203" t="s">
        <v>19</v>
      </c>
      <c r="D1203" t="s">
        <v>20</v>
      </c>
      <c r="E1203" t="s">
        <v>21</v>
      </c>
      <c r="F1203" t="s">
        <v>43</v>
      </c>
      <c r="G1203" t="s">
        <v>44</v>
      </c>
      <c r="H1203" t="s">
        <v>185</v>
      </c>
      <c r="I1203">
        <v>0.11</v>
      </c>
      <c r="J1203">
        <f t="shared" si="54"/>
        <v>60.5</v>
      </c>
      <c r="K1203">
        <v>0</v>
      </c>
      <c r="L1203">
        <f t="shared" si="55"/>
        <v>60.5</v>
      </c>
      <c r="M1203" s="4">
        <f t="shared" si="56"/>
        <v>0.10083333333333333</v>
      </c>
      <c r="N1203">
        <v>600</v>
      </c>
      <c r="O1203">
        <v>550</v>
      </c>
      <c r="P1203" t="s">
        <v>25</v>
      </c>
      <c r="Q1203" t="s">
        <v>26</v>
      </c>
      <c r="R1203" t="str">
        <f>IF(COUNTIF(Sheet2!B:B, A1203) &gt; 0, "Yes", "No")</f>
        <v>No</v>
      </c>
    </row>
    <row r="1204" spans="1:18" x14ac:dyDescent="0.25">
      <c r="A1204" s="3">
        <v>45264</v>
      </c>
      <c r="B1204" t="s">
        <v>405</v>
      </c>
      <c r="C1204" t="s">
        <v>19</v>
      </c>
      <c r="D1204" t="s">
        <v>20</v>
      </c>
      <c r="E1204" t="s">
        <v>21</v>
      </c>
      <c r="F1204" t="s">
        <v>46</v>
      </c>
      <c r="G1204" t="s">
        <v>92</v>
      </c>
      <c r="H1204" t="s">
        <v>377</v>
      </c>
      <c r="I1204">
        <v>8.5000000000000006E-2</v>
      </c>
      <c r="J1204">
        <f t="shared" si="54"/>
        <v>46.75</v>
      </c>
      <c r="K1204">
        <v>1</v>
      </c>
      <c r="L1204">
        <f t="shared" si="55"/>
        <v>45.75</v>
      </c>
      <c r="M1204" s="4">
        <f t="shared" si="56"/>
        <v>7.6249999999999998E-2</v>
      </c>
      <c r="N1204">
        <v>600</v>
      </c>
      <c r="O1204">
        <v>550</v>
      </c>
      <c r="P1204" t="s">
        <v>25</v>
      </c>
      <c r="Q1204" t="s">
        <v>26</v>
      </c>
      <c r="R1204" t="str">
        <f>IF(COUNTIF(Sheet2!B:B, A1204) &gt; 0, "Yes", "No")</f>
        <v>No</v>
      </c>
    </row>
    <row r="1205" spans="1:18" x14ac:dyDescent="0.25">
      <c r="A1205" s="3">
        <v>45264</v>
      </c>
      <c r="B1205" t="s">
        <v>405</v>
      </c>
      <c r="C1205" t="s">
        <v>19</v>
      </c>
      <c r="D1205" t="s">
        <v>20</v>
      </c>
      <c r="E1205" t="s">
        <v>21</v>
      </c>
      <c r="F1205" t="s">
        <v>49</v>
      </c>
      <c r="G1205" t="s">
        <v>50</v>
      </c>
      <c r="H1205" t="s">
        <v>49</v>
      </c>
      <c r="I1205">
        <v>0.09</v>
      </c>
      <c r="J1205">
        <f t="shared" si="54"/>
        <v>49.5</v>
      </c>
      <c r="K1205">
        <v>1</v>
      </c>
      <c r="L1205">
        <f t="shared" si="55"/>
        <v>48.5</v>
      </c>
      <c r="M1205" s="4">
        <f t="shared" si="56"/>
        <v>8.0833333333333326E-2</v>
      </c>
      <c r="N1205">
        <v>600</v>
      </c>
      <c r="O1205">
        <v>550</v>
      </c>
      <c r="P1205" t="s">
        <v>25</v>
      </c>
      <c r="Q1205" t="s">
        <v>26</v>
      </c>
      <c r="R1205" t="str">
        <f>IF(COUNTIF(Sheet2!B:B, A1205) &gt; 0, "Yes", "No")</f>
        <v>No</v>
      </c>
    </row>
    <row r="1206" spans="1:18" x14ac:dyDescent="0.25">
      <c r="A1206" s="3">
        <v>45265</v>
      </c>
      <c r="B1206" t="s">
        <v>405</v>
      </c>
      <c r="C1206" t="s">
        <v>105</v>
      </c>
      <c r="D1206" t="s">
        <v>20</v>
      </c>
      <c r="E1206" t="s">
        <v>67</v>
      </c>
      <c r="F1206" t="s">
        <v>22</v>
      </c>
      <c r="G1206" t="s">
        <v>94</v>
      </c>
      <c r="H1206" t="s">
        <v>168</v>
      </c>
      <c r="I1206">
        <v>8.5000000000000006E-2</v>
      </c>
      <c r="J1206">
        <f t="shared" si="54"/>
        <v>53.550000000000004</v>
      </c>
      <c r="K1206">
        <v>0</v>
      </c>
      <c r="L1206">
        <f t="shared" si="55"/>
        <v>53.550000000000004</v>
      </c>
      <c r="M1206" s="4">
        <f t="shared" si="56"/>
        <v>7.6500000000000012E-2</v>
      </c>
      <c r="N1206">
        <v>700</v>
      </c>
      <c r="O1206">
        <v>630</v>
      </c>
      <c r="P1206" t="s">
        <v>25</v>
      </c>
      <c r="Q1206" t="s">
        <v>26</v>
      </c>
      <c r="R1206" t="str">
        <f>IF(COUNTIF(Sheet2!B:B, A1206) &gt; 0, "Yes", "No")</f>
        <v>No</v>
      </c>
    </row>
    <row r="1207" spans="1:18" x14ac:dyDescent="0.25">
      <c r="A1207" s="3">
        <v>45265</v>
      </c>
      <c r="B1207" t="s">
        <v>405</v>
      </c>
      <c r="C1207" t="s">
        <v>105</v>
      </c>
      <c r="D1207" t="s">
        <v>20</v>
      </c>
      <c r="E1207" t="s">
        <v>67</v>
      </c>
      <c r="F1207" t="s">
        <v>27</v>
      </c>
      <c r="G1207" t="s">
        <v>81</v>
      </c>
      <c r="H1207" t="s">
        <v>408</v>
      </c>
      <c r="I1207">
        <v>0.1</v>
      </c>
      <c r="J1207">
        <f t="shared" si="54"/>
        <v>63</v>
      </c>
      <c r="K1207">
        <v>0</v>
      </c>
      <c r="L1207">
        <f t="shared" si="55"/>
        <v>63</v>
      </c>
      <c r="M1207" s="4">
        <f t="shared" si="56"/>
        <v>0.09</v>
      </c>
      <c r="N1207">
        <v>700</v>
      </c>
      <c r="O1207">
        <v>630</v>
      </c>
      <c r="P1207" t="s">
        <v>25</v>
      </c>
      <c r="Q1207" t="s">
        <v>26</v>
      </c>
      <c r="R1207" t="str">
        <f>IF(COUNTIF(Sheet2!B:B, A1207) &gt; 0, "Yes", "No")</f>
        <v>No</v>
      </c>
    </row>
    <row r="1208" spans="1:18" x14ac:dyDescent="0.25">
      <c r="A1208" s="3">
        <v>45265</v>
      </c>
      <c r="B1208" t="s">
        <v>405</v>
      </c>
      <c r="C1208" t="s">
        <v>105</v>
      </c>
      <c r="D1208" t="s">
        <v>20</v>
      </c>
      <c r="E1208" t="s">
        <v>67</v>
      </c>
      <c r="F1208" t="s">
        <v>30</v>
      </c>
      <c r="G1208" t="s">
        <v>31</v>
      </c>
      <c r="H1208" t="s">
        <v>31</v>
      </c>
      <c r="I1208">
        <v>0.09</v>
      </c>
      <c r="J1208">
        <f t="shared" si="54"/>
        <v>56.699999999999996</v>
      </c>
      <c r="K1208">
        <v>0</v>
      </c>
      <c r="L1208">
        <f t="shared" si="55"/>
        <v>56.699999999999996</v>
      </c>
      <c r="M1208" s="4">
        <f t="shared" si="56"/>
        <v>8.0999999999999989E-2</v>
      </c>
      <c r="N1208">
        <v>700</v>
      </c>
      <c r="O1208">
        <v>630</v>
      </c>
      <c r="P1208" t="s">
        <v>25</v>
      </c>
      <c r="Q1208" t="s">
        <v>26</v>
      </c>
      <c r="R1208" t="str">
        <f>IF(COUNTIF(Sheet2!B:B, A1208) &gt; 0, "Yes", "No")</f>
        <v>No</v>
      </c>
    </row>
    <row r="1209" spans="1:18" x14ac:dyDescent="0.25">
      <c r="A1209" s="3">
        <v>45265</v>
      </c>
      <c r="B1209" t="s">
        <v>405</v>
      </c>
      <c r="C1209" t="s">
        <v>105</v>
      </c>
      <c r="D1209" t="s">
        <v>20</v>
      </c>
      <c r="E1209" t="s">
        <v>67</v>
      </c>
      <c r="F1209" t="s">
        <v>37</v>
      </c>
      <c r="G1209" t="s">
        <v>59</v>
      </c>
      <c r="H1209" t="s">
        <v>60</v>
      </c>
      <c r="I1209">
        <v>3.5000000000000003E-2</v>
      </c>
      <c r="J1209">
        <f t="shared" si="54"/>
        <v>22.05</v>
      </c>
      <c r="K1209">
        <v>0</v>
      </c>
      <c r="L1209">
        <f t="shared" si="55"/>
        <v>22.05</v>
      </c>
      <c r="M1209" s="4">
        <f t="shared" si="56"/>
        <v>3.15E-2</v>
      </c>
      <c r="N1209">
        <v>700</v>
      </c>
      <c r="O1209">
        <v>630</v>
      </c>
      <c r="P1209" t="s">
        <v>25</v>
      </c>
      <c r="Q1209" t="s">
        <v>26</v>
      </c>
      <c r="R1209" t="str">
        <f>IF(COUNTIF(Sheet2!B:B, A1209) &gt; 0, "Yes", "No")</f>
        <v>No</v>
      </c>
    </row>
    <row r="1210" spans="1:18" x14ac:dyDescent="0.25">
      <c r="A1210" s="3">
        <v>45265</v>
      </c>
      <c r="B1210" t="s">
        <v>405</v>
      </c>
      <c r="C1210" t="s">
        <v>105</v>
      </c>
      <c r="D1210" t="s">
        <v>20</v>
      </c>
      <c r="E1210" t="s">
        <v>67</v>
      </c>
      <c r="F1210" t="s">
        <v>40</v>
      </c>
      <c r="G1210" t="s">
        <v>73</v>
      </c>
      <c r="H1210" t="s">
        <v>409</v>
      </c>
      <c r="I1210">
        <v>0.05</v>
      </c>
      <c r="J1210">
        <f t="shared" si="54"/>
        <v>31.5</v>
      </c>
      <c r="K1210">
        <v>0</v>
      </c>
      <c r="L1210">
        <f t="shared" si="55"/>
        <v>31.5</v>
      </c>
      <c r="M1210" s="4">
        <f t="shared" si="56"/>
        <v>4.4999999999999998E-2</v>
      </c>
      <c r="N1210">
        <v>700</v>
      </c>
      <c r="O1210">
        <v>630</v>
      </c>
      <c r="P1210" t="s">
        <v>25</v>
      </c>
      <c r="Q1210" t="s">
        <v>26</v>
      </c>
      <c r="R1210" t="str">
        <f>IF(COUNTIF(Sheet2!B:B, A1210) &gt; 0, "Yes", "No")</f>
        <v>No</v>
      </c>
    </row>
    <row r="1211" spans="1:18" x14ac:dyDescent="0.25">
      <c r="A1211" s="3">
        <v>45265</v>
      </c>
      <c r="B1211" t="s">
        <v>405</v>
      </c>
      <c r="C1211" t="s">
        <v>105</v>
      </c>
      <c r="D1211" t="s">
        <v>20</v>
      </c>
      <c r="E1211" t="s">
        <v>67</v>
      </c>
      <c r="F1211" t="s">
        <v>43</v>
      </c>
      <c r="G1211" t="s">
        <v>90</v>
      </c>
      <c r="H1211" t="s">
        <v>188</v>
      </c>
      <c r="I1211">
        <v>0.11</v>
      </c>
      <c r="J1211">
        <f t="shared" si="54"/>
        <v>69.3</v>
      </c>
      <c r="K1211">
        <v>0</v>
      </c>
      <c r="L1211">
        <f t="shared" si="55"/>
        <v>69.3</v>
      </c>
      <c r="M1211" s="4">
        <f t="shared" si="56"/>
        <v>9.8999999999999991E-2</v>
      </c>
      <c r="N1211">
        <v>700</v>
      </c>
      <c r="O1211">
        <v>630</v>
      </c>
      <c r="P1211" t="s">
        <v>25</v>
      </c>
      <c r="Q1211" t="s">
        <v>26</v>
      </c>
      <c r="R1211" t="str">
        <f>IF(COUNTIF(Sheet2!B:B, A1211) &gt; 0, "Yes", "No")</f>
        <v>No</v>
      </c>
    </row>
    <row r="1212" spans="1:18" x14ac:dyDescent="0.25">
      <c r="A1212" s="3">
        <v>45265</v>
      </c>
      <c r="B1212" t="s">
        <v>405</v>
      </c>
      <c r="C1212" t="s">
        <v>105</v>
      </c>
      <c r="D1212" t="s">
        <v>20</v>
      </c>
      <c r="E1212" t="s">
        <v>67</v>
      </c>
      <c r="F1212" t="s">
        <v>46</v>
      </c>
      <c r="G1212" t="s">
        <v>77</v>
      </c>
      <c r="H1212" t="s">
        <v>78</v>
      </c>
      <c r="I1212">
        <v>8.5000000000000006E-2</v>
      </c>
      <c r="J1212">
        <f t="shared" si="54"/>
        <v>53.550000000000004</v>
      </c>
      <c r="K1212">
        <v>0</v>
      </c>
      <c r="L1212">
        <f t="shared" si="55"/>
        <v>53.550000000000004</v>
      </c>
      <c r="M1212" s="4">
        <f t="shared" si="56"/>
        <v>7.6500000000000012E-2</v>
      </c>
      <c r="N1212">
        <v>700</v>
      </c>
      <c r="O1212">
        <v>630</v>
      </c>
      <c r="P1212" t="s">
        <v>25</v>
      </c>
      <c r="Q1212" t="s">
        <v>26</v>
      </c>
      <c r="R1212" t="str">
        <f>IF(COUNTIF(Sheet2!B:B, A1212) &gt; 0, "Yes", "No")</f>
        <v>No</v>
      </c>
    </row>
    <row r="1213" spans="1:18" x14ac:dyDescent="0.25">
      <c r="A1213" s="3">
        <v>45265</v>
      </c>
      <c r="B1213" t="s">
        <v>405</v>
      </c>
      <c r="C1213" t="s">
        <v>105</v>
      </c>
      <c r="D1213" t="s">
        <v>20</v>
      </c>
      <c r="E1213" t="s">
        <v>67</v>
      </c>
      <c r="F1213" t="s">
        <v>49</v>
      </c>
      <c r="G1213" t="s">
        <v>50</v>
      </c>
      <c r="H1213" t="s">
        <v>49</v>
      </c>
      <c r="I1213">
        <v>0.09</v>
      </c>
      <c r="J1213">
        <f t="shared" si="54"/>
        <v>56.699999999999996</v>
      </c>
      <c r="K1213">
        <v>0</v>
      </c>
      <c r="L1213">
        <f t="shared" si="55"/>
        <v>56.699999999999996</v>
      </c>
      <c r="M1213" s="4">
        <f t="shared" si="56"/>
        <v>8.0999999999999989E-2</v>
      </c>
      <c r="N1213">
        <v>700</v>
      </c>
      <c r="O1213">
        <v>630</v>
      </c>
      <c r="P1213" t="s">
        <v>25</v>
      </c>
      <c r="Q1213" t="s">
        <v>26</v>
      </c>
      <c r="R1213" t="str">
        <f>IF(COUNTIF(Sheet2!B:B, A1213) &gt; 0, "Yes", "No")</f>
        <v>No</v>
      </c>
    </row>
    <row r="1214" spans="1:18" x14ac:dyDescent="0.25">
      <c r="A1214" s="3">
        <v>45266</v>
      </c>
      <c r="B1214" t="s">
        <v>405</v>
      </c>
      <c r="C1214" t="s">
        <v>51</v>
      </c>
      <c r="D1214" t="s">
        <v>20</v>
      </c>
      <c r="E1214" t="s">
        <v>21</v>
      </c>
      <c r="F1214" t="s">
        <v>22</v>
      </c>
      <c r="G1214" t="s">
        <v>23</v>
      </c>
      <c r="H1214" t="s">
        <v>196</v>
      </c>
      <c r="I1214">
        <v>8.5000000000000006E-2</v>
      </c>
      <c r="J1214">
        <f t="shared" si="54"/>
        <v>59.500000000000007</v>
      </c>
      <c r="K1214">
        <v>1.5</v>
      </c>
      <c r="L1214">
        <f t="shared" si="55"/>
        <v>58.000000000000007</v>
      </c>
      <c r="M1214" s="4">
        <f t="shared" si="56"/>
        <v>7.4358974358974372E-2</v>
      </c>
      <c r="N1214">
        <v>780</v>
      </c>
      <c r="O1214">
        <v>700</v>
      </c>
      <c r="P1214" t="s">
        <v>25</v>
      </c>
      <c r="Q1214" t="s">
        <v>26</v>
      </c>
      <c r="R1214" t="str">
        <f>IF(COUNTIF(Sheet2!B:B, A1214) &gt; 0, "Yes", "No")</f>
        <v>No</v>
      </c>
    </row>
    <row r="1215" spans="1:18" x14ac:dyDescent="0.25">
      <c r="A1215" s="3">
        <v>45266</v>
      </c>
      <c r="B1215" t="s">
        <v>405</v>
      </c>
      <c r="C1215" t="s">
        <v>51</v>
      </c>
      <c r="D1215" t="s">
        <v>20</v>
      </c>
      <c r="E1215" t="s">
        <v>21</v>
      </c>
      <c r="F1215" t="s">
        <v>27</v>
      </c>
      <c r="G1215" t="s">
        <v>144</v>
      </c>
      <c r="H1215" t="s">
        <v>410</v>
      </c>
      <c r="I1215">
        <v>0.11</v>
      </c>
      <c r="J1215">
        <f t="shared" si="54"/>
        <v>77</v>
      </c>
      <c r="K1215">
        <v>3</v>
      </c>
      <c r="L1215">
        <f t="shared" si="55"/>
        <v>74</v>
      </c>
      <c r="M1215" s="4">
        <f t="shared" si="56"/>
        <v>9.4871794871794868E-2</v>
      </c>
      <c r="N1215">
        <v>780</v>
      </c>
      <c r="O1215">
        <v>700</v>
      </c>
      <c r="P1215" t="s">
        <v>25</v>
      </c>
      <c r="Q1215" t="s">
        <v>26</v>
      </c>
      <c r="R1215" t="str">
        <f>IF(COUNTIF(Sheet2!B:B, A1215) &gt; 0, "Yes", "No")</f>
        <v>No</v>
      </c>
    </row>
    <row r="1216" spans="1:18" x14ac:dyDescent="0.25">
      <c r="A1216" s="3">
        <v>45266</v>
      </c>
      <c r="B1216" t="s">
        <v>405</v>
      </c>
      <c r="C1216" t="s">
        <v>51</v>
      </c>
      <c r="D1216" t="s">
        <v>20</v>
      </c>
      <c r="E1216" t="s">
        <v>21</v>
      </c>
      <c r="F1216" t="s">
        <v>30</v>
      </c>
      <c r="G1216" t="s">
        <v>55</v>
      </c>
      <c r="H1216" t="s">
        <v>183</v>
      </c>
      <c r="I1216">
        <v>0.09</v>
      </c>
      <c r="J1216">
        <f t="shared" si="54"/>
        <v>63</v>
      </c>
      <c r="K1216">
        <v>0</v>
      </c>
      <c r="L1216">
        <f t="shared" si="55"/>
        <v>63</v>
      </c>
      <c r="M1216" s="4">
        <f t="shared" si="56"/>
        <v>8.0769230769230774E-2</v>
      </c>
      <c r="N1216">
        <v>780</v>
      </c>
      <c r="O1216">
        <v>700</v>
      </c>
      <c r="P1216" t="s">
        <v>25</v>
      </c>
      <c r="Q1216" t="s">
        <v>26</v>
      </c>
      <c r="R1216" t="str">
        <f>IF(COUNTIF(Sheet2!B:B, A1216) &gt; 0, "Yes", "No")</f>
        <v>No</v>
      </c>
    </row>
    <row r="1217" spans="1:18" x14ac:dyDescent="0.25">
      <c r="A1217" s="3">
        <v>45266</v>
      </c>
      <c r="B1217" t="s">
        <v>405</v>
      </c>
      <c r="C1217" t="s">
        <v>51</v>
      </c>
      <c r="D1217" t="s">
        <v>33</v>
      </c>
      <c r="E1217" t="s">
        <v>21</v>
      </c>
      <c r="F1217" t="s">
        <v>34</v>
      </c>
      <c r="G1217" t="s">
        <v>57</v>
      </c>
      <c r="H1217" t="s">
        <v>224</v>
      </c>
      <c r="I1217">
        <v>0.15</v>
      </c>
      <c r="J1217">
        <f t="shared" si="54"/>
        <v>73.5</v>
      </c>
      <c r="K1217">
        <v>0</v>
      </c>
      <c r="L1217">
        <f t="shared" si="55"/>
        <v>73.5</v>
      </c>
      <c r="M1217" s="4">
        <f t="shared" si="56"/>
        <v>0.13461538461538461</v>
      </c>
      <c r="N1217">
        <v>546</v>
      </c>
      <c r="O1217">
        <v>490</v>
      </c>
      <c r="P1217" t="s">
        <v>25</v>
      </c>
      <c r="Q1217" t="s">
        <v>26</v>
      </c>
      <c r="R1217" t="str">
        <f>IF(COUNTIF(Sheet2!B:B, A1217) &gt; 0, "Yes", "No")</f>
        <v>No</v>
      </c>
    </row>
    <row r="1218" spans="1:18" x14ac:dyDescent="0.25">
      <c r="A1218" s="3">
        <v>45266</v>
      </c>
      <c r="B1218" t="s">
        <v>405</v>
      </c>
      <c r="C1218" t="s">
        <v>51</v>
      </c>
      <c r="D1218" t="s">
        <v>20</v>
      </c>
      <c r="E1218" t="s">
        <v>21</v>
      </c>
      <c r="F1218" t="s">
        <v>37</v>
      </c>
      <c r="G1218" t="s">
        <v>117</v>
      </c>
      <c r="H1218" t="s">
        <v>118</v>
      </c>
      <c r="I1218">
        <v>0.03</v>
      </c>
      <c r="J1218">
        <f t="shared" si="54"/>
        <v>21</v>
      </c>
      <c r="K1218">
        <v>2</v>
      </c>
      <c r="L1218">
        <f t="shared" si="55"/>
        <v>19</v>
      </c>
      <c r="M1218" s="4">
        <f t="shared" si="56"/>
        <v>2.4358974358974359E-2</v>
      </c>
      <c r="N1218">
        <v>780</v>
      </c>
      <c r="O1218">
        <v>700</v>
      </c>
      <c r="P1218" t="s">
        <v>25</v>
      </c>
      <c r="Q1218" t="s">
        <v>26</v>
      </c>
      <c r="R1218" t="str">
        <f>IF(COUNTIF(Sheet2!B:B, A1218) &gt; 0, "Yes", "No")</f>
        <v>No</v>
      </c>
    </row>
    <row r="1219" spans="1:18" x14ac:dyDescent="0.25">
      <c r="A1219" s="3">
        <v>45266</v>
      </c>
      <c r="B1219" t="s">
        <v>405</v>
      </c>
      <c r="C1219" t="s">
        <v>51</v>
      </c>
      <c r="D1219" t="s">
        <v>20</v>
      </c>
      <c r="E1219" t="s">
        <v>21</v>
      </c>
      <c r="F1219" t="s">
        <v>40</v>
      </c>
      <c r="G1219" t="s">
        <v>137</v>
      </c>
      <c r="H1219" t="s">
        <v>138</v>
      </c>
      <c r="I1219">
        <v>4.4999999999999998E-2</v>
      </c>
      <c r="J1219">
        <f t="shared" ref="J1219:J1282" si="57">I1219*O1219</f>
        <v>31.5</v>
      </c>
      <c r="K1219">
        <v>1.5</v>
      </c>
      <c r="L1219">
        <f t="shared" ref="L1219:L1282" si="58">J1219-K1219</f>
        <v>30</v>
      </c>
      <c r="M1219" s="4">
        <f t="shared" ref="M1219:M1282" si="59">((I1219*O1219)-K1219)/N1219</f>
        <v>3.8461538461538464E-2</v>
      </c>
      <c r="N1219">
        <v>780</v>
      </c>
      <c r="O1219">
        <v>700</v>
      </c>
      <c r="P1219" t="s">
        <v>25</v>
      </c>
      <c r="Q1219" t="s">
        <v>26</v>
      </c>
      <c r="R1219" t="str">
        <f>IF(COUNTIF(Sheet2!B:B, A1219) &gt; 0, "Yes", "No")</f>
        <v>No</v>
      </c>
    </row>
    <row r="1220" spans="1:18" x14ac:dyDescent="0.25">
      <c r="A1220" s="3">
        <v>45266</v>
      </c>
      <c r="B1220" t="s">
        <v>405</v>
      </c>
      <c r="C1220" t="s">
        <v>51</v>
      </c>
      <c r="D1220" t="s">
        <v>20</v>
      </c>
      <c r="E1220" t="s">
        <v>21</v>
      </c>
      <c r="F1220" t="s">
        <v>43</v>
      </c>
      <c r="G1220" t="s">
        <v>75</v>
      </c>
      <c r="H1220" t="s">
        <v>411</v>
      </c>
      <c r="I1220">
        <v>0.11</v>
      </c>
      <c r="J1220">
        <f t="shared" si="57"/>
        <v>77</v>
      </c>
      <c r="K1220">
        <v>1.5</v>
      </c>
      <c r="L1220">
        <f t="shared" si="58"/>
        <v>75.5</v>
      </c>
      <c r="M1220" s="4">
        <f t="shared" si="59"/>
        <v>9.6794871794871798E-2</v>
      </c>
      <c r="N1220">
        <v>780</v>
      </c>
      <c r="O1220">
        <v>700</v>
      </c>
      <c r="P1220" t="s">
        <v>25</v>
      </c>
      <c r="Q1220" t="s">
        <v>26</v>
      </c>
      <c r="R1220" t="str">
        <f>IF(COUNTIF(Sheet2!B:B, A1220) &gt; 0, "Yes", "No")</f>
        <v>No</v>
      </c>
    </row>
    <row r="1221" spans="1:18" x14ac:dyDescent="0.25">
      <c r="A1221" s="3">
        <v>45266</v>
      </c>
      <c r="B1221" t="s">
        <v>405</v>
      </c>
      <c r="C1221" t="s">
        <v>51</v>
      </c>
      <c r="D1221" t="s">
        <v>20</v>
      </c>
      <c r="E1221" t="s">
        <v>21</v>
      </c>
      <c r="F1221" t="s">
        <v>46</v>
      </c>
      <c r="G1221" t="s">
        <v>412</v>
      </c>
      <c r="H1221" t="s">
        <v>413</v>
      </c>
      <c r="I1221">
        <v>8.5000000000000006E-2</v>
      </c>
      <c r="J1221">
        <f t="shared" si="57"/>
        <v>59.500000000000007</v>
      </c>
      <c r="K1221">
        <v>0</v>
      </c>
      <c r="L1221">
        <f t="shared" si="58"/>
        <v>59.500000000000007</v>
      </c>
      <c r="M1221" s="4">
        <f t="shared" si="59"/>
        <v>7.6282051282051289E-2</v>
      </c>
      <c r="N1221">
        <v>780</v>
      </c>
      <c r="O1221">
        <v>700</v>
      </c>
      <c r="P1221" t="s">
        <v>25</v>
      </c>
      <c r="Q1221" t="s">
        <v>26</v>
      </c>
      <c r="R1221" t="str">
        <f>IF(COUNTIF(Sheet2!B:B, A1221) &gt; 0, "Yes", "No")</f>
        <v>No</v>
      </c>
    </row>
    <row r="1222" spans="1:18" x14ac:dyDescent="0.25">
      <c r="A1222" s="3">
        <v>45266</v>
      </c>
      <c r="B1222" t="s">
        <v>405</v>
      </c>
      <c r="C1222" t="s">
        <v>51</v>
      </c>
      <c r="D1222" t="s">
        <v>20</v>
      </c>
      <c r="E1222" t="s">
        <v>21</v>
      </c>
      <c r="F1222" t="s">
        <v>49</v>
      </c>
      <c r="G1222" t="s">
        <v>50</v>
      </c>
      <c r="H1222" t="s">
        <v>49</v>
      </c>
      <c r="I1222">
        <v>0.09</v>
      </c>
      <c r="J1222">
        <f t="shared" si="57"/>
        <v>63</v>
      </c>
      <c r="K1222">
        <v>0</v>
      </c>
      <c r="L1222">
        <f t="shared" si="58"/>
        <v>63</v>
      </c>
      <c r="M1222" s="4">
        <f t="shared" si="59"/>
        <v>8.0769230769230774E-2</v>
      </c>
      <c r="N1222">
        <v>780</v>
      </c>
      <c r="O1222">
        <v>700</v>
      </c>
      <c r="P1222" t="s">
        <v>25</v>
      </c>
      <c r="Q1222" t="s">
        <v>26</v>
      </c>
      <c r="R1222" t="str">
        <f>IF(COUNTIF(Sheet2!B:B, A1222) &gt; 0, "Yes", "No")</f>
        <v>No</v>
      </c>
    </row>
    <row r="1223" spans="1:18" x14ac:dyDescent="0.25">
      <c r="A1223" s="3">
        <v>45267</v>
      </c>
      <c r="B1223" t="s">
        <v>405</v>
      </c>
      <c r="C1223" t="s">
        <v>66</v>
      </c>
      <c r="D1223" t="s">
        <v>20</v>
      </c>
      <c r="E1223" t="s">
        <v>67</v>
      </c>
      <c r="F1223" t="s">
        <v>22</v>
      </c>
      <c r="G1223" t="s">
        <v>23</v>
      </c>
      <c r="H1223" t="s">
        <v>80</v>
      </c>
      <c r="I1223">
        <v>8.5000000000000006E-2</v>
      </c>
      <c r="J1223">
        <f t="shared" si="57"/>
        <v>54.400000000000006</v>
      </c>
      <c r="K1223">
        <v>1</v>
      </c>
      <c r="L1223">
        <f t="shared" si="58"/>
        <v>53.400000000000006</v>
      </c>
      <c r="M1223" s="4">
        <f t="shared" si="59"/>
        <v>7.628571428571429E-2</v>
      </c>
      <c r="N1223">
        <v>700</v>
      </c>
      <c r="O1223">
        <v>640</v>
      </c>
      <c r="P1223" t="s">
        <v>25</v>
      </c>
      <c r="Q1223" t="s">
        <v>26</v>
      </c>
      <c r="R1223" t="str">
        <f>IF(COUNTIF(Sheet2!B:B, A1223) &gt; 0, "Yes", "No")</f>
        <v>No</v>
      </c>
    </row>
    <row r="1224" spans="1:18" x14ac:dyDescent="0.25">
      <c r="A1224" s="3">
        <v>45267</v>
      </c>
      <c r="B1224" t="s">
        <v>405</v>
      </c>
      <c r="C1224" t="s">
        <v>66</v>
      </c>
      <c r="D1224" t="s">
        <v>20</v>
      </c>
      <c r="E1224" t="s">
        <v>67</v>
      </c>
      <c r="F1224" t="s">
        <v>27</v>
      </c>
      <c r="G1224" t="s">
        <v>28</v>
      </c>
      <c r="H1224" t="s">
        <v>171</v>
      </c>
      <c r="I1224">
        <v>0.11</v>
      </c>
      <c r="J1224">
        <f t="shared" si="57"/>
        <v>70.400000000000006</v>
      </c>
      <c r="K1224">
        <v>2</v>
      </c>
      <c r="L1224">
        <f t="shared" si="58"/>
        <v>68.400000000000006</v>
      </c>
      <c r="M1224" s="4">
        <f t="shared" si="59"/>
        <v>9.7714285714285726E-2</v>
      </c>
      <c r="N1224">
        <v>700</v>
      </c>
      <c r="O1224">
        <v>640</v>
      </c>
      <c r="P1224" t="s">
        <v>25</v>
      </c>
      <c r="Q1224" t="s">
        <v>26</v>
      </c>
      <c r="R1224" t="str">
        <f>IF(COUNTIF(Sheet2!B:B, A1224) &gt; 0, "Yes", "No")</f>
        <v>No</v>
      </c>
    </row>
    <row r="1225" spans="1:18" x14ac:dyDescent="0.25">
      <c r="A1225" s="3">
        <v>45267</v>
      </c>
      <c r="B1225" t="s">
        <v>405</v>
      </c>
      <c r="C1225" t="s">
        <v>66</v>
      </c>
      <c r="D1225" t="s">
        <v>20</v>
      </c>
      <c r="E1225" t="s">
        <v>67</v>
      </c>
      <c r="F1225" t="s">
        <v>30</v>
      </c>
      <c r="G1225" t="s">
        <v>55</v>
      </c>
      <c r="H1225" t="s">
        <v>134</v>
      </c>
      <c r="I1225">
        <v>0.09</v>
      </c>
      <c r="J1225">
        <f t="shared" si="57"/>
        <v>57.599999999999994</v>
      </c>
      <c r="K1225">
        <v>0.5</v>
      </c>
      <c r="L1225">
        <f t="shared" si="58"/>
        <v>57.099999999999994</v>
      </c>
      <c r="M1225" s="4">
        <f t="shared" si="59"/>
        <v>8.1571428571428559E-2</v>
      </c>
      <c r="N1225">
        <v>700</v>
      </c>
      <c r="O1225">
        <v>640</v>
      </c>
      <c r="P1225" t="s">
        <v>25</v>
      </c>
      <c r="Q1225" t="s">
        <v>26</v>
      </c>
      <c r="R1225" t="str">
        <f>IF(COUNTIF(Sheet2!B:B, A1225) &gt; 0, "Yes", "No")</f>
        <v>No</v>
      </c>
    </row>
    <row r="1226" spans="1:18" x14ac:dyDescent="0.25">
      <c r="A1226" s="3">
        <v>45267</v>
      </c>
      <c r="B1226" t="s">
        <v>405</v>
      </c>
      <c r="C1226" t="s">
        <v>66</v>
      </c>
      <c r="D1226" t="s">
        <v>20</v>
      </c>
      <c r="E1226" t="s">
        <v>67</v>
      </c>
      <c r="F1226" t="s">
        <v>37</v>
      </c>
      <c r="G1226" t="s">
        <v>117</v>
      </c>
      <c r="H1226" t="s">
        <v>118</v>
      </c>
      <c r="I1226">
        <v>3.5000000000000003E-2</v>
      </c>
      <c r="J1226">
        <f t="shared" si="57"/>
        <v>22.400000000000002</v>
      </c>
      <c r="K1226">
        <v>1</v>
      </c>
      <c r="L1226">
        <f t="shared" si="58"/>
        <v>21.400000000000002</v>
      </c>
      <c r="M1226" s="4">
        <f t="shared" si="59"/>
        <v>3.0571428571428576E-2</v>
      </c>
      <c r="N1226">
        <v>700</v>
      </c>
      <c r="O1226">
        <v>640</v>
      </c>
      <c r="P1226" t="s">
        <v>25</v>
      </c>
      <c r="Q1226" t="s">
        <v>26</v>
      </c>
      <c r="R1226" t="str">
        <f>IF(COUNTIF(Sheet2!B:B, A1226) &gt; 0, "Yes", "No")</f>
        <v>No</v>
      </c>
    </row>
    <row r="1227" spans="1:18" x14ac:dyDescent="0.25">
      <c r="A1227" s="3">
        <v>45267</v>
      </c>
      <c r="B1227" t="s">
        <v>405</v>
      </c>
      <c r="C1227" t="s">
        <v>66</v>
      </c>
      <c r="D1227" t="s">
        <v>20</v>
      </c>
      <c r="E1227" t="s">
        <v>67</v>
      </c>
      <c r="F1227" t="s">
        <v>40</v>
      </c>
      <c r="G1227" t="s">
        <v>41</v>
      </c>
      <c r="H1227" t="s">
        <v>42</v>
      </c>
      <c r="I1227">
        <v>0.05</v>
      </c>
      <c r="J1227">
        <f t="shared" si="57"/>
        <v>32</v>
      </c>
      <c r="K1227">
        <v>0</v>
      </c>
      <c r="L1227">
        <f t="shared" si="58"/>
        <v>32</v>
      </c>
      <c r="M1227" s="4">
        <f t="shared" si="59"/>
        <v>4.5714285714285714E-2</v>
      </c>
      <c r="N1227">
        <v>700</v>
      </c>
      <c r="O1227">
        <v>640</v>
      </c>
      <c r="P1227" t="s">
        <v>25</v>
      </c>
      <c r="Q1227" t="s">
        <v>26</v>
      </c>
      <c r="R1227" t="str">
        <f>IF(COUNTIF(Sheet2!B:B, A1227) &gt; 0, "Yes", "No")</f>
        <v>No</v>
      </c>
    </row>
    <row r="1228" spans="1:18" x14ac:dyDescent="0.25">
      <c r="A1228" s="3">
        <v>45267</v>
      </c>
      <c r="B1228" t="s">
        <v>405</v>
      </c>
      <c r="C1228" t="s">
        <v>66</v>
      </c>
      <c r="D1228" t="s">
        <v>20</v>
      </c>
      <c r="E1228" t="s">
        <v>67</v>
      </c>
      <c r="F1228" t="s">
        <v>43</v>
      </c>
      <c r="G1228" t="s">
        <v>414</v>
      </c>
      <c r="H1228" t="s">
        <v>415</v>
      </c>
      <c r="I1228">
        <v>0.11</v>
      </c>
      <c r="J1228">
        <f t="shared" si="57"/>
        <v>70.400000000000006</v>
      </c>
      <c r="K1228">
        <v>2</v>
      </c>
      <c r="L1228">
        <f t="shared" si="58"/>
        <v>68.400000000000006</v>
      </c>
      <c r="M1228" s="4">
        <f t="shared" si="59"/>
        <v>9.7714285714285726E-2</v>
      </c>
      <c r="N1228">
        <v>700</v>
      </c>
      <c r="O1228">
        <v>640</v>
      </c>
      <c r="P1228" t="s">
        <v>25</v>
      </c>
      <c r="Q1228" t="s">
        <v>26</v>
      </c>
      <c r="R1228" t="str">
        <f>IF(COUNTIF(Sheet2!B:B, A1228) &gt; 0, "Yes", "No")</f>
        <v>No</v>
      </c>
    </row>
    <row r="1229" spans="1:18" x14ac:dyDescent="0.25">
      <c r="A1229" s="3">
        <v>45267</v>
      </c>
      <c r="B1229" t="s">
        <v>405</v>
      </c>
      <c r="C1229" t="s">
        <v>66</v>
      </c>
      <c r="D1229" t="s">
        <v>20</v>
      </c>
      <c r="E1229" t="s">
        <v>67</v>
      </c>
      <c r="F1229" t="s">
        <v>46</v>
      </c>
      <c r="G1229" t="s">
        <v>130</v>
      </c>
      <c r="H1229" t="s">
        <v>367</v>
      </c>
      <c r="I1229">
        <v>8.5000000000000006E-2</v>
      </c>
      <c r="J1229">
        <f t="shared" si="57"/>
        <v>54.400000000000006</v>
      </c>
      <c r="K1229">
        <v>0</v>
      </c>
      <c r="L1229">
        <f t="shared" si="58"/>
        <v>54.400000000000006</v>
      </c>
      <c r="M1229" s="4">
        <f t="shared" si="59"/>
        <v>7.7714285714285722E-2</v>
      </c>
      <c r="N1229">
        <v>700</v>
      </c>
      <c r="O1229">
        <v>640</v>
      </c>
      <c r="P1229" t="s">
        <v>25</v>
      </c>
      <c r="Q1229" t="s">
        <v>26</v>
      </c>
      <c r="R1229" t="str">
        <f>IF(COUNTIF(Sheet2!B:B, A1229) &gt; 0, "Yes", "No")</f>
        <v>No</v>
      </c>
    </row>
    <row r="1230" spans="1:18" x14ac:dyDescent="0.25">
      <c r="A1230" s="3">
        <v>45267</v>
      </c>
      <c r="B1230" t="s">
        <v>405</v>
      </c>
      <c r="C1230" t="s">
        <v>66</v>
      </c>
      <c r="D1230" t="s">
        <v>20</v>
      </c>
      <c r="E1230" t="s">
        <v>67</v>
      </c>
      <c r="F1230" t="s">
        <v>49</v>
      </c>
      <c r="G1230" t="s">
        <v>50</v>
      </c>
      <c r="H1230" t="s">
        <v>49</v>
      </c>
      <c r="I1230">
        <v>0.09</v>
      </c>
      <c r="J1230">
        <f t="shared" si="57"/>
        <v>57.599999999999994</v>
      </c>
      <c r="K1230">
        <v>1</v>
      </c>
      <c r="L1230">
        <f t="shared" si="58"/>
        <v>56.599999999999994</v>
      </c>
      <c r="M1230" s="4">
        <f t="shared" si="59"/>
        <v>8.085714285714285E-2</v>
      </c>
      <c r="N1230">
        <v>700</v>
      </c>
      <c r="O1230">
        <v>640</v>
      </c>
      <c r="P1230" t="s">
        <v>25</v>
      </c>
      <c r="Q1230" t="s">
        <v>26</v>
      </c>
      <c r="R1230" t="str">
        <f>IF(COUNTIF(Sheet2!B:B, A1230) &gt; 0, "Yes", "No")</f>
        <v>No</v>
      </c>
    </row>
    <row r="1231" spans="1:18" x14ac:dyDescent="0.25">
      <c r="A1231" s="3">
        <v>45268</v>
      </c>
      <c r="B1231" t="s">
        <v>405</v>
      </c>
      <c r="C1231" t="s">
        <v>79</v>
      </c>
      <c r="D1231" t="s">
        <v>20</v>
      </c>
      <c r="E1231" t="s">
        <v>21</v>
      </c>
      <c r="F1231" t="s">
        <v>22</v>
      </c>
      <c r="G1231" t="s">
        <v>23</v>
      </c>
      <c r="H1231" t="s">
        <v>24</v>
      </c>
      <c r="I1231" s="5">
        <v>0.06</v>
      </c>
      <c r="J1231">
        <f t="shared" si="57"/>
        <v>33</v>
      </c>
      <c r="K1231">
        <v>0.25</v>
      </c>
      <c r="L1231">
        <f t="shared" si="58"/>
        <v>32.75</v>
      </c>
      <c r="M1231" s="4">
        <f t="shared" si="59"/>
        <v>5.4583333333333331E-2</v>
      </c>
      <c r="N1231">
        <v>600</v>
      </c>
      <c r="O1231">
        <v>550</v>
      </c>
      <c r="P1231" t="s">
        <v>25</v>
      </c>
      <c r="Q1231" t="s">
        <v>26</v>
      </c>
      <c r="R1231" t="str">
        <f>IF(COUNTIF(Sheet2!B:B, A1231) &gt; 0, "Yes", "No")</f>
        <v>Yes</v>
      </c>
    </row>
    <row r="1232" spans="1:18" x14ac:dyDescent="0.25">
      <c r="A1232" s="3">
        <v>45268</v>
      </c>
      <c r="B1232" t="s">
        <v>405</v>
      </c>
      <c r="C1232" t="s">
        <v>79</v>
      </c>
      <c r="D1232" t="s">
        <v>20</v>
      </c>
      <c r="E1232" t="s">
        <v>21</v>
      </c>
      <c r="F1232" t="s">
        <v>27</v>
      </c>
      <c r="G1232" t="s">
        <v>81</v>
      </c>
      <c r="H1232" t="s">
        <v>219</v>
      </c>
      <c r="I1232" s="5">
        <v>0.1</v>
      </c>
      <c r="J1232">
        <f t="shared" si="57"/>
        <v>55</v>
      </c>
      <c r="K1232">
        <v>1.25</v>
      </c>
      <c r="L1232">
        <f t="shared" si="58"/>
        <v>53.75</v>
      </c>
      <c r="M1232" s="4">
        <f t="shared" si="59"/>
        <v>8.9583333333333334E-2</v>
      </c>
      <c r="N1232">
        <v>600</v>
      </c>
      <c r="O1232">
        <v>550</v>
      </c>
      <c r="P1232" t="s">
        <v>25</v>
      </c>
      <c r="Q1232" t="s">
        <v>26</v>
      </c>
      <c r="R1232" t="str">
        <f>IF(COUNTIF(Sheet2!B:B, A1232) &gt; 0, "Yes", "No")</f>
        <v>Yes</v>
      </c>
    </row>
    <row r="1233" spans="1:18" x14ac:dyDescent="0.25">
      <c r="A1233" s="3">
        <v>45268</v>
      </c>
      <c r="B1233" t="s">
        <v>405</v>
      </c>
      <c r="C1233" t="s">
        <v>79</v>
      </c>
      <c r="D1233" t="s">
        <v>20</v>
      </c>
      <c r="E1233" t="s">
        <v>21</v>
      </c>
      <c r="F1233" t="s">
        <v>30</v>
      </c>
      <c r="G1233" t="s">
        <v>31</v>
      </c>
      <c r="H1233" t="s">
        <v>70</v>
      </c>
      <c r="I1233" s="5">
        <v>0.06</v>
      </c>
      <c r="J1233">
        <f t="shared" si="57"/>
        <v>33</v>
      </c>
      <c r="K1233">
        <v>0.5</v>
      </c>
      <c r="L1233">
        <f t="shared" si="58"/>
        <v>32.5</v>
      </c>
      <c r="M1233" s="4">
        <f t="shared" si="59"/>
        <v>5.4166666666666669E-2</v>
      </c>
      <c r="N1233">
        <v>600</v>
      </c>
      <c r="O1233">
        <v>550</v>
      </c>
      <c r="P1233" t="s">
        <v>25</v>
      </c>
      <c r="Q1233" t="s">
        <v>26</v>
      </c>
      <c r="R1233" t="str">
        <f>IF(COUNTIF(Sheet2!B:B, A1233) &gt; 0, "Yes", "No")</f>
        <v>Yes</v>
      </c>
    </row>
    <row r="1234" spans="1:18" x14ac:dyDescent="0.25">
      <c r="A1234" s="3">
        <v>45268</v>
      </c>
      <c r="B1234" t="s">
        <v>405</v>
      </c>
      <c r="C1234" t="s">
        <v>79</v>
      </c>
      <c r="D1234" t="s">
        <v>33</v>
      </c>
      <c r="E1234" t="s">
        <v>21</v>
      </c>
      <c r="F1234" t="s">
        <v>84</v>
      </c>
      <c r="G1234" t="s">
        <v>85</v>
      </c>
      <c r="H1234" t="s">
        <v>86</v>
      </c>
      <c r="I1234" s="5">
        <v>0.3</v>
      </c>
      <c r="J1234">
        <f t="shared" si="57"/>
        <v>115.5</v>
      </c>
      <c r="K1234">
        <v>0</v>
      </c>
      <c r="L1234">
        <f t="shared" si="58"/>
        <v>115.5</v>
      </c>
      <c r="M1234" s="4">
        <f t="shared" si="59"/>
        <v>0.27500000000000002</v>
      </c>
      <c r="N1234">
        <v>420</v>
      </c>
      <c r="O1234">
        <v>385</v>
      </c>
      <c r="P1234" t="s">
        <v>25</v>
      </c>
      <c r="Q1234" t="s">
        <v>26</v>
      </c>
      <c r="R1234" t="str">
        <f>IF(COUNTIF(Sheet2!B:B, A1234) &gt; 0, "Yes", "No")</f>
        <v>Yes</v>
      </c>
    </row>
    <row r="1235" spans="1:18" x14ac:dyDescent="0.25">
      <c r="A1235" s="3">
        <v>45268</v>
      </c>
      <c r="B1235" t="s">
        <v>405</v>
      </c>
      <c r="C1235" t="s">
        <v>79</v>
      </c>
      <c r="D1235" t="s">
        <v>20</v>
      </c>
      <c r="E1235" t="s">
        <v>21</v>
      </c>
      <c r="F1235" t="s">
        <v>37</v>
      </c>
      <c r="G1235" t="s">
        <v>108</v>
      </c>
      <c r="H1235" t="s">
        <v>126</v>
      </c>
      <c r="I1235" s="5">
        <v>2.5000000000000001E-2</v>
      </c>
      <c r="J1235">
        <f t="shared" si="57"/>
        <v>13.75</v>
      </c>
      <c r="K1235">
        <v>1</v>
      </c>
      <c r="L1235">
        <f t="shared" si="58"/>
        <v>12.75</v>
      </c>
      <c r="M1235" s="4">
        <f t="shared" si="59"/>
        <v>2.1250000000000002E-2</v>
      </c>
      <c r="N1235">
        <v>600</v>
      </c>
      <c r="O1235">
        <v>550</v>
      </c>
      <c r="P1235" t="s">
        <v>25</v>
      </c>
      <c r="Q1235" t="s">
        <v>26</v>
      </c>
      <c r="R1235" t="str">
        <f>IF(COUNTIF(Sheet2!B:B, A1235) &gt; 0, "Yes", "No")</f>
        <v>Yes</v>
      </c>
    </row>
    <row r="1236" spans="1:18" x14ac:dyDescent="0.25">
      <c r="A1236" s="3">
        <v>45268</v>
      </c>
      <c r="B1236" t="s">
        <v>405</v>
      </c>
      <c r="C1236" t="s">
        <v>79</v>
      </c>
      <c r="D1236" t="s">
        <v>20</v>
      </c>
      <c r="E1236" t="s">
        <v>21</v>
      </c>
      <c r="F1236" t="s">
        <v>40</v>
      </c>
      <c r="G1236" t="s">
        <v>61</v>
      </c>
      <c r="H1236" t="s">
        <v>62</v>
      </c>
      <c r="I1236" s="5">
        <v>0.04</v>
      </c>
      <c r="J1236">
        <f t="shared" si="57"/>
        <v>22</v>
      </c>
      <c r="K1236">
        <v>1</v>
      </c>
      <c r="L1236">
        <f t="shared" si="58"/>
        <v>21</v>
      </c>
      <c r="M1236" s="4">
        <f t="shared" si="59"/>
        <v>3.5000000000000003E-2</v>
      </c>
      <c r="N1236">
        <v>600</v>
      </c>
      <c r="O1236">
        <v>550</v>
      </c>
      <c r="P1236" t="s">
        <v>25</v>
      </c>
      <c r="Q1236" t="s">
        <v>26</v>
      </c>
      <c r="R1236" t="str">
        <f>IF(COUNTIF(Sheet2!B:B, A1236) &gt; 0, "Yes", "No")</f>
        <v>Yes</v>
      </c>
    </row>
    <row r="1237" spans="1:18" x14ac:dyDescent="0.25">
      <c r="A1237" s="3">
        <v>45268</v>
      </c>
      <c r="B1237" t="s">
        <v>405</v>
      </c>
      <c r="C1237" t="s">
        <v>79</v>
      </c>
      <c r="D1237" t="s">
        <v>20</v>
      </c>
      <c r="E1237" t="s">
        <v>21</v>
      </c>
      <c r="F1237" t="s">
        <v>43</v>
      </c>
      <c r="G1237" t="s">
        <v>139</v>
      </c>
      <c r="H1237" t="s">
        <v>318</v>
      </c>
      <c r="I1237" s="5">
        <v>7.4999999999999997E-2</v>
      </c>
      <c r="J1237">
        <f t="shared" si="57"/>
        <v>41.25</v>
      </c>
      <c r="K1237">
        <v>2</v>
      </c>
      <c r="L1237">
        <f t="shared" si="58"/>
        <v>39.25</v>
      </c>
      <c r="M1237" s="4">
        <f t="shared" si="59"/>
        <v>6.5416666666666665E-2</v>
      </c>
      <c r="N1237">
        <v>600</v>
      </c>
      <c r="O1237">
        <v>550</v>
      </c>
      <c r="P1237" t="s">
        <v>25</v>
      </c>
      <c r="Q1237" t="s">
        <v>26</v>
      </c>
      <c r="R1237" t="str">
        <f>IF(COUNTIF(Sheet2!B:B, A1237) &gt; 0, "Yes", "No")</f>
        <v>Yes</v>
      </c>
    </row>
    <row r="1238" spans="1:18" x14ac:dyDescent="0.25">
      <c r="A1238" s="3">
        <v>45268</v>
      </c>
      <c r="B1238" t="s">
        <v>405</v>
      </c>
      <c r="C1238" t="s">
        <v>79</v>
      </c>
      <c r="D1238" t="s">
        <v>20</v>
      </c>
      <c r="E1238" t="s">
        <v>21</v>
      </c>
      <c r="F1238" t="s">
        <v>46</v>
      </c>
      <c r="G1238" t="s">
        <v>47</v>
      </c>
      <c r="H1238" t="s">
        <v>141</v>
      </c>
      <c r="I1238" s="5">
        <v>0.06</v>
      </c>
      <c r="J1238">
        <f t="shared" si="57"/>
        <v>33</v>
      </c>
      <c r="K1238">
        <v>1</v>
      </c>
      <c r="L1238">
        <f t="shared" si="58"/>
        <v>32</v>
      </c>
      <c r="M1238" s="4">
        <f t="shared" si="59"/>
        <v>5.3333333333333337E-2</v>
      </c>
      <c r="N1238">
        <v>600</v>
      </c>
      <c r="O1238">
        <v>550</v>
      </c>
      <c r="P1238" t="s">
        <v>25</v>
      </c>
      <c r="Q1238" t="s">
        <v>26</v>
      </c>
      <c r="R1238" t="str">
        <f>IF(COUNTIF(Sheet2!B:B, A1238) &gt; 0, "Yes", "No")</f>
        <v>Yes</v>
      </c>
    </row>
    <row r="1239" spans="1:18" x14ac:dyDescent="0.25">
      <c r="A1239" s="3">
        <v>45268</v>
      </c>
      <c r="B1239" t="s">
        <v>405</v>
      </c>
      <c r="C1239" t="s">
        <v>79</v>
      </c>
      <c r="D1239" t="s">
        <v>20</v>
      </c>
      <c r="E1239" t="s">
        <v>21</v>
      </c>
      <c r="F1239" t="s">
        <v>49</v>
      </c>
      <c r="G1239" t="s">
        <v>50</v>
      </c>
      <c r="H1239" t="s">
        <v>49</v>
      </c>
      <c r="I1239" s="5">
        <v>0.04</v>
      </c>
      <c r="J1239">
        <f t="shared" si="57"/>
        <v>22</v>
      </c>
      <c r="K1239">
        <v>1.5</v>
      </c>
      <c r="L1239">
        <f t="shared" si="58"/>
        <v>20.5</v>
      </c>
      <c r="M1239" s="4">
        <f t="shared" si="59"/>
        <v>3.4166666666666665E-2</v>
      </c>
      <c r="N1239">
        <v>600</v>
      </c>
      <c r="O1239">
        <v>550</v>
      </c>
      <c r="P1239" t="s">
        <v>25</v>
      </c>
      <c r="Q1239" t="s">
        <v>26</v>
      </c>
      <c r="R1239" t="str">
        <f>IF(COUNTIF(Sheet2!B:B, A1239) &gt; 0, "Yes", "No")</f>
        <v>Yes</v>
      </c>
    </row>
    <row r="1240" spans="1:18" x14ac:dyDescent="0.25">
      <c r="A1240" s="3">
        <v>45271</v>
      </c>
      <c r="B1240" t="s">
        <v>405</v>
      </c>
      <c r="C1240" t="s">
        <v>19</v>
      </c>
      <c r="D1240" t="s">
        <v>20</v>
      </c>
      <c r="E1240" t="s">
        <v>21</v>
      </c>
      <c r="F1240" t="s">
        <v>22</v>
      </c>
      <c r="G1240" t="s">
        <v>122</v>
      </c>
      <c r="H1240" t="s">
        <v>181</v>
      </c>
      <c r="I1240">
        <v>8.5000000000000006E-2</v>
      </c>
      <c r="J1240">
        <f t="shared" si="57"/>
        <v>51.000000000000007</v>
      </c>
      <c r="K1240">
        <v>0</v>
      </c>
      <c r="L1240">
        <f t="shared" si="58"/>
        <v>51.000000000000007</v>
      </c>
      <c r="M1240" s="4">
        <f t="shared" si="59"/>
        <v>7.8461538461538471E-2</v>
      </c>
      <c r="N1240">
        <v>650</v>
      </c>
      <c r="O1240">
        <v>600</v>
      </c>
      <c r="P1240" t="s">
        <v>25</v>
      </c>
      <c r="Q1240" t="s">
        <v>26</v>
      </c>
      <c r="R1240" t="str">
        <f>IF(COUNTIF(Sheet2!B:B, A1240) &gt; 0, "Yes", "No")</f>
        <v>No</v>
      </c>
    </row>
    <row r="1241" spans="1:18" x14ac:dyDescent="0.25">
      <c r="A1241" s="3">
        <v>45271</v>
      </c>
      <c r="B1241" t="s">
        <v>405</v>
      </c>
      <c r="C1241" t="s">
        <v>19</v>
      </c>
      <c r="D1241" t="s">
        <v>20</v>
      </c>
      <c r="E1241" t="s">
        <v>21</v>
      </c>
      <c r="F1241" t="s">
        <v>27</v>
      </c>
      <c r="G1241" t="s">
        <v>28</v>
      </c>
      <c r="H1241" t="s">
        <v>182</v>
      </c>
      <c r="I1241">
        <v>0.11</v>
      </c>
      <c r="J1241">
        <f t="shared" si="57"/>
        <v>66</v>
      </c>
      <c r="K1241">
        <v>1</v>
      </c>
      <c r="L1241">
        <f t="shared" si="58"/>
        <v>65</v>
      </c>
      <c r="M1241" s="4">
        <f t="shared" si="59"/>
        <v>0.1</v>
      </c>
      <c r="N1241">
        <v>650</v>
      </c>
      <c r="O1241">
        <v>600</v>
      </c>
      <c r="P1241" t="s">
        <v>25</v>
      </c>
      <c r="Q1241" t="s">
        <v>26</v>
      </c>
      <c r="R1241" t="str">
        <f>IF(COUNTIF(Sheet2!B:B, A1241) &gt; 0, "Yes", "No")</f>
        <v>No</v>
      </c>
    </row>
    <row r="1242" spans="1:18" x14ac:dyDescent="0.25">
      <c r="A1242" s="3">
        <v>45271</v>
      </c>
      <c r="B1242" t="s">
        <v>405</v>
      </c>
      <c r="C1242" t="s">
        <v>19</v>
      </c>
      <c r="D1242" t="s">
        <v>20</v>
      </c>
      <c r="E1242" t="s">
        <v>21</v>
      </c>
      <c r="F1242" t="s">
        <v>30</v>
      </c>
      <c r="G1242" t="s">
        <v>55</v>
      </c>
      <c r="H1242" t="s">
        <v>270</v>
      </c>
      <c r="I1242">
        <v>0.09</v>
      </c>
      <c r="J1242">
        <f t="shared" si="57"/>
        <v>54</v>
      </c>
      <c r="K1242">
        <v>0</v>
      </c>
      <c r="L1242">
        <f t="shared" si="58"/>
        <v>54</v>
      </c>
      <c r="M1242" s="4">
        <f t="shared" si="59"/>
        <v>8.3076923076923076E-2</v>
      </c>
      <c r="N1242">
        <v>650</v>
      </c>
      <c r="O1242">
        <v>600</v>
      </c>
      <c r="P1242" t="s">
        <v>25</v>
      </c>
      <c r="Q1242" t="s">
        <v>26</v>
      </c>
      <c r="R1242" t="str">
        <f>IF(COUNTIF(Sheet2!B:B, A1242) &gt; 0, "Yes", "No")</f>
        <v>No</v>
      </c>
    </row>
    <row r="1243" spans="1:18" x14ac:dyDescent="0.25">
      <c r="A1243" s="3">
        <v>45271</v>
      </c>
      <c r="B1243" t="s">
        <v>405</v>
      </c>
      <c r="C1243" t="s">
        <v>19</v>
      </c>
      <c r="D1243" t="s">
        <v>33</v>
      </c>
      <c r="E1243" t="s">
        <v>21</v>
      </c>
      <c r="F1243" t="s">
        <v>34</v>
      </c>
      <c r="G1243" t="s">
        <v>35</v>
      </c>
      <c r="H1243" t="s">
        <v>416</v>
      </c>
      <c r="I1243">
        <v>0.15</v>
      </c>
      <c r="J1243">
        <f t="shared" si="57"/>
        <v>63</v>
      </c>
      <c r="K1243">
        <v>1</v>
      </c>
      <c r="L1243">
        <f t="shared" si="58"/>
        <v>62</v>
      </c>
      <c r="M1243" s="4">
        <f t="shared" si="59"/>
        <v>0.13626373626373625</v>
      </c>
      <c r="N1243">
        <v>455</v>
      </c>
      <c r="O1243">
        <v>420</v>
      </c>
      <c r="P1243" t="s">
        <v>25</v>
      </c>
      <c r="Q1243" t="s">
        <v>26</v>
      </c>
      <c r="R1243" t="str">
        <f>IF(COUNTIF(Sheet2!B:B, A1243) &gt; 0, "Yes", "No")</f>
        <v>No</v>
      </c>
    </row>
    <row r="1244" spans="1:18" x14ac:dyDescent="0.25">
      <c r="A1244" s="3">
        <v>45271</v>
      </c>
      <c r="B1244" t="s">
        <v>405</v>
      </c>
      <c r="C1244" t="s">
        <v>19</v>
      </c>
      <c r="D1244" t="s">
        <v>20</v>
      </c>
      <c r="E1244" t="s">
        <v>21</v>
      </c>
      <c r="F1244" t="s">
        <v>37</v>
      </c>
      <c r="G1244" t="s">
        <v>38</v>
      </c>
      <c r="H1244" t="s">
        <v>39</v>
      </c>
      <c r="I1244">
        <v>0.03</v>
      </c>
      <c r="J1244">
        <f t="shared" si="57"/>
        <v>18</v>
      </c>
      <c r="K1244">
        <v>0.5</v>
      </c>
      <c r="L1244">
        <f t="shared" si="58"/>
        <v>17.5</v>
      </c>
      <c r="M1244" s="4">
        <f t="shared" si="59"/>
        <v>2.6923076923076925E-2</v>
      </c>
      <c r="N1244">
        <v>650</v>
      </c>
      <c r="O1244">
        <v>600</v>
      </c>
      <c r="P1244" t="s">
        <v>25</v>
      </c>
      <c r="Q1244" t="s">
        <v>26</v>
      </c>
      <c r="R1244" t="str">
        <f>IF(COUNTIF(Sheet2!B:B, A1244) &gt; 0, "Yes", "No")</f>
        <v>No</v>
      </c>
    </row>
    <row r="1245" spans="1:18" x14ac:dyDescent="0.25">
      <c r="A1245" s="3">
        <v>45271</v>
      </c>
      <c r="B1245" t="s">
        <v>405</v>
      </c>
      <c r="C1245" t="s">
        <v>19</v>
      </c>
      <c r="D1245" t="s">
        <v>20</v>
      </c>
      <c r="E1245" t="s">
        <v>21</v>
      </c>
      <c r="F1245" t="s">
        <v>40</v>
      </c>
      <c r="G1245" t="s">
        <v>61</v>
      </c>
      <c r="H1245" t="s">
        <v>62</v>
      </c>
      <c r="I1245">
        <v>4.4999999999999998E-2</v>
      </c>
      <c r="J1245">
        <f t="shared" si="57"/>
        <v>27</v>
      </c>
      <c r="K1245">
        <v>1</v>
      </c>
      <c r="L1245">
        <f t="shared" si="58"/>
        <v>26</v>
      </c>
      <c r="M1245" s="4">
        <f t="shared" si="59"/>
        <v>0.04</v>
      </c>
      <c r="N1245">
        <v>650</v>
      </c>
      <c r="O1245">
        <v>600</v>
      </c>
      <c r="P1245" t="s">
        <v>25</v>
      </c>
      <c r="Q1245" t="s">
        <v>26</v>
      </c>
      <c r="R1245" t="str">
        <f>IF(COUNTIF(Sheet2!B:B, A1245) &gt; 0, "Yes", "No")</f>
        <v>No</v>
      </c>
    </row>
    <row r="1246" spans="1:18" x14ac:dyDescent="0.25">
      <c r="A1246" s="3">
        <v>45271</v>
      </c>
      <c r="B1246" t="s">
        <v>405</v>
      </c>
      <c r="C1246" t="s">
        <v>19</v>
      </c>
      <c r="D1246" t="s">
        <v>20</v>
      </c>
      <c r="E1246" t="s">
        <v>21</v>
      </c>
      <c r="F1246" t="s">
        <v>43</v>
      </c>
      <c r="G1246" t="s">
        <v>139</v>
      </c>
      <c r="H1246" t="s">
        <v>417</v>
      </c>
      <c r="I1246">
        <v>0.11</v>
      </c>
      <c r="J1246">
        <f t="shared" si="57"/>
        <v>66</v>
      </c>
      <c r="K1246">
        <v>1.5</v>
      </c>
      <c r="L1246">
        <f t="shared" si="58"/>
        <v>64.5</v>
      </c>
      <c r="M1246" s="4">
        <f t="shared" si="59"/>
        <v>9.9230769230769234E-2</v>
      </c>
      <c r="N1246">
        <v>650</v>
      </c>
      <c r="O1246">
        <v>600</v>
      </c>
      <c r="P1246" t="s">
        <v>25</v>
      </c>
      <c r="Q1246" t="s">
        <v>26</v>
      </c>
      <c r="R1246" t="str">
        <f>IF(COUNTIF(Sheet2!B:B, A1246) &gt; 0, "Yes", "No")</f>
        <v>No</v>
      </c>
    </row>
    <row r="1247" spans="1:18" x14ac:dyDescent="0.25">
      <c r="A1247" s="3">
        <v>45271</v>
      </c>
      <c r="B1247" t="s">
        <v>405</v>
      </c>
      <c r="C1247" t="s">
        <v>19</v>
      </c>
      <c r="D1247" t="s">
        <v>20</v>
      </c>
      <c r="E1247" t="s">
        <v>21</v>
      </c>
      <c r="F1247" t="s">
        <v>46</v>
      </c>
      <c r="G1247" t="s">
        <v>412</v>
      </c>
      <c r="H1247" t="s">
        <v>418</v>
      </c>
      <c r="I1247">
        <v>8.5000000000000006E-2</v>
      </c>
      <c r="J1247">
        <f t="shared" si="57"/>
        <v>51.000000000000007</v>
      </c>
      <c r="K1247">
        <v>0</v>
      </c>
      <c r="L1247">
        <f t="shared" si="58"/>
        <v>51.000000000000007</v>
      </c>
      <c r="M1247" s="4">
        <f t="shared" si="59"/>
        <v>7.8461538461538471E-2</v>
      </c>
      <c r="N1247">
        <v>650</v>
      </c>
      <c r="O1247">
        <v>600</v>
      </c>
      <c r="P1247" t="s">
        <v>25</v>
      </c>
      <c r="Q1247" t="s">
        <v>26</v>
      </c>
      <c r="R1247" t="str">
        <f>IF(COUNTIF(Sheet2!B:B, A1247) &gt; 0, "Yes", "No")</f>
        <v>No</v>
      </c>
    </row>
    <row r="1248" spans="1:18" x14ac:dyDescent="0.25">
      <c r="A1248" s="3">
        <v>45271</v>
      </c>
      <c r="B1248" t="s">
        <v>405</v>
      </c>
      <c r="C1248" t="s">
        <v>19</v>
      </c>
      <c r="D1248" t="s">
        <v>20</v>
      </c>
      <c r="E1248" t="s">
        <v>21</v>
      </c>
      <c r="F1248" t="s">
        <v>49</v>
      </c>
      <c r="G1248" t="s">
        <v>50</v>
      </c>
      <c r="H1248" t="s">
        <v>49</v>
      </c>
      <c r="I1248">
        <v>0.09</v>
      </c>
      <c r="J1248">
        <f t="shared" si="57"/>
        <v>54</v>
      </c>
      <c r="K1248">
        <v>0</v>
      </c>
      <c r="L1248">
        <f t="shared" si="58"/>
        <v>54</v>
      </c>
      <c r="M1248" s="4">
        <f t="shared" si="59"/>
        <v>8.3076923076923076E-2</v>
      </c>
      <c r="N1248">
        <v>650</v>
      </c>
      <c r="O1248">
        <v>600</v>
      </c>
      <c r="P1248" t="s">
        <v>25</v>
      </c>
      <c r="Q1248" t="s">
        <v>26</v>
      </c>
      <c r="R1248" t="str">
        <f>IF(COUNTIF(Sheet2!B:B, A1248) &gt; 0, "Yes", "No")</f>
        <v>No</v>
      </c>
    </row>
    <row r="1249" spans="1:18" x14ac:dyDescent="0.25">
      <c r="A1249" s="3">
        <v>45272</v>
      </c>
      <c r="B1249" t="s">
        <v>405</v>
      </c>
      <c r="C1249" t="s">
        <v>105</v>
      </c>
      <c r="D1249" t="s">
        <v>20</v>
      </c>
      <c r="E1249" t="s">
        <v>67</v>
      </c>
      <c r="F1249" t="s">
        <v>22</v>
      </c>
      <c r="G1249" t="s">
        <v>23</v>
      </c>
      <c r="H1249" t="s">
        <v>24</v>
      </c>
      <c r="I1249">
        <v>8.5000000000000006E-2</v>
      </c>
      <c r="J1249">
        <f t="shared" si="57"/>
        <v>55.250000000000007</v>
      </c>
      <c r="K1249">
        <v>0</v>
      </c>
      <c r="L1249">
        <f t="shared" si="58"/>
        <v>55.250000000000007</v>
      </c>
      <c r="M1249" s="4">
        <f t="shared" si="59"/>
        <v>7.8928571428571445E-2</v>
      </c>
      <c r="N1249">
        <v>700</v>
      </c>
      <c r="O1249">
        <v>650</v>
      </c>
      <c r="P1249" t="s">
        <v>25</v>
      </c>
      <c r="Q1249" t="s">
        <v>26</v>
      </c>
      <c r="R1249" t="str">
        <f>IF(COUNTIF(Sheet2!B:B, A1249) &gt; 0, "Yes", "No")</f>
        <v>No</v>
      </c>
    </row>
    <row r="1250" spans="1:18" x14ac:dyDescent="0.25">
      <c r="A1250" s="3">
        <v>45272</v>
      </c>
      <c r="B1250" t="s">
        <v>405</v>
      </c>
      <c r="C1250" t="s">
        <v>105</v>
      </c>
      <c r="D1250" t="s">
        <v>20</v>
      </c>
      <c r="E1250" t="s">
        <v>67</v>
      </c>
      <c r="F1250" t="s">
        <v>27</v>
      </c>
      <c r="G1250" t="s">
        <v>304</v>
      </c>
      <c r="H1250" t="s">
        <v>419</v>
      </c>
      <c r="I1250">
        <v>0.12</v>
      </c>
      <c r="J1250">
        <f t="shared" si="57"/>
        <v>78</v>
      </c>
      <c r="K1250">
        <v>0</v>
      </c>
      <c r="L1250">
        <f t="shared" si="58"/>
        <v>78</v>
      </c>
      <c r="M1250" s="4">
        <f t="shared" si="59"/>
        <v>0.11142857142857143</v>
      </c>
      <c r="N1250">
        <v>700</v>
      </c>
      <c r="O1250">
        <v>650</v>
      </c>
      <c r="P1250" t="s">
        <v>25</v>
      </c>
      <c r="Q1250" t="s">
        <v>26</v>
      </c>
      <c r="R1250" t="str">
        <f>IF(COUNTIF(Sheet2!B:B, A1250) &gt; 0, "Yes", "No")</f>
        <v>No</v>
      </c>
    </row>
    <row r="1251" spans="1:18" x14ac:dyDescent="0.25">
      <c r="A1251" s="3">
        <v>45272</v>
      </c>
      <c r="B1251" t="s">
        <v>405</v>
      </c>
      <c r="C1251" t="s">
        <v>105</v>
      </c>
      <c r="D1251" t="s">
        <v>20</v>
      </c>
      <c r="E1251" t="s">
        <v>67</v>
      </c>
      <c r="F1251" t="s">
        <v>30</v>
      </c>
      <c r="G1251" t="s">
        <v>31</v>
      </c>
      <c r="H1251" t="s">
        <v>70</v>
      </c>
      <c r="I1251">
        <v>0.09</v>
      </c>
      <c r="J1251">
        <f t="shared" si="57"/>
        <v>58.5</v>
      </c>
      <c r="K1251">
        <v>0</v>
      </c>
      <c r="L1251">
        <f t="shared" si="58"/>
        <v>58.5</v>
      </c>
      <c r="M1251" s="4">
        <f t="shared" si="59"/>
        <v>8.3571428571428574E-2</v>
      </c>
      <c r="N1251">
        <v>700</v>
      </c>
      <c r="O1251">
        <v>650</v>
      </c>
      <c r="P1251" t="s">
        <v>25</v>
      </c>
      <c r="Q1251" t="s">
        <v>26</v>
      </c>
      <c r="R1251" t="str">
        <f>IF(COUNTIF(Sheet2!B:B, A1251) &gt; 0, "Yes", "No")</f>
        <v>No</v>
      </c>
    </row>
    <row r="1252" spans="1:18" x14ac:dyDescent="0.25">
      <c r="A1252" s="3">
        <v>45272</v>
      </c>
      <c r="B1252" t="s">
        <v>405</v>
      </c>
      <c r="C1252" t="s">
        <v>105</v>
      </c>
      <c r="D1252" t="s">
        <v>20</v>
      </c>
      <c r="E1252" t="s">
        <v>67</v>
      </c>
      <c r="F1252" t="s">
        <v>37</v>
      </c>
      <c r="G1252" t="s">
        <v>87</v>
      </c>
      <c r="H1252" t="s">
        <v>88</v>
      </c>
      <c r="I1252">
        <v>3.5000000000000003E-2</v>
      </c>
      <c r="J1252">
        <f t="shared" si="57"/>
        <v>22.750000000000004</v>
      </c>
      <c r="K1252">
        <v>0</v>
      </c>
      <c r="L1252">
        <f t="shared" si="58"/>
        <v>22.750000000000004</v>
      </c>
      <c r="M1252" s="4">
        <f t="shared" si="59"/>
        <v>3.2500000000000008E-2</v>
      </c>
      <c r="N1252">
        <v>700</v>
      </c>
      <c r="O1252">
        <v>650</v>
      </c>
      <c r="P1252" t="s">
        <v>25</v>
      </c>
      <c r="Q1252" t="s">
        <v>26</v>
      </c>
      <c r="R1252" t="str">
        <f>IF(COUNTIF(Sheet2!B:B, A1252) &gt; 0, "Yes", "No")</f>
        <v>No</v>
      </c>
    </row>
    <row r="1253" spans="1:18" x14ac:dyDescent="0.25">
      <c r="A1253" s="3">
        <v>45272</v>
      </c>
      <c r="B1253" t="s">
        <v>405</v>
      </c>
      <c r="C1253" t="s">
        <v>105</v>
      </c>
      <c r="D1253" t="s">
        <v>20</v>
      </c>
      <c r="E1253" t="s">
        <v>67</v>
      </c>
      <c r="F1253" t="s">
        <v>40</v>
      </c>
      <c r="G1253" t="s">
        <v>41</v>
      </c>
      <c r="H1253" t="s">
        <v>42</v>
      </c>
      <c r="I1253">
        <v>0.05</v>
      </c>
      <c r="J1253">
        <f t="shared" si="57"/>
        <v>32.5</v>
      </c>
      <c r="K1253">
        <v>0</v>
      </c>
      <c r="L1253">
        <f t="shared" si="58"/>
        <v>32.5</v>
      </c>
      <c r="M1253" s="4">
        <f t="shared" si="59"/>
        <v>4.642857142857143E-2</v>
      </c>
      <c r="N1253">
        <v>700</v>
      </c>
      <c r="O1253">
        <v>650</v>
      </c>
      <c r="P1253" t="s">
        <v>25</v>
      </c>
      <c r="Q1253" t="s">
        <v>26</v>
      </c>
      <c r="R1253" t="str">
        <f>IF(COUNTIF(Sheet2!B:B, A1253) &gt; 0, "Yes", "No")</f>
        <v>No</v>
      </c>
    </row>
    <row r="1254" spans="1:18" x14ac:dyDescent="0.25">
      <c r="A1254" s="3">
        <v>45272</v>
      </c>
      <c r="B1254" t="s">
        <v>405</v>
      </c>
      <c r="C1254" t="s">
        <v>105</v>
      </c>
      <c r="D1254" t="s">
        <v>20</v>
      </c>
      <c r="E1254" t="s">
        <v>67</v>
      </c>
      <c r="F1254" t="s">
        <v>43</v>
      </c>
      <c r="G1254" t="s">
        <v>44</v>
      </c>
      <c r="H1254" t="s">
        <v>293</v>
      </c>
      <c r="I1254">
        <v>0.11</v>
      </c>
      <c r="J1254">
        <f t="shared" si="57"/>
        <v>71.5</v>
      </c>
      <c r="K1254">
        <v>0</v>
      </c>
      <c r="L1254">
        <f t="shared" si="58"/>
        <v>71.5</v>
      </c>
      <c r="M1254" s="4">
        <f t="shared" si="59"/>
        <v>0.10214285714285715</v>
      </c>
      <c r="N1254">
        <v>700</v>
      </c>
      <c r="O1254">
        <v>650</v>
      </c>
      <c r="P1254" t="s">
        <v>25</v>
      </c>
      <c r="Q1254" t="s">
        <v>26</v>
      </c>
      <c r="R1254" t="str">
        <f>IF(COUNTIF(Sheet2!B:B, A1254) &gt; 0, "Yes", "No")</f>
        <v>No</v>
      </c>
    </row>
    <row r="1255" spans="1:18" x14ac:dyDescent="0.25">
      <c r="A1255" s="3">
        <v>45272</v>
      </c>
      <c r="B1255" t="s">
        <v>405</v>
      </c>
      <c r="C1255" t="s">
        <v>105</v>
      </c>
      <c r="D1255" t="s">
        <v>20</v>
      </c>
      <c r="E1255" t="s">
        <v>67</v>
      </c>
      <c r="F1255" t="s">
        <v>46</v>
      </c>
      <c r="G1255" t="s">
        <v>103</v>
      </c>
      <c r="H1255" t="s">
        <v>420</v>
      </c>
      <c r="I1255">
        <v>0.09</v>
      </c>
      <c r="J1255">
        <f t="shared" si="57"/>
        <v>58.5</v>
      </c>
      <c r="K1255">
        <v>0</v>
      </c>
      <c r="L1255">
        <f t="shared" si="58"/>
        <v>58.5</v>
      </c>
      <c r="M1255" s="4">
        <f t="shared" si="59"/>
        <v>8.3571428571428574E-2</v>
      </c>
      <c r="N1255">
        <v>700</v>
      </c>
      <c r="O1255">
        <v>650</v>
      </c>
      <c r="P1255" t="s">
        <v>25</v>
      </c>
      <c r="Q1255" t="s">
        <v>26</v>
      </c>
      <c r="R1255" t="str">
        <f>IF(COUNTIF(Sheet2!B:B, A1255) &gt; 0, "Yes", "No")</f>
        <v>No</v>
      </c>
    </row>
    <row r="1256" spans="1:18" x14ac:dyDescent="0.25">
      <c r="A1256" s="3">
        <v>45272</v>
      </c>
      <c r="B1256" t="s">
        <v>405</v>
      </c>
      <c r="C1256" t="s">
        <v>105</v>
      </c>
      <c r="D1256" t="s">
        <v>20</v>
      </c>
      <c r="E1256" t="s">
        <v>67</v>
      </c>
      <c r="F1256" t="s">
        <v>49</v>
      </c>
      <c r="G1256" t="s">
        <v>50</v>
      </c>
      <c r="H1256" t="s">
        <v>49</v>
      </c>
      <c r="I1256">
        <v>0.09</v>
      </c>
      <c r="J1256">
        <f t="shared" si="57"/>
        <v>58.5</v>
      </c>
      <c r="K1256">
        <v>0</v>
      </c>
      <c r="L1256">
        <f t="shared" si="58"/>
        <v>58.5</v>
      </c>
      <c r="M1256" s="4">
        <f t="shared" si="59"/>
        <v>8.3571428571428574E-2</v>
      </c>
      <c r="N1256">
        <v>700</v>
      </c>
      <c r="O1256">
        <v>650</v>
      </c>
      <c r="P1256" t="s">
        <v>25</v>
      </c>
      <c r="Q1256" t="s">
        <v>26</v>
      </c>
      <c r="R1256" t="str">
        <f>IF(COUNTIF(Sheet2!B:B, A1256) &gt; 0, "Yes", "No")</f>
        <v>No</v>
      </c>
    </row>
    <row r="1257" spans="1:18" x14ac:dyDescent="0.25">
      <c r="A1257" s="3">
        <v>45273</v>
      </c>
      <c r="B1257" t="s">
        <v>405</v>
      </c>
      <c r="C1257" t="s">
        <v>51</v>
      </c>
      <c r="D1257" t="s">
        <v>20</v>
      </c>
      <c r="E1257" t="s">
        <v>21</v>
      </c>
      <c r="F1257" t="s">
        <v>22</v>
      </c>
      <c r="G1257" t="s">
        <v>94</v>
      </c>
      <c r="H1257" t="s">
        <v>95</v>
      </c>
      <c r="I1257">
        <v>8.5000000000000006E-2</v>
      </c>
      <c r="J1257">
        <f t="shared" si="57"/>
        <v>66.300000000000011</v>
      </c>
      <c r="K1257">
        <v>4</v>
      </c>
      <c r="L1257">
        <f t="shared" si="58"/>
        <v>62.300000000000011</v>
      </c>
      <c r="M1257" s="4">
        <f t="shared" si="59"/>
        <v>7.3294117647058843E-2</v>
      </c>
      <c r="N1257">
        <v>850</v>
      </c>
      <c r="O1257">
        <v>780</v>
      </c>
      <c r="P1257" t="s">
        <v>25</v>
      </c>
      <c r="Q1257" t="s">
        <v>26</v>
      </c>
      <c r="R1257" t="str">
        <f>IF(COUNTIF(Sheet2!B:B, A1257) &gt; 0, "Yes", "No")</f>
        <v>No</v>
      </c>
    </row>
    <row r="1258" spans="1:18" x14ac:dyDescent="0.25">
      <c r="A1258" s="3">
        <v>45273</v>
      </c>
      <c r="B1258" t="s">
        <v>405</v>
      </c>
      <c r="C1258" t="s">
        <v>51</v>
      </c>
      <c r="D1258" t="s">
        <v>20</v>
      </c>
      <c r="E1258" t="s">
        <v>21</v>
      </c>
      <c r="F1258" t="s">
        <v>27</v>
      </c>
      <c r="G1258" t="s">
        <v>28</v>
      </c>
      <c r="H1258" t="s">
        <v>124</v>
      </c>
      <c r="I1258">
        <v>0.11</v>
      </c>
      <c r="J1258">
        <f t="shared" si="57"/>
        <v>85.8</v>
      </c>
      <c r="K1258">
        <v>7</v>
      </c>
      <c r="L1258">
        <f t="shared" si="58"/>
        <v>78.8</v>
      </c>
      <c r="M1258" s="4">
        <f t="shared" si="59"/>
        <v>9.270588235294118E-2</v>
      </c>
      <c r="N1258">
        <v>850</v>
      </c>
      <c r="O1258">
        <v>780</v>
      </c>
      <c r="P1258" t="s">
        <v>25</v>
      </c>
      <c r="Q1258" t="s">
        <v>26</v>
      </c>
      <c r="R1258" t="str">
        <f>IF(COUNTIF(Sheet2!B:B, A1258) &gt; 0, "Yes", "No")</f>
        <v>No</v>
      </c>
    </row>
    <row r="1259" spans="1:18" x14ac:dyDescent="0.25">
      <c r="A1259" s="3">
        <v>45273</v>
      </c>
      <c r="B1259" t="s">
        <v>405</v>
      </c>
      <c r="C1259" t="s">
        <v>51</v>
      </c>
      <c r="D1259" t="s">
        <v>20</v>
      </c>
      <c r="E1259" t="s">
        <v>21</v>
      </c>
      <c r="F1259" t="s">
        <v>30</v>
      </c>
      <c r="G1259" t="s">
        <v>55</v>
      </c>
      <c r="H1259" t="s">
        <v>125</v>
      </c>
      <c r="I1259">
        <v>0.09</v>
      </c>
      <c r="J1259">
        <f t="shared" si="57"/>
        <v>70.2</v>
      </c>
      <c r="K1259">
        <v>2</v>
      </c>
      <c r="L1259">
        <f t="shared" si="58"/>
        <v>68.2</v>
      </c>
      <c r="M1259" s="4">
        <f t="shared" si="59"/>
        <v>8.0235294117647057E-2</v>
      </c>
      <c r="N1259">
        <v>850</v>
      </c>
      <c r="O1259">
        <v>780</v>
      </c>
      <c r="P1259" t="s">
        <v>25</v>
      </c>
      <c r="Q1259" t="s">
        <v>26</v>
      </c>
      <c r="R1259" t="str">
        <f>IF(COUNTIF(Sheet2!B:B, A1259) &gt; 0, "Yes", "No")</f>
        <v>No</v>
      </c>
    </row>
    <row r="1260" spans="1:18" x14ac:dyDescent="0.25">
      <c r="A1260" s="3">
        <v>45273</v>
      </c>
      <c r="B1260" t="s">
        <v>405</v>
      </c>
      <c r="C1260" t="s">
        <v>51</v>
      </c>
      <c r="D1260" t="s">
        <v>33</v>
      </c>
      <c r="E1260" t="s">
        <v>21</v>
      </c>
      <c r="F1260" t="s">
        <v>34</v>
      </c>
      <c r="G1260" t="s">
        <v>57</v>
      </c>
      <c r="H1260" t="s">
        <v>192</v>
      </c>
      <c r="I1260">
        <v>0.15</v>
      </c>
      <c r="J1260">
        <f t="shared" si="57"/>
        <v>81.899999999999991</v>
      </c>
      <c r="K1260">
        <v>1</v>
      </c>
      <c r="L1260">
        <f t="shared" si="58"/>
        <v>80.899999999999991</v>
      </c>
      <c r="M1260" s="4">
        <f t="shared" si="59"/>
        <v>0.13596638655462184</v>
      </c>
      <c r="N1260">
        <v>595</v>
      </c>
      <c r="O1260">
        <v>546</v>
      </c>
      <c r="P1260" t="s">
        <v>25</v>
      </c>
      <c r="Q1260" t="s">
        <v>26</v>
      </c>
      <c r="R1260" t="str">
        <f>IF(COUNTIF(Sheet2!B:B, A1260) &gt; 0, "Yes", "No")</f>
        <v>No</v>
      </c>
    </row>
    <row r="1261" spans="1:18" x14ac:dyDescent="0.25">
      <c r="A1261" s="3">
        <v>45273</v>
      </c>
      <c r="B1261" t="s">
        <v>405</v>
      </c>
      <c r="C1261" t="s">
        <v>51</v>
      </c>
      <c r="D1261" t="s">
        <v>20</v>
      </c>
      <c r="E1261" t="s">
        <v>21</v>
      </c>
      <c r="F1261" t="s">
        <v>37</v>
      </c>
      <c r="G1261" t="s">
        <v>117</v>
      </c>
      <c r="H1261" t="s">
        <v>421</v>
      </c>
      <c r="I1261">
        <v>0.03</v>
      </c>
      <c r="J1261">
        <f t="shared" si="57"/>
        <v>23.4</v>
      </c>
      <c r="K1261">
        <v>2</v>
      </c>
      <c r="L1261">
        <f t="shared" si="58"/>
        <v>21.4</v>
      </c>
      <c r="M1261" s="4">
        <f t="shared" si="59"/>
        <v>2.5176470588235293E-2</v>
      </c>
      <c r="N1261">
        <v>850</v>
      </c>
      <c r="O1261">
        <v>780</v>
      </c>
      <c r="P1261" t="s">
        <v>25</v>
      </c>
      <c r="Q1261" t="s">
        <v>26</v>
      </c>
      <c r="R1261" t="str">
        <f>IF(COUNTIF(Sheet2!B:B, A1261) &gt; 0, "Yes", "No")</f>
        <v>No</v>
      </c>
    </row>
    <row r="1262" spans="1:18" x14ac:dyDescent="0.25">
      <c r="A1262" s="3">
        <v>45273</v>
      </c>
      <c r="B1262" t="s">
        <v>405</v>
      </c>
      <c r="C1262" t="s">
        <v>51</v>
      </c>
      <c r="D1262" t="s">
        <v>20</v>
      </c>
      <c r="E1262" t="s">
        <v>21</v>
      </c>
      <c r="F1262" t="s">
        <v>40</v>
      </c>
      <c r="G1262" t="s">
        <v>164</v>
      </c>
      <c r="H1262" t="s">
        <v>193</v>
      </c>
      <c r="I1262">
        <v>4.4999999999999998E-2</v>
      </c>
      <c r="J1262">
        <f t="shared" si="57"/>
        <v>35.1</v>
      </c>
      <c r="K1262">
        <v>2</v>
      </c>
      <c r="L1262">
        <f t="shared" si="58"/>
        <v>33.1</v>
      </c>
      <c r="M1262" s="4">
        <f t="shared" si="59"/>
        <v>3.8941176470588236E-2</v>
      </c>
      <c r="N1262">
        <v>850</v>
      </c>
      <c r="O1262">
        <v>780</v>
      </c>
      <c r="P1262" t="s">
        <v>25</v>
      </c>
      <c r="Q1262" t="s">
        <v>26</v>
      </c>
      <c r="R1262" t="str">
        <f>IF(COUNTIF(Sheet2!B:B, A1262) &gt; 0, "Yes", "No")</f>
        <v>No</v>
      </c>
    </row>
    <row r="1263" spans="1:18" x14ac:dyDescent="0.25">
      <c r="A1263" s="3">
        <v>45273</v>
      </c>
      <c r="B1263" t="s">
        <v>405</v>
      </c>
      <c r="C1263" t="s">
        <v>51</v>
      </c>
      <c r="D1263" t="s">
        <v>20</v>
      </c>
      <c r="E1263" t="s">
        <v>21</v>
      </c>
      <c r="F1263" t="s">
        <v>43</v>
      </c>
      <c r="G1263" t="s">
        <v>111</v>
      </c>
      <c r="H1263" t="s">
        <v>267</v>
      </c>
      <c r="I1263">
        <v>0.11</v>
      </c>
      <c r="J1263">
        <f t="shared" si="57"/>
        <v>85.8</v>
      </c>
      <c r="K1263">
        <v>1</v>
      </c>
      <c r="L1263">
        <f t="shared" si="58"/>
        <v>84.8</v>
      </c>
      <c r="M1263" s="4">
        <f t="shared" si="59"/>
        <v>9.9764705882352936E-2</v>
      </c>
      <c r="N1263">
        <v>850</v>
      </c>
      <c r="O1263">
        <v>780</v>
      </c>
      <c r="P1263" t="s">
        <v>25</v>
      </c>
      <c r="Q1263" t="s">
        <v>26</v>
      </c>
      <c r="R1263" t="str">
        <f>IF(COUNTIF(Sheet2!B:B, A1263) &gt; 0, "Yes", "No")</f>
        <v>No</v>
      </c>
    </row>
    <row r="1264" spans="1:18" x14ac:dyDescent="0.25">
      <c r="A1264" s="3">
        <v>45273</v>
      </c>
      <c r="B1264" t="s">
        <v>405</v>
      </c>
      <c r="C1264" t="s">
        <v>51</v>
      </c>
      <c r="D1264" t="s">
        <v>20</v>
      </c>
      <c r="E1264" t="s">
        <v>21</v>
      </c>
      <c r="F1264" t="s">
        <v>46</v>
      </c>
      <c r="G1264" t="s">
        <v>92</v>
      </c>
      <c r="H1264" t="s">
        <v>422</v>
      </c>
      <c r="I1264">
        <v>8.5000000000000006E-2</v>
      </c>
      <c r="J1264">
        <f t="shared" si="57"/>
        <v>66.300000000000011</v>
      </c>
      <c r="K1264">
        <v>2</v>
      </c>
      <c r="L1264">
        <f t="shared" si="58"/>
        <v>64.300000000000011</v>
      </c>
      <c r="M1264" s="4">
        <f t="shared" si="59"/>
        <v>7.5647058823529428E-2</v>
      </c>
      <c r="N1264">
        <v>850</v>
      </c>
      <c r="O1264">
        <v>780</v>
      </c>
      <c r="P1264" t="s">
        <v>25</v>
      </c>
      <c r="Q1264" t="s">
        <v>26</v>
      </c>
      <c r="R1264" t="str">
        <f>IF(COUNTIF(Sheet2!B:B, A1264) &gt; 0, "Yes", "No")</f>
        <v>No</v>
      </c>
    </row>
    <row r="1265" spans="1:18" x14ac:dyDescent="0.25">
      <c r="A1265" s="3">
        <v>45273</v>
      </c>
      <c r="B1265" t="s">
        <v>405</v>
      </c>
      <c r="C1265" t="s">
        <v>51</v>
      </c>
      <c r="D1265" t="s">
        <v>20</v>
      </c>
      <c r="E1265" t="s">
        <v>21</v>
      </c>
      <c r="F1265" t="s">
        <v>49</v>
      </c>
      <c r="G1265" t="s">
        <v>50</v>
      </c>
      <c r="H1265" t="s">
        <v>49</v>
      </c>
      <c r="I1265">
        <v>0.09</v>
      </c>
      <c r="J1265">
        <f t="shared" si="57"/>
        <v>70.2</v>
      </c>
      <c r="K1265">
        <v>3</v>
      </c>
      <c r="L1265">
        <f t="shared" si="58"/>
        <v>67.2</v>
      </c>
      <c r="M1265" s="4">
        <f t="shared" si="59"/>
        <v>7.9058823529411765E-2</v>
      </c>
      <c r="N1265">
        <v>850</v>
      </c>
      <c r="O1265">
        <v>780</v>
      </c>
      <c r="P1265" t="s">
        <v>25</v>
      </c>
      <c r="Q1265" t="s">
        <v>26</v>
      </c>
      <c r="R1265" t="str">
        <f>IF(COUNTIF(Sheet2!B:B, A1265) &gt; 0, "Yes", "No")</f>
        <v>No</v>
      </c>
    </row>
    <row r="1266" spans="1:18" x14ac:dyDescent="0.25">
      <c r="A1266" s="3">
        <v>45274</v>
      </c>
      <c r="B1266" t="s">
        <v>405</v>
      </c>
      <c r="C1266" t="s">
        <v>66</v>
      </c>
      <c r="D1266" t="s">
        <v>20</v>
      </c>
      <c r="E1266" t="s">
        <v>67</v>
      </c>
      <c r="F1266" t="s">
        <v>22</v>
      </c>
      <c r="G1266" t="s">
        <v>94</v>
      </c>
      <c r="H1266" t="s">
        <v>95</v>
      </c>
      <c r="I1266">
        <v>8.5000000000000006E-2</v>
      </c>
      <c r="J1266">
        <f t="shared" si="57"/>
        <v>57.800000000000004</v>
      </c>
      <c r="K1266">
        <v>4</v>
      </c>
      <c r="L1266">
        <f t="shared" si="58"/>
        <v>53.800000000000004</v>
      </c>
      <c r="M1266" s="4">
        <f t="shared" si="59"/>
        <v>7.1733333333333343E-2</v>
      </c>
      <c r="N1266">
        <v>750</v>
      </c>
      <c r="O1266">
        <v>680</v>
      </c>
      <c r="P1266" t="s">
        <v>25</v>
      </c>
      <c r="Q1266" t="s">
        <v>26</v>
      </c>
      <c r="R1266" t="str">
        <f>IF(COUNTIF(Sheet2!B:B, A1266) &gt; 0, "Yes", "No")</f>
        <v>No</v>
      </c>
    </row>
    <row r="1267" spans="1:18" x14ac:dyDescent="0.25">
      <c r="A1267" s="3">
        <v>45274</v>
      </c>
      <c r="B1267" t="s">
        <v>405</v>
      </c>
      <c r="C1267" t="s">
        <v>66</v>
      </c>
      <c r="D1267" t="s">
        <v>20</v>
      </c>
      <c r="E1267" t="s">
        <v>67</v>
      </c>
      <c r="F1267" t="s">
        <v>27</v>
      </c>
      <c r="G1267" t="s">
        <v>28</v>
      </c>
      <c r="H1267" t="s">
        <v>124</v>
      </c>
      <c r="I1267">
        <v>0.11</v>
      </c>
      <c r="J1267">
        <f t="shared" si="57"/>
        <v>74.8</v>
      </c>
      <c r="K1267">
        <v>7</v>
      </c>
      <c r="L1267">
        <f t="shared" si="58"/>
        <v>67.8</v>
      </c>
      <c r="M1267" s="4">
        <f t="shared" si="59"/>
        <v>9.0399999999999994E-2</v>
      </c>
      <c r="N1267">
        <v>750</v>
      </c>
      <c r="O1267">
        <v>680</v>
      </c>
      <c r="P1267" t="s">
        <v>25</v>
      </c>
      <c r="Q1267" t="s">
        <v>26</v>
      </c>
      <c r="R1267" t="str">
        <f>IF(COUNTIF(Sheet2!B:B, A1267) &gt; 0, "Yes", "No")</f>
        <v>No</v>
      </c>
    </row>
    <row r="1268" spans="1:18" x14ac:dyDescent="0.25">
      <c r="A1268" s="3">
        <v>45274</v>
      </c>
      <c r="B1268" t="s">
        <v>405</v>
      </c>
      <c r="C1268" t="s">
        <v>66</v>
      </c>
      <c r="D1268" t="s">
        <v>20</v>
      </c>
      <c r="E1268" t="s">
        <v>67</v>
      </c>
      <c r="F1268" t="s">
        <v>30</v>
      </c>
      <c r="G1268" t="s">
        <v>55</v>
      </c>
      <c r="H1268" t="s">
        <v>125</v>
      </c>
      <c r="I1268">
        <v>0.09</v>
      </c>
      <c r="J1268">
        <f t="shared" si="57"/>
        <v>61.199999999999996</v>
      </c>
      <c r="K1268">
        <v>2</v>
      </c>
      <c r="L1268">
        <f t="shared" si="58"/>
        <v>59.199999999999996</v>
      </c>
      <c r="M1268" s="4">
        <f t="shared" si="59"/>
        <v>7.8933333333333328E-2</v>
      </c>
      <c r="N1268">
        <v>750</v>
      </c>
      <c r="O1268">
        <v>680</v>
      </c>
      <c r="P1268" t="s">
        <v>25</v>
      </c>
      <c r="Q1268" t="s">
        <v>26</v>
      </c>
      <c r="R1268" t="str">
        <f>IF(COUNTIF(Sheet2!B:B, A1268) &gt; 0, "Yes", "No")</f>
        <v>No</v>
      </c>
    </row>
    <row r="1269" spans="1:18" x14ac:dyDescent="0.25">
      <c r="A1269" s="3">
        <v>45274</v>
      </c>
      <c r="B1269" t="s">
        <v>405</v>
      </c>
      <c r="C1269" t="s">
        <v>66</v>
      </c>
      <c r="D1269" t="s">
        <v>20</v>
      </c>
      <c r="E1269" t="s">
        <v>67</v>
      </c>
      <c r="F1269" t="s">
        <v>37</v>
      </c>
      <c r="G1269" t="s">
        <v>117</v>
      </c>
      <c r="H1269" t="s">
        <v>421</v>
      </c>
      <c r="I1269">
        <v>3.5000000000000003E-2</v>
      </c>
      <c r="J1269">
        <f t="shared" si="57"/>
        <v>23.8</v>
      </c>
      <c r="K1269">
        <v>2</v>
      </c>
      <c r="L1269">
        <f t="shared" si="58"/>
        <v>21.8</v>
      </c>
      <c r="M1269" s="4">
        <f t="shared" si="59"/>
        <v>2.9066666666666668E-2</v>
      </c>
      <c r="N1269">
        <v>750</v>
      </c>
      <c r="O1269">
        <v>680</v>
      </c>
      <c r="P1269" t="s">
        <v>25</v>
      </c>
      <c r="Q1269" t="s">
        <v>26</v>
      </c>
      <c r="R1269" t="str">
        <f>IF(COUNTIF(Sheet2!B:B, A1269) &gt; 0, "Yes", "No")</f>
        <v>No</v>
      </c>
    </row>
    <row r="1270" spans="1:18" x14ac:dyDescent="0.25">
      <c r="A1270" s="3">
        <v>45274</v>
      </c>
      <c r="B1270" t="s">
        <v>405</v>
      </c>
      <c r="C1270" t="s">
        <v>66</v>
      </c>
      <c r="D1270" t="s">
        <v>20</v>
      </c>
      <c r="E1270" t="s">
        <v>67</v>
      </c>
      <c r="F1270" t="s">
        <v>40</v>
      </c>
      <c r="G1270" t="s">
        <v>164</v>
      </c>
      <c r="H1270" t="s">
        <v>193</v>
      </c>
      <c r="I1270">
        <v>0.05</v>
      </c>
      <c r="J1270">
        <f t="shared" si="57"/>
        <v>34</v>
      </c>
      <c r="K1270">
        <v>2</v>
      </c>
      <c r="L1270">
        <f t="shared" si="58"/>
        <v>32</v>
      </c>
      <c r="M1270" s="4">
        <f t="shared" si="59"/>
        <v>4.2666666666666665E-2</v>
      </c>
      <c r="N1270">
        <v>750</v>
      </c>
      <c r="O1270">
        <v>680</v>
      </c>
      <c r="P1270" t="s">
        <v>25</v>
      </c>
      <c r="Q1270" t="s">
        <v>26</v>
      </c>
      <c r="R1270" t="str">
        <f>IF(COUNTIF(Sheet2!B:B, A1270) &gt; 0, "Yes", "No")</f>
        <v>No</v>
      </c>
    </row>
    <row r="1271" spans="1:18" x14ac:dyDescent="0.25">
      <c r="A1271" s="3">
        <v>45274</v>
      </c>
      <c r="B1271" t="s">
        <v>405</v>
      </c>
      <c r="C1271" t="s">
        <v>66</v>
      </c>
      <c r="D1271" t="s">
        <v>20</v>
      </c>
      <c r="E1271" t="s">
        <v>67</v>
      </c>
      <c r="F1271" t="s">
        <v>43</v>
      </c>
      <c r="G1271" t="s">
        <v>111</v>
      </c>
      <c r="H1271" t="s">
        <v>267</v>
      </c>
      <c r="I1271">
        <v>0.11</v>
      </c>
      <c r="J1271">
        <f t="shared" si="57"/>
        <v>74.8</v>
      </c>
      <c r="K1271">
        <v>1</v>
      </c>
      <c r="L1271">
        <f t="shared" si="58"/>
        <v>73.8</v>
      </c>
      <c r="M1271" s="4">
        <f t="shared" si="59"/>
        <v>9.8400000000000001E-2</v>
      </c>
      <c r="N1271">
        <v>750</v>
      </c>
      <c r="O1271">
        <v>680</v>
      </c>
      <c r="P1271" t="s">
        <v>25</v>
      </c>
      <c r="Q1271" t="s">
        <v>26</v>
      </c>
      <c r="R1271" t="str">
        <f>IF(COUNTIF(Sheet2!B:B, A1271) &gt; 0, "Yes", "No")</f>
        <v>No</v>
      </c>
    </row>
    <row r="1272" spans="1:18" x14ac:dyDescent="0.25">
      <c r="A1272" s="3">
        <v>45274</v>
      </c>
      <c r="B1272" t="s">
        <v>405</v>
      </c>
      <c r="C1272" t="s">
        <v>66</v>
      </c>
      <c r="D1272" t="s">
        <v>20</v>
      </c>
      <c r="E1272" t="s">
        <v>67</v>
      </c>
      <c r="F1272" t="s">
        <v>46</v>
      </c>
      <c r="G1272" t="s">
        <v>92</v>
      </c>
      <c r="H1272" t="s">
        <v>422</v>
      </c>
      <c r="I1272">
        <v>8.5000000000000006E-2</v>
      </c>
      <c r="J1272">
        <f t="shared" si="57"/>
        <v>57.800000000000004</v>
      </c>
      <c r="K1272">
        <v>2</v>
      </c>
      <c r="L1272">
        <f t="shared" si="58"/>
        <v>55.800000000000004</v>
      </c>
      <c r="M1272" s="4">
        <f t="shared" si="59"/>
        <v>7.4400000000000008E-2</v>
      </c>
      <c r="N1272">
        <v>750</v>
      </c>
      <c r="O1272">
        <v>680</v>
      </c>
      <c r="P1272" t="s">
        <v>25</v>
      </c>
      <c r="Q1272" t="s">
        <v>26</v>
      </c>
      <c r="R1272" t="str">
        <f>IF(COUNTIF(Sheet2!B:B, A1272) &gt; 0, "Yes", "No")</f>
        <v>No</v>
      </c>
    </row>
    <row r="1273" spans="1:18" x14ac:dyDescent="0.25">
      <c r="A1273" s="3">
        <v>45274</v>
      </c>
      <c r="B1273" t="s">
        <v>405</v>
      </c>
      <c r="C1273" t="s">
        <v>66</v>
      </c>
      <c r="D1273" t="s">
        <v>20</v>
      </c>
      <c r="E1273" t="s">
        <v>67</v>
      </c>
      <c r="F1273" t="s">
        <v>49</v>
      </c>
      <c r="G1273" t="s">
        <v>50</v>
      </c>
      <c r="H1273" t="s">
        <v>49</v>
      </c>
      <c r="I1273">
        <v>0.09</v>
      </c>
      <c r="J1273">
        <f t="shared" si="57"/>
        <v>61.199999999999996</v>
      </c>
      <c r="K1273">
        <v>3</v>
      </c>
      <c r="L1273">
        <f t="shared" si="58"/>
        <v>58.199999999999996</v>
      </c>
      <c r="M1273" s="4">
        <f t="shared" si="59"/>
        <v>7.7599999999999988E-2</v>
      </c>
      <c r="N1273">
        <v>750</v>
      </c>
      <c r="O1273">
        <v>680</v>
      </c>
      <c r="P1273" t="s">
        <v>25</v>
      </c>
      <c r="Q1273" t="s">
        <v>26</v>
      </c>
      <c r="R1273" t="str">
        <f>IF(COUNTIF(Sheet2!B:B, A1273) &gt; 0, "Yes", "No")</f>
        <v>No</v>
      </c>
    </row>
    <row r="1274" spans="1:18" x14ac:dyDescent="0.25">
      <c r="A1274" s="3">
        <v>45275</v>
      </c>
      <c r="B1274" t="s">
        <v>405</v>
      </c>
      <c r="C1274" t="s">
        <v>79</v>
      </c>
      <c r="D1274" t="s">
        <v>20</v>
      </c>
      <c r="E1274" t="s">
        <v>21</v>
      </c>
      <c r="F1274" t="s">
        <v>22</v>
      </c>
      <c r="G1274" t="s">
        <v>94</v>
      </c>
      <c r="H1274" t="s">
        <v>199</v>
      </c>
      <c r="I1274" s="5">
        <v>0.06</v>
      </c>
      <c r="J1274">
        <f t="shared" si="57"/>
        <v>33</v>
      </c>
      <c r="K1274">
        <v>0</v>
      </c>
      <c r="L1274">
        <f t="shared" si="58"/>
        <v>33</v>
      </c>
      <c r="M1274" s="4">
        <f t="shared" si="59"/>
        <v>5.5E-2</v>
      </c>
      <c r="N1274">
        <v>600</v>
      </c>
      <c r="O1274">
        <v>550</v>
      </c>
      <c r="P1274" t="s">
        <v>25</v>
      </c>
      <c r="Q1274" t="s">
        <v>26</v>
      </c>
      <c r="R1274" t="str">
        <f>IF(COUNTIF(Sheet2!B:B, A1274) &gt; 0, "Yes", "No")</f>
        <v>Yes</v>
      </c>
    </row>
    <row r="1275" spans="1:18" x14ac:dyDescent="0.25">
      <c r="A1275" s="3">
        <v>45275</v>
      </c>
      <c r="B1275" t="s">
        <v>405</v>
      </c>
      <c r="C1275" t="s">
        <v>79</v>
      </c>
      <c r="D1275" t="s">
        <v>20</v>
      </c>
      <c r="E1275" t="s">
        <v>21</v>
      </c>
      <c r="F1275" t="s">
        <v>27</v>
      </c>
      <c r="G1275" t="s">
        <v>28</v>
      </c>
      <c r="H1275" t="s">
        <v>313</v>
      </c>
      <c r="I1275" s="5">
        <v>0.1</v>
      </c>
      <c r="J1275">
        <f t="shared" si="57"/>
        <v>55</v>
      </c>
      <c r="K1275">
        <v>3</v>
      </c>
      <c r="L1275">
        <f t="shared" si="58"/>
        <v>52</v>
      </c>
      <c r="M1275" s="4">
        <f t="shared" si="59"/>
        <v>8.666666666666667E-2</v>
      </c>
      <c r="N1275">
        <v>600</v>
      </c>
      <c r="O1275">
        <v>550</v>
      </c>
      <c r="P1275" t="s">
        <v>25</v>
      </c>
      <c r="Q1275" t="s">
        <v>26</v>
      </c>
      <c r="R1275" t="str">
        <f>IF(COUNTIF(Sheet2!B:B, A1275) &gt; 0, "Yes", "No")</f>
        <v>Yes</v>
      </c>
    </row>
    <row r="1276" spans="1:18" x14ac:dyDescent="0.25">
      <c r="A1276" s="3">
        <v>45275</v>
      </c>
      <c r="B1276" t="s">
        <v>405</v>
      </c>
      <c r="C1276" t="s">
        <v>79</v>
      </c>
      <c r="D1276" t="s">
        <v>20</v>
      </c>
      <c r="E1276" t="s">
        <v>21</v>
      </c>
      <c r="F1276" t="s">
        <v>30</v>
      </c>
      <c r="G1276" t="s">
        <v>31</v>
      </c>
      <c r="H1276" t="s">
        <v>31</v>
      </c>
      <c r="I1276" s="5">
        <v>0.06</v>
      </c>
      <c r="J1276">
        <f t="shared" si="57"/>
        <v>33</v>
      </c>
      <c r="K1276">
        <v>2</v>
      </c>
      <c r="L1276">
        <f t="shared" si="58"/>
        <v>31</v>
      </c>
      <c r="M1276" s="4">
        <f t="shared" si="59"/>
        <v>5.1666666666666666E-2</v>
      </c>
      <c r="N1276">
        <v>600</v>
      </c>
      <c r="O1276">
        <v>550</v>
      </c>
      <c r="P1276" t="s">
        <v>25</v>
      </c>
      <c r="Q1276" t="s">
        <v>26</v>
      </c>
      <c r="R1276" t="str">
        <f>IF(COUNTIF(Sheet2!B:B, A1276) &gt; 0, "Yes", "No")</f>
        <v>Yes</v>
      </c>
    </row>
    <row r="1277" spans="1:18" x14ac:dyDescent="0.25">
      <c r="A1277" s="3">
        <v>45275</v>
      </c>
      <c r="B1277" t="s">
        <v>405</v>
      </c>
      <c r="C1277" t="s">
        <v>79</v>
      </c>
      <c r="D1277" t="s">
        <v>33</v>
      </c>
      <c r="E1277" t="s">
        <v>21</v>
      </c>
      <c r="F1277" t="s">
        <v>84</v>
      </c>
      <c r="G1277" t="s">
        <v>177</v>
      </c>
      <c r="H1277" t="s">
        <v>423</v>
      </c>
      <c r="I1277" s="5">
        <v>0.3</v>
      </c>
      <c r="J1277">
        <f t="shared" si="57"/>
        <v>115.5</v>
      </c>
      <c r="K1277">
        <v>0</v>
      </c>
      <c r="L1277">
        <f t="shared" si="58"/>
        <v>115.5</v>
      </c>
      <c r="M1277" s="4">
        <f t="shared" si="59"/>
        <v>0.27500000000000002</v>
      </c>
      <c r="N1277">
        <v>420</v>
      </c>
      <c r="O1277">
        <v>385</v>
      </c>
      <c r="P1277" t="s">
        <v>25</v>
      </c>
      <c r="Q1277" t="s">
        <v>26</v>
      </c>
      <c r="R1277" t="str">
        <f>IF(COUNTIF(Sheet2!B:B, A1277) &gt; 0, "Yes", "No")</f>
        <v>Yes</v>
      </c>
    </row>
    <row r="1278" spans="1:18" x14ac:dyDescent="0.25">
      <c r="A1278" s="3">
        <v>45275</v>
      </c>
      <c r="B1278" t="s">
        <v>405</v>
      </c>
      <c r="C1278" t="s">
        <v>79</v>
      </c>
      <c r="D1278" t="s">
        <v>20</v>
      </c>
      <c r="E1278" t="s">
        <v>21</v>
      </c>
      <c r="F1278" t="s">
        <v>37</v>
      </c>
      <c r="G1278" t="s">
        <v>59</v>
      </c>
      <c r="H1278" t="s">
        <v>60</v>
      </c>
      <c r="I1278" s="5">
        <v>2.5000000000000001E-2</v>
      </c>
      <c r="J1278">
        <f t="shared" si="57"/>
        <v>13.75</v>
      </c>
      <c r="K1278">
        <v>0</v>
      </c>
      <c r="L1278">
        <f t="shared" si="58"/>
        <v>13.75</v>
      </c>
      <c r="M1278" s="4">
        <f t="shared" si="59"/>
        <v>2.2916666666666665E-2</v>
      </c>
      <c r="N1278">
        <v>600</v>
      </c>
      <c r="O1278">
        <v>550</v>
      </c>
      <c r="P1278" t="s">
        <v>25</v>
      </c>
      <c r="Q1278" t="s">
        <v>26</v>
      </c>
      <c r="R1278" t="str">
        <f>IF(COUNTIF(Sheet2!B:B, A1278) &gt; 0, "Yes", "No")</f>
        <v>Yes</v>
      </c>
    </row>
    <row r="1279" spans="1:18" x14ac:dyDescent="0.25">
      <c r="A1279" s="3">
        <v>45275</v>
      </c>
      <c r="B1279" t="s">
        <v>405</v>
      </c>
      <c r="C1279" t="s">
        <v>79</v>
      </c>
      <c r="D1279" t="s">
        <v>20</v>
      </c>
      <c r="E1279" t="s">
        <v>21</v>
      </c>
      <c r="F1279" t="s">
        <v>40</v>
      </c>
      <c r="G1279" t="s">
        <v>164</v>
      </c>
      <c r="H1279" t="s">
        <v>202</v>
      </c>
      <c r="I1279" s="5">
        <v>0.04</v>
      </c>
      <c r="J1279">
        <f t="shared" si="57"/>
        <v>22</v>
      </c>
      <c r="K1279">
        <v>0</v>
      </c>
      <c r="L1279">
        <f t="shared" si="58"/>
        <v>22</v>
      </c>
      <c r="M1279" s="4">
        <f t="shared" si="59"/>
        <v>3.6666666666666667E-2</v>
      </c>
      <c r="N1279">
        <v>600</v>
      </c>
      <c r="O1279">
        <v>550</v>
      </c>
      <c r="P1279" t="s">
        <v>25</v>
      </c>
      <c r="Q1279" t="s">
        <v>26</v>
      </c>
      <c r="R1279" t="str">
        <f>IF(COUNTIF(Sheet2!B:B, A1279) &gt; 0, "Yes", "No")</f>
        <v>Yes</v>
      </c>
    </row>
    <row r="1280" spans="1:18" x14ac:dyDescent="0.25">
      <c r="A1280" s="3">
        <v>45275</v>
      </c>
      <c r="B1280" t="s">
        <v>405</v>
      </c>
      <c r="C1280" t="s">
        <v>79</v>
      </c>
      <c r="D1280" t="s">
        <v>20</v>
      </c>
      <c r="E1280" t="s">
        <v>21</v>
      </c>
      <c r="F1280" t="s">
        <v>43</v>
      </c>
      <c r="G1280" t="s">
        <v>90</v>
      </c>
      <c r="H1280" t="s">
        <v>281</v>
      </c>
      <c r="I1280" s="5">
        <v>7.4999999999999997E-2</v>
      </c>
      <c r="J1280">
        <f t="shared" si="57"/>
        <v>41.25</v>
      </c>
      <c r="K1280">
        <v>1</v>
      </c>
      <c r="L1280">
        <f t="shared" si="58"/>
        <v>40.25</v>
      </c>
      <c r="M1280" s="4">
        <f t="shared" si="59"/>
        <v>6.7083333333333328E-2</v>
      </c>
      <c r="N1280">
        <v>600</v>
      </c>
      <c r="O1280">
        <v>550</v>
      </c>
      <c r="P1280" t="s">
        <v>25</v>
      </c>
      <c r="Q1280" t="s">
        <v>26</v>
      </c>
      <c r="R1280" t="str">
        <f>IF(COUNTIF(Sheet2!B:B, A1280) &gt; 0, "Yes", "No")</f>
        <v>Yes</v>
      </c>
    </row>
    <row r="1281" spans="1:18" x14ac:dyDescent="0.25">
      <c r="A1281" s="3">
        <v>45275</v>
      </c>
      <c r="B1281" t="s">
        <v>405</v>
      </c>
      <c r="C1281" t="s">
        <v>79</v>
      </c>
      <c r="D1281" t="s">
        <v>20</v>
      </c>
      <c r="E1281" t="s">
        <v>21</v>
      </c>
      <c r="F1281" t="s">
        <v>46</v>
      </c>
      <c r="G1281" t="s">
        <v>47</v>
      </c>
      <c r="H1281" t="s">
        <v>424</v>
      </c>
      <c r="I1281" s="5">
        <v>5.5E-2</v>
      </c>
      <c r="J1281">
        <f t="shared" si="57"/>
        <v>30.25</v>
      </c>
      <c r="K1281">
        <v>3</v>
      </c>
      <c r="L1281">
        <f t="shared" si="58"/>
        <v>27.25</v>
      </c>
      <c r="M1281" s="4">
        <f t="shared" si="59"/>
        <v>4.5416666666666668E-2</v>
      </c>
      <c r="N1281">
        <v>600</v>
      </c>
      <c r="O1281">
        <v>550</v>
      </c>
      <c r="P1281" t="s">
        <v>25</v>
      </c>
      <c r="Q1281" t="s">
        <v>26</v>
      </c>
      <c r="R1281" t="str">
        <f>IF(COUNTIF(Sheet2!B:B, A1281) &gt; 0, "Yes", "No")</f>
        <v>Yes</v>
      </c>
    </row>
    <row r="1282" spans="1:18" x14ac:dyDescent="0.25">
      <c r="A1282" s="3">
        <v>45275</v>
      </c>
      <c r="B1282" t="s">
        <v>405</v>
      </c>
      <c r="C1282" t="s">
        <v>79</v>
      </c>
      <c r="D1282" t="s">
        <v>20</v>
      </c>
      <c r="E1282" t="s">
        <v>21</v>
      </c>
      <c r="F1282" t="s">
        <v>49</v>
      </c>
      <c r="G1282" t="s">
        <v>50</v>
      </c>
      <c r="H1282" t="s">
        <v>49</v>
      </c>
      <c r="I1282" s="5">
        <v>0.04</v>
      </c>
      <c r="J1282">
        <f t="shared" si="57"/>
        <v>22</v>
      </c>
      <c r="K1282">
        <v>2</v>
      </c>
      <c r="L1282">
        <f t="shared" si="58"/>
        <v>20</v>
      </c>
      <c r="M1282" s="4">
        <f t="shared" si="59"/>
        <v>3.3333333333333333E-2</v>
      </c>
      <c r="N1282">
        <v>600</v>
      </c>
      <c r="O1282">
        <v>550</v>
      </c>
      <c r="P1282" t="s">
        <v>25</v>
      </c>
      <c r="Q1282" t="s">
        <v>26</v>
      </c>
      <c r="R1282" t="str">
        <f>IF(COUNTIF(Sheet2!B:B, A1282) &gt; 0, "Yes", "No")</f>
        <v>Yes</v>
      </c>
    </row>
    <row r="1283" spans="1:18" x14ac:dyDescent="0.25">
      <c r="A1283" s="3">
        <v>45278</v>
      </c>
      <c r="B1283" t="s">
        <v>405</v>
      </c>
      <c r="C1283" t="s">
        <v>19</v>
      </c>
      <c r="D1283" t="s">
        <v>20</v>
      </c>
      <c r="E1283" t="s">
        <v>21</v>
      </c>
      <c r="F1283" t="s">
        <v>22</v>
      </c>
      <c r="G1283" t="s">
        <v>23</v>
      </c>
      <c r="H1283" t="s">
        <v>24</v>
      </c>
      <c r="I1283">
        <v>8.5000000000000006E-2</v>
      </c>
      <c r="J1283">
        <f t="shared" ref="J1283:J1346" si="60">I1283*O1283</f>
        <v>51.000000000000007</v>
      </c>
      <c r="K1283">
        <v>1</v>
      </c>
      <c r="L1283">
        <f t="shared" ref="L1283:L1346" si="61">J1283-K1283</f>
        <v>50.000000000000007</v>
      </c>
      <c r="M1283" s="4">
        <f t="shared" ref="M1283:M1346" si="62">((I1283*O1283)-K1283)/N1283</f>
        <v>7.6923076923076927E-2</v>
      </c>
      <c r="N1283">
        <v>650</v>
      </c>
      <c r="O1283">
        <v>600</v>
      </c>
      <c r="P1283" t="s">
        <v>25</v>
      </c>
      <c r="Q1283" t="s">
        <v>26</v>
      </c>
      <c r="R1283" t="str">
        <f>IF(COUNTIF(Sheet2!B:B, A1283) &gt; 0, "Yes", "No")</f>
        <v>No</v>
      </c>
    </row>
    <row r="1284" spans="1:18" x14ac:dyDescent="0.25">
      <c r="A1284" s="3">
        <v>45278</v>
      </c>
      <c r="B1284" t="s">
        <v>405</v>
      </c>
      <c r="C1284" t="s">
        <v>19</v>
      </c>
      <c r="D1284" t="s">
        <v>20</v>
      </c>
      <c r="E1284" t="s">
        <v>21</v>
      </c>
      <c r="F1284" t="s">
        <v>27</v>
      </c>
      <c r="G1284" t="s">
        <v>81</v>
      </c>
      <c r="H1284" t="s">
        <v>297</v>
      </c>
      <c r="I1284">
        <v>0.1</v>
      </c>
      <c r="J1284">
        <f t="shared" si="60"/>
        <v>60</v>
      </c>
      <c r="K1284">
        <v>1</v>
      </c>
      <c r="L1284">
        <f t="shared" si="61"/>
        <v>59</v>
      </c>
      <c r="M1284" s="4">
        <f t="shared" si="62"/>
        <v>9.0769230769230769E-2</v>
      </c>
      <c r="N1284">
        <v>650</v>
      </c>
      <c r="O1284">
        <v>600</v>
      </c>
      <c r="P1284" t="s">
        <v>25</v>
      </c>
      <c r="Q1284" t="s">
        <v>26</v>
      </c>
      <c r="R1284" t="str">
        <f>IF(COUNTIF(Sheet2!B:B, A1284) &gt; 0, "Yes", "No")</f>
        <v>No</v>
      </c>
    </row>
    <row r="1285" spans="1:18" x14ac:dyDescent="0.25">
      <c r="A1285" s="3">
        <v>45278</v>
      </c>
      <c r="B1285" t="s">
        <v>405</v>
      </c>
      <c r="C1285" t="s">
        <v>19</v>
      </c>
      <c r="D1285" t="s">
        <v>20</v>
      </c>
      <c r="E1285" t="s">
        <v>21</v>
      </c>
      <c r="F1285" t="s">
        <v>30</v>
      </c>
      <c r="G1285" t="s">
        <v>55</v>
      </c>
      <c r="H1285" t="s">
        <v>270</v>
      </c>
      <c r="I1285">
        <v>0.09</v>
      </c>
      <c r="J1285">
        <f t="shared" si="60"/>
        <v>54</v>
      </c>
      <c r="K1285">
        <v>0</v>
      </c>
      <c r="L1285">
        <f t="shared" si="61"/>
        <v>54</v>
      </c>
      <c r="M1285" s="4">
        <f t="shared" si="62"/>
        <v>8.3076923076923076E-2</v>
      </c>
      <c r="N1285">
        <v>650</v>
      </c>
      <c r="O1285">
        <v>600</v>
      </c>
      <c r="P1285" t="s">
        <v>25</v>
      </c>
      <c r="Q1285" t="s">
        <v>26</v>
      </c>
      <c r="R1285" t="str">
        <f>IF(COUNTIF(Sheet2!B:B, A1285) &gt; 0, "Yes", "No")</f>
        <v>No</v>
      </c>
    </row>
    <row r="1286" spans="1:18" x14ac:dyDescent="0.25">
      <c r="A1286" s="3">
        <v>45278</v>
      </c>
      <c r="B1286" t="s">
        <v>405</v>
      </c>
      <c r="C1286" t="s">
        <v>19</v>
      </c>
      <c r="D1286" t="s">
        <v>33</v>
      </c>
      <c r="E1286" t="s">
        <v>21</v>
      </c>
      <c r="F1286" t="s">
        <v>34</v>
      </c>
      <c r="G1286" t="s">
        <v>35</v>
      </c>
      <c r="H1286" t="s">
        <v>287</v>
      </c>
      <c r="I1286">
        <v>0.15</v>
      </c>
      <c r="J1286">
        <f t="shared" si="60"/>
        <v>63</v>
      </c>
      <c r="K1286">
        <v>1</v>
      </c>
      <c r="L1286">
        <f t="shared" si="61"/>
        <v>62</v>
      </c>
      <c r="M1286" s="4">
        <f t="shared" si="62"/>
        <v>0.13626373626373625</v>
      </c>
      <c r="N1286">
        <v>455</v>
      </c>
      <c r="O1286">
        <v>420</v>
      </c>
      <c r="P1286" t="s">
        <v>25</v>
      </c>
      <c r="Q1286" t="s">
        <v>26</v>
      </c>
      <c r="R1286" t="str">
        <f>IF(COUNTIF(Sheet2!B:B, A1286) &gt; 0, "Yes", "No")</f>
        <v>No</v>
      </c>
    </row>
    <row r="1287" spans="1:18" x14ac:dyDescent="0.25">
      <c r="A1287" s="3">
        <v>45278</v>
      </c>
      <c r="B1287" t="s">
        <v>405</v>
      </c>
      <c r="C1287" t="s">
        <v>19</v>
      </c>
      <c r="D1287" t="s">
        <v>20</v>
      </c>
      <c r="E1287" t="s">
        <v>21</v>
      </c>
      <c r="F1287" t="s">
        <v>37</v>
      </c>
      <c r="G1287" t="s">
        <v>87</v>
      </c>
      <c r="H1287" t="s">
        <v>88</v>
      </c>
      <c r="I1287">
        <v>0.03</v>
      </c>
      <c r="J1287">
        <f t="shared" si="60"/>
        <v>18</v>
      </c>
      <c r="K1287">
        <v>0</v>
      </c>
      <c r="L1287">
        <f t="shared" si="61"/>
        <v>18</v>
      </c>
      <c r="M1287" s="4">
        <f t="shared" si="62"/>
        <v>2.7692307692307693E-2</v>
      </c>
      <c r="N1287">
        <v>650</v>
      </c>
      <c r="O1287">
        <v>600</v>
      </c>
      <c r="P1287" t="s">
        <v>25</v>
      </c>
      <c r="Q1287" t="s">
        <v>26</v>
      </c>
      <c r="R1287" t="str">
        <f>IF(COUNTIF(Sheet2!B:B, A1287) &gt; 0, "Yes", "No")</f>
        <v>No</v>
      </c>
    </row>
    <row r="1288" spans="1:18" x14ac:dyDescent="0.25">
      <c r="A1288" s="3">
        <v>45278</v>
      </c>
      <c r="B1288" t="s">
        <v>405</v>
      </c>
      <c r="C1288" t="s">
        <v>19</v>
      </c>
      <c r="D1288" t="s">
        <v>20</v>
      </c>
      <c r="E1288" t="s">
        <v>21</v>
      </c>
      <c r="F1288" t="s">
        <v>40</v>
      </c>
      <c r="G1288" t="s">
        <v>41</v>
      </c>
      <c r="H1288" t="s">
        <v>42</v>
      </c>
      <c r="I1288">
        <v>4.4999999999999998E-2</v>
      </c>
      <c r="J1288">
        <f t="shared" si="60"/>
        <v>27</v>
      </c>
      <c r="K1288">
        <v>0</v>
      </c>
      <c r="L1288">
        <f t="shared" si="61"/>
        <v>27</v>
      </c>
      <c r="M1288" s="4">
        <f t="shared" si="62"/>
        <v>4.1538461538461538E-2</v>
      </c>
      <c r="N1288">
        <v>650</v>
      </c>
      <c r="O1288">
        <v>600</v>
      </c>
      <c r="P1288" t="s">
        <v>25</v>
      </c>
      <c r="Q1288" t="s">
        <v>26</v>
      </c>
      <c r="R1288" t="str">
        <f>IF(COUNTIF(Sheet2!B:B, A1288) &gt; 0, "Yes", "No")</f>
        <v>No</v>
      </c>
    </row>
    <row r="1289" spans="1:18" x14ac:dyDescent="0.25">
      <c r="A1289" s="3">
        <v>45278</v>
      </c>
      <c r="B1289" t="s">
        <v>405</v>
      </c>
      <c r="C1289" t="s">
        <v>19</v>
      </c>
      <c r="D1289" t="s">
        <v>20</v>
      </c>
      <c r="E1289" t="s">
        <v>21</v>
      </c>
      <c r="F1289" t="s">
        <v>43</v>
      </c>
      <c r="G1289" t="s">
        <v>288</v>
      </c>
      <c r="H1289" t="s">
        <v>289</v>
      </c>
      <c r="I1289">
        <v>0.11</v>
      </c>
      <c r="J1289">
        <f t="shared" si="60"/>
        <v>66</v>
      </c>
      <c r="K1289">
        <v>2</v>
      </c>
      <c r="L1289">
        <f t="shared" si="61"/>
        <v>64</v>
      </c>
      <c r="M1289" s="4">
        <f t="shared" si="62"/>
        <v>9.8461538461538461E-2</v>
      </c>
      <c r="N1289">
        <v>650</v>
      </c>
      <c r="O1289">
        <v>600</v>
      </c>
      <c r="P1289" t="s">
        <v>25</v>
      </c>
      <c r="Q1289" t="s">
        <v>26</v>
      </c>
      <c r="R1289" t="str">
        <f>IF(COUNTIF(Sheet2!B:B, A1289) &gt; 0, "Yes", "No")</f>
        <v>No</v>
      </c>
    </row>
    <row r="1290" spans="1:18" x14ac:dyDescent="0.25">
      <c r="A1290" s="3">
        <v>45278</v>
      </c>
      <c r="B1290" t="s">
        <v>405</v>
      </c>
      <c r="C1290" t="s">
        <v>19</v>
      </c>
      <c r="D1290" t="s">
        <v>20</v>
      </c>
      <c r="E1290" t="s">
        <v>21</v>
      </c>
      <c r="F1290" t="s">
        <v>46</v>
      </c>
      <c r="G1290" t="s">
        <v>92</v>
      </c>
      <c r="H1290" t="s">
        <v>321</v>
      </c>
      <c r="I1290">
        <v>8.5000000000000006E-2</v>
      </c>
      <c r="J1290">
        <f t="shared" si="60"/>
        <v>51.000000000000007</v>
      </c>
      <c r="K1290">
        <v>2</v>
      </c>
      <c r="L1290">
        <f t="shared" si="61"/>
        <v>49.000000000000007</v>
      </c>
      <c r="M1290" s="4">
        <f t="shared" si="62"/>
        <v>7.5384615384615397E-2</v>
      </c>
      <c r="N1290">
        <v>650</v>
      </c>
      <c r="O1290">
        <v>600</v>
      </c>
      <c r="P1290" t="s">
        <v>25</v>
      </c>
      <c r="Q1290" t="s">
        <v>26</v>
      </c>
      <c r="R1290" t="str">
        <f>IF(COUNTIF(Sheet2!B:B, A1290) &gt; 0, "Yes", "No")</f>
        <v>No</v>
      </c>
    </row>
    <row r="1291" spans="1:18" x14ac:dyDescent="0.25">
      <c r="A1291" s="3">
        <v>45278</v>
      </c>
      <c r="B1291" t="s">
        <v>405</v>
      </c>
      <c r="C1291" t="s">
        <v>19</v>
      </c>
      <c r="D1291" t="s">
        <v>20</v>
      </c>
      <c r="E1291" t="s">
        <v>21</v>
      </c>
      <c r="F1291" t="s">
        <v>49</v>
      </c>
      <c r="G1291" t="s">
        <v>50</v>
      </c>
      <c r="H1291" t="s">
        <v>49</v>
      </c>
      <c r="I1291">
        <v>0.09</v>
      </c>
      <c r="J1291">
        <f t="shared" si="60"/>
        <v>54</v>
      </c>
      <c r="K1291">
        <v>0</v>
      </c>
      <c r="L1291">
        <f t="shared" si="61"/>
        <v>54</v>
      </c>
      <c r="M1291" s="4">
        <f t="shared" si="62"/>
        <v>8.3076923076923076E-2</v>
      </c>
      <c r="N1291">
        <v>650</v>
      </c>
      <c r="O1291">
        <v>600</v>
      </c>
      <c r="P1291" t="s">
        <v>25</v>
      </c>
      <c r="Q1291" t="s">
        <v>26</v>
      </c>
      <c r="R1291" t="str">
        <f>IF(COUNTIF(Sheet2!B:B, A1291) &gt; 0, "Yes", "No")</f>
        <v>No</v>
      </c>
    </row>
    <row r="1292" spans="1:18" x14ac:dyDescent="0.25">
      <c r="A1292" s="3">
        <v>45279</v>
      </c>
      <c r="B1292" t="s">
        <v>405</v>
      </c>
      <c r="C1292" t="s">
        <v>105</v>
      </c>
      <c r="D1292" t="s">
        <v>20</v>
      </c>
      <c r="E1292" t="s">
        <v>67</v>
      </c>
      <c r="F1292" t="s">
        <v>22</v>
      </c>
      <c r="G1292" t="s">
        <v>94</v>
      </c>
      <c r="H1292" t="s">
        <v>143</v>
      </c>
      <c r="I1292">
        <v>8.5000000000000006E-2</v>
      </c>
      <c r="J1292">
        <f t="shared" si="60"/>
        <v>49.300000000000004</v>
      </c>
      <c r="K1292">
        <v>0</v>
      </c>
      <c r="L1292">
        <f t="shared" si="61"/>
        <v>49.300000000000004</v>
      </c>
      <c r="M1292" s="4">
        <f t="shared" si="62"/>
        <v>7.5846153846153855E-2</v>
      </c>
      <c r="N1292">
        <v>650</v>
      </c>
      <c r="O1292">
        <v>580</v>
      </c>
      <c r="P1292" t="s">
        <v>25</v>
      </c>
      <c r="Q1292" t="s">
        <v>26</v>
      </c>
      <c r="R1292" t="str">
        <f>IF(COUNTIF(Sheet2!B:B, A1292) &gt; 0, "Yes", "No")</f>
        <v>No</v>
      </c>
    </row>
    <row r="1293" spans="1:18" x14ac:dyDescent="0.25">
      <c r="A1293" s="3">
        <v>45279</v>
      </c>
      <c r="B1293" t="s">
        <v>405</v>
      </c>
      <c r="C1293" t="s">
        <v>105</v>
      </c>
      <c r="D1293" t="s">
        <v>20</v>
      </c>
      <c r="E1293" t="s">
        <v>67</v>
      </c>
      <c r="F1293" t="s">
        <v>27</v>
      </c>
      <c r="G1293" t="s">
        <v>28</v>
      </c>
      <c r="H1293" t="s">
        <v>291</v>
      </c>
      <c r="I1293">
        <v>0.11</v>
      </c>
      <c r="J1293">
        <f t="shared" si="60"/>
        <v>63.8</v>
      </c>
      <c r="K1293">
        <v>0</v>
      </c>
      <c r="L1293">
        <f t="shared" si="61"/>
        <v>63.8</v>
      </c>
      <c r="M1293" s="4">
        <f t="shared" si="62"/>
        <v>9.8153846153846147E-2</v>
      </c>
      <c r="N1293">
        <v>650</v>
      </c>
      <c r="O1293">
        <v>580</v>
      </c>
      <c r="P1293" t="s">
        <v>25</v>
      </c>
      <c r="Q1293" t="s">
        <v>26</v>
      </c>
      <c r="R1293" t="str">
        <f>IF(COUNTIF(Sheet2!B:B, A1293) &gt; 0, "Yes", "No")</f>
        <v>No</v>
      </c>
    </row>
    <row r="1294" spans="1:18" x14ac:dyDescent="0.25">
      <c r="A1294" s="3">
        <v>45279</v>
      </c>
      <c r="B1294" t="s">
        <v>405</v>
      </c>
      <c r="C1294" t="s">
        <v>105</v>
      </c>
      <c r="D1294" t="s">
        <v>20</v>
      </c>
      <c r="E1294" t="s">
        <v>67</v>
      </c>
      <c r="F1294" t="s">
        <v>30</v>
      </c>
      <c r="G1294" t="s">
        <v>55</v>
      </c>
      <c r="H1294" t="s">
        <v>183</v>
      </c>
      <c r="I1294">
        <v>0.09</v>
      </c>
      <c r="J1294">
        <f t="shared" si="60"/>
        <v>52.199999999999996</v>
      </c>
      <c r="K1294">
        <v>0</v>
      </c>
      <c r="L1294">
        <f t="shared" si="61"/>
        <v>52.199999999999996</v>
      </c>
      <c r="M1294" s="4">
        <f t="shared" si="62"/>
        <v>8.0307692307692302E-2</v>
      </c>
      <c r="N1294">
        <v>650</v>
      </c>
      <c r="O1294">
        <v>580</v>
      </c>
      <c r="P1294" t="s">
        <v>25</v>
      </c>
      <c r="Q1294" t="s">
        <v>26</v>
      </c>
      <c r="R1294" t="str">
        <f>IF(COUNTIF(Sheet2!B:B, A1294) &gt; 0, "Yes", "No")</f>
        <v>No</v>
      </c>
    </row>
    <row r="1295" spans="1:18" x14ac:dyDescent="0.25">
      <c r="A1295" s="3">
        <v>45279</v>
      </c>
      <c r="B1295" t="s">
        <v>405</v>
      </c>
      <c r="C1295" t="s">
        <v>105</v>
      </c>
      <c r="D1295" t="s">
        <v>20</v>
      </c>
      <c r="E1295" t="s">
        <v>67</v>
      </c>
      <c r="F1295" t="s">
        <v>37</v>
      </c>
      <c r="G1295" t="s">
        <v>87</v>
      </c>
      <c r="H1295" t="s">
        <v>99</v>
      </c>
      <c r="I1295">
        <v>3.5000000000000003E-2</v>
      </c>
      <c r="J1295">
        <f t="shared" si="60"/>
        <v>20.3</v>
      </c>
      <c r="K1295">
        <v>0</v>
      </c>
      <c r="L1295">
        <f t="shared" si="61"/>
        <v>20.3</v>
      </c>
      <c r="M1295" s="4">
        <f t="shared" si="62"/>
        <v>3.1230769230769232E-2</v>
      </c>
      <c r="N1295">
        <v>650</v>
      </c>
      <c r="O1295">
        <v>580</v>
      </c>
      <c r="P1295" t="s">
        <v>25</v>
      </c>
      <c r="Q1295" t="s">
        <v>26</v>
      </c>
      <c r="R1295" t="str">
        <f>IF(COUNTIF(Sheet2!B:B, A1295) &gt; 0, "Yes", "No")</f>
        <v>No</v>
      </c>
    </row>
    <row r="1296" spans="1:18" x14ac:dyDescent="0.25">
      <c r="A1296" s="3">
        <v>45279</v>
      </c>
      <c r="B1296" t="s">
        <v>405</v>
      </c>
      <c r="C1296" t="s">
        <v>105</v>
      </c>
      <c r="D1296" t="s">
        <v>20</v>
      </c>
      <c r="E1296" t="s">
        <v>67</v>
      </c>
      <c r="F1296" t="s">
        <v>40</v>
      </c>
      <c r="G1296" t="s">
        <v>164</v>
      </c>
      <c r="H1296" t="s">
        <v>202</v>
      </c>
      <c r="I1296">
        <v>0.05</v>
      </c>
      <c r="J1296">
        <f t="shared" si="60"/>
        <v>29</v>
      </c>
      <c r="K1296">
        <v>0</v>
      </c>
      <c r="L1296">
        <f t="shared" si="61"/>
        <v>29</v>
      </c>
      <c r="M1296" s="4">
        <f t="shared" si="62"/>
        <v>4.4615384615384612E-2</v>
      </c>
      <c r="N1296">
        <v>650</v>
      </c>
      <c r="O1296">
        <v>580</v>
      </c>
      <c r="P1296" t="s">
        <v>25</v>
      </c>
      <c r="Q1296" t="s">
        <v>26</v>
      </c>
      <c r="R1296" t="str">
        <f>IF(COUNTIF(Sheet2!B:B, A1296) &gt; 0, "Yes", "No")</f>
        <v>No</v>
      </c>
    </row>
    <row r="1297" spans="1:18" x14ac:dyDescent="0.25">
      <c r="A1297" s="3">
        <v>45279</v>
      </c>
      <c r="B1297" t="s">
        <v>405</v>
      </c>
      <c r="C1297" t="s">
        <v>105</v>
      </c>
      <c r="D1297" t="s">
        <v>20</v>
      </c>
      <c r="E1297" t="s">
        <v>67</v>
      </c>
      <c r="F1297" t="s">
        <v>43</v>
      </c>
      <c r="G1297" t="s">
        <v>90</v>
      </c>
      <c r="H1297" t="s">
        <v>194</v>
      </c>
      <c r="I1297">
        <v>0.11</v>
      </c>
      <c r="J1297">
        <f t="shared" si="60"/>
        <v>63.8</v>
      </c>
      <c r="K1297">
        <v>1</v>
      </c>
      <c r="L1297">
        <f t="shared" si="61"/>
        <v>62.8</v>
      </c>
      <c r="M1297" s="4">
        <f t="shared" si="62"/>
        <v>9.6615384615384617E-2</v>
      </c>
      <c r="N1297">
        <v>650</v>
      </c>
      <c r="O1297">
        <v>580</v>
      </c>
      <c r="P1297" t="s">
        <v>25</v>
      </c>
      <c r="Q1297" t="s">
        <v>26</v>
      </c>
      <c r="R1297" t="str">
        <f>IF(COUNTIF(Sheet2!B:B, A1297) &gt; 0, "Yes", "No")</f>
        <v>No</v>
      </c>
    </row>
    <row r="1298" spans="1:18" x14ac:dyDescent="0.25">
      <c r="A1298" s="3">
        <v>45279</v>
      </c>
      <c r="B1298" t="s">
        <v>405</v>
      </c>
      <c r="C1298" t="s">
        <v>105</v>
      </c>
      <c r="D1298" t="s">
        <v>20</v>
      </c>
      <c r="E1298" t="s">
        <v>67</v>
      </c>
      <c r="F1298" t="s">
        <v>46</v>
      </c>
      <c r="G1298" t="s">
        <v>47</v>
      </c>
      <c r="H1298" t="s">
        <v>65</v>
      </c>
      <c r="I1298">
        <v>8.5000000000000006E-2</v>
      </c>
      <c r="J1298">
        <f t="shared" si="60"/>
        <v>49.300000000000004</v>
      </c>
      <c r="K1298">
        <v>0</v>
      </c>
      <c r="L1298">
        <f t="shared" si="61"/>
        <v>49.300000000000004</v>
      </c>
      <c r="M1298" s="4">
        <f t="shared" si="62"/>
        <v>7.5846153846153855E-2</v>
      </c>
      <c r="N1298">
        <v>650</v>
      </c>
      <c r="O1298">
        <v>580</v>
      </c>
      <c r="P1298" t="s">
        <v>25</v>
      </c>
      <c r="Q1298" t="s">
        <v>26</v>
      </c>
      <c r="R1298" t="str">
        <f>IF(COUNTIF(Sheet2!B:B, A1298) &gt; 0, "Yes", "No")</f>
        <v>No</v>
      </c>
    </row>
    <row r="1299" spans="1:18" x14ac:dyDescent="0.25">
      <c r="A1299" s="3">
        <v>45279</v>
      </c>
      <c r="B1299" t="s">
        <v>405</v>
      </c>
      <c r="C1299" t="s">
        <v>105</v>
      </c>
      <c r="D1299" t="s">
        <v>20</v>
      </c>
      <c r="E1299" t="s">
        <v>67</v>
      </c>
      <c r="F1299" t="s">
        <v>49</v>
      </c>
      <c r="G1299" t="s">
        <v>50</v>
      </c>
      <c r="H1299" t="s">
        <v>49</v>
      </c>
      <c r="I1299">
        <v>0.09</v>
      </c>
      <c r="J1299">
        <f t="shared" si="60"/>
        <v>52.199999999999996</v>
      </c>
      <c r="K1299">
        <v>0</v>
      </c>
      <c r="L1299">
        <f t="shared" si="61"/>
        <v>52.199999999999996</v>
      </c>
      <c r="M1299" s="4">
        <f t="shared" si="62"/>
        <v>8.0307692307692302E-2</v>
      </c>
      <c r="N1299">
        <v>650</v>
      </c>
      <c r="O1299">
        <v>580</v>
      </c>
      <c r="P1299" t="s">
        <v>25</v>
      </c>
      <c r="Q1299" t="s">
        <v>26</v>
      </c>
      <c r="R1299" t="str">
        <f>IF(COUNTIF(Sheet2!B:B, A1299) &gt; 0, "Yes", "No")</f>
        <v>No</v>
      </c>
    </row>
    <row r="1300" spans="1:18" x14ac:dyDescent="0.25">
      <c r="A1300" s="3">
        <v>45281</v>
      </c>
      <c r="B1300" t="s">
        <v>405</v>
      </c>
      <c r="C1300" t="s">
        <v>66</v>
      </c>
      <c r="D1300" t="s">
        <v>20</v>
      </c>
      <c r="E1300" t="s">
        <v>67</v>
      </c>
      <c r="F1300" t="s">
        <v>22</v>
      </c>
      <c r="G1300" t="s">
        <v>94</v>
      </c>
      <c r="H1300" t="s">
        <v>294</v>
      </c>
      <c r="I1300">
        <v>8.5000000000000006E-2</v>
      </c>
      <c r="J1300">
        <f t="shared" si="60"/>
        <v>46.75</v>
      </c>
      <c r="K1300">
        <v>0</v>
      </c>
      <c r="L1300">
        <f t="shared" si="61"/>
        <v>46.75</v>
      </c>
      <c r="M1300" s="4">
        <f t="shared" si="62"/>
        <v>7.7916666666666662E-2</v>
      </c>
      <c r="N1300">
        <v>600</v>
      </c>
      <c r="O1300">
        <v>550</v>
      </c>
      <c r="P1300" t="s">
        <v>25</v>
      </c>
      <c r="Q1300" t="s">
        <v>26</v>
      </c>
      <c r="R1300" t="str">
        <f>IF(COUNTIF(Sheet2!B:B, A1300) &gt; 0, "Yes", "No")</f>
        <v>No</v>
      </c>
    </row>
    <row r="1301" spans="1:18" x14ac:dyDescent="0.25">
      <c r="A1301" s="3">
        <v>45281</v>
      </c>
      <c r="B1301" t="s">
        <v>405</v>
      </c>
      <c r="C1301" t="s">
        <v>66</v>
      </c>
      <c r="D1301" t="s">
        <v>20</v>
      </c>
      <c r="E1301" t="s">
        <v>67</v>
      </c>
      <c r="F1301" t="s">
        <v>27</v>
      </c>
      <c r="G1301" t="s">
        <v>144</v>
      </c>
      <c r="H1301" t="s">
        <v>145</v>
      </c>
      <c r="I1301">
        <v>0.11</v>
      </c>
      <c r="J1301">
        <f t="shared" si="60"/>
        <v>60.5</v>
      </c>
      <c r="K1301">
        <v>0</v>
      </c>
      <c r="L1301">
        <f t="shared" si="61"/>
        <v>60.5</v>
      </c>
      <c r="M1301" s="4">
        <f t="shared" si="62"/>
        <v>0.10083333333333333</v>
      </c>
      <c r="N1301">
        <v>600</v>
      </c>
      <c r="O1301">
        <v>550</v>
      </c>
      <c r="P1301" t="s">
        <v>25</v>
      </c>
      <c r="Q1301" t="s">
        <v>26</v>
      </c>
      <c r="R1301" t="str">
        <f>IF(COUNTIF(Sheet2!B:B, A1301) &gt; 0, "Yes", "No")</f>
        <v>No</v>
      </c>
    </row>
    <row r="1302" spans="1:18" x14ac:dyDescent="0.25">
      <c r="A1302" s="3">
        <v>45281</v>
      </c>
      <c r="B1302" t="s">
        <v>405</v>
      </c>
      <c r="C1302" t="s">
        <v>66</v>
      </c>
      <c r="D1302" t="s">
        <v>20</v>
      </c>
      <c r="E1302" t="s">
        <v>67</v>
      </c>
      <c r="F1302" t="s">
        <v>30</v>
      </c>
      <c r="G1302" t="s">
        <v>55</v>
      </c>
      <c r="H1302" t="s">
        <v>56</v>
      </c>
      <c r="I1302">
        <v>0.09</v>
      </c>
      <c r="J1302">
        <f t="shared" si="60"/>
        <v>49.5</v>
      </c>
      <c r="K1302">
        <v>0</v>
      </c>
      <c r="L1302">
        <f t="shared" si="61"/>
        <v>49.5</v>
      </c>
      <c r="M1302" s="4">
        <f t="shared" si="62"/>
        <v>8.2500000000000004E-2</v>
      </c>
      <c r="N1302">
        <v>600</v>
      </c>
      <c r="O1302">
        <v>550</v>
      </c>
      <c r="P1302" t="s">
        <v>25</v>
      </c>
      <c r="Q1302" t="s">
        <v>26</v>
      </c>
      <c r="R1302" t="str">
        <f>IF(COUNTIF(Sheet2!B:B, A1302) &gt; 0, "Yes", "No")</f>
        <v>No</v>
      </c>
    </row>
    <row r="1303" spans="1:18" x14ac:dyDescent="0.25">
      <c r="A1303" s="3">
        <v>45281</v>
      </c>
      <c r="B1303" t="s">
        <v>405</v>
      </c>
      <c r="C1303" t="s">
        <v>66</v>
      </c>
      <c r="D1303" t="s">
        <v>20</v>
      </c>
      <c r="E1303" t="s">
        <v>67</v>
      </c>
      <c r="F1303" t="s">
        <v>37</v>
      </c>
      <c r="G1303" t="s">
        <v>87</v>
      </c>
      <c r="H1303" t="s">
        <v>136</v>
      </c>
      <c r="I1303">
        <v>3.5000000000000003E-2</v>
      </c>
      <c r="J1303">
        <f t="shared" si="60"/>
        <v>19.250000000000004</v>
      </c>
      <c r="K1303">
        <v>1</v>
      </c>
      <c r="L1303">
        <f t="shared" si="61"/>
        <v>18.250000000000004</v>
      </c>
      <c r="M1303" s="4">
        <f t="shared" si="62"/>
        <v>3.0416666666666672E-2</v>
      </c>
      <c r="N1303">
        <v>600</v>
      </c>
      <c r="O1303">
        <v>550</v>
      </c>
      <c r="P1303" t="s">
        <v>25</v>
      </c>
      <c r="Q1303" t="s">
        <v>26</v>
      </c>
      <c r="R1303" t="str">
        <f>IF(COUNTIF(Sheet2!B:B, A1303) &gt; 0, "Yes", "No")</f>
        <v>No</v>
      </c>
    </row>
    <row r="1304" spans="1:18" x14ac:dyDescent="0.25">
      <c r="A1304" s="3">
        <v>45281</v>
      </c>
      <c r="B1304" t="s">
        <v>405</v>
      </c>
      <c r="C1304" t="s">
        <v>66</v>
      </c>
      <c r="D1304" t="s">
        <v>20</v>
      </c>
      <c r="E1304" t="s">
        <v>67</v>
      </c>
      <c r="F1304" t="s">
        <v>40</v>
      </c>
      <c r="G1304" t="s">
        <v>127</v>
      </c>
      <c r="H1304" t="s">
        <v>358</v>
      </c>
      <c r="I1304">
        <v>0.05</v>
      </c>
      <c r="J1304">
        <f t="shared" si="60"/>
        <v>27.5</v>
      </c>
      <c r="K1304">
        <v>0.5</v>
      </c>
      <c r="L1304">
        <f t="shared" si="61"/>
        <v>27</v>
      </c>
      <c r="M1304" s="4">
        <f t="shared" si="62"/>
        <v>4.4999999999999998E-2</v>
      </c>
      <c r="N1304">
        <v>600</v>
      </c>
      <c r="O1304">
        <v>550</v>
      </c>
      <c r="P1304" t="s">
        <v>25</v>
      </c>
      <c r="Q1304" t="s">
        <v>26</v>
      </c>
      <c r="R1304" t="str">
        <f>IF(COUNTIF(Sheet2!B:B, A1304) &gt; 0, "Yes", "No")</f>
        <v>No</v>
      </c>
    </row>
    <row r="1305" spans="1:18" x14ac:dyDescent="0.25">
      <c r="A1305" s="3">
        <v>45281</v>
      </c>
      <c r="B1305" t="s">
        <v>405</v>
      </c>
      <c r="C1305" t="s">
        <v>66</v>
      </c>
      <c r="D1305" t="s">
        <v>20</v>
      </c>
      <c r="E1305" t="s">
        <v>67</v>
      </c>
      <c r="F1305" t="s">
        <v>43</v>
      </c>
      <c r="G1305" t="s">
        <v>44</v>
      </c>
      <c r="H1305" t="s">
        <v>397</v>
      </c>
      <c r="I1305">
        <v>0.11</v>
      </c>
      <c r="J1305">
        <f t="shared" si="60"/>
        <v>60.5</v>
      </c>
      <c r="K1305">
        <v>0</v>
      </c>
      <c r="L1305">
        <f t="shared" si="61"/>
        <v>60.5</v>
      </c>
      <c r="M1305" s="4">
        <f t="shared" si="62"/>
        <v>0.10083333333333333</v>
      </c>
      <c r="N1305">
        <v>600</v>
      </c>
      <c r="O1305">
        <v>550</v>
      </c>
      <c r="P1305" t="s">
        <v>25</v>
      </c>
      <c r="Q1305" t="s">
        <v>26</v>
      </c>
      <c r="R1305" t="str">
        <f>IF(COUNTIF(Sheet2!B:B, A1305) &gt; 0, "Yes", "No")</f>
        <v>No</v>
      </c>
    </row>
    <row r="1306" spans="1:18" x14ac:dyDescent="0.25">
      <c r="A1306" s="3">
        <v>45281</v>
      </c>
      <c r="B1306" t="s">
        <v>405</v>
      </c>
      <c r="C1306" t="s">
        <v>66</v>
      </c>
      <c r="D1306" t="s">
        <v>20</v>
      </c>
      <c r="E1306" t="s">
        <v>67</v>
      </c>
      <c r="F1306" t="s">
        <v>46</v>
      </c>
      <c r="G1306" t="s">
        <v>331</v>
      </c>
      <c r="H1306" t="s">
        <v>425</v>
      </c>
      <c r="I1306">
        <v>8.5000000000000006E-2</v>
      </c>
      <c r="J1306">
        <f t="shared" si="60"/>
        <v>46.75</v>
      </c>
      <c r="K1306">
        <v>1.5</v>
      </c>
      <c r="L1306">
        <f t="shared" si="61"/>
        <v>45.25</v>
      </c>
      <c r="M1306" s="4">
        <f t="shared" si="62"/>
        <v>7.5416666666666674E-2</v>
      </c>
      <c r="N1306">
        <v>600</v>
      </c>
      <c r="O1306">
        <v>550</v>
      </c>
      <c r="P1306" t="s">
        <v>25</v>
      </c>
      <c r="Q1306" t="s">
        <v>26</v>
      </c>
      <c r="R1306" t="str">
        <f>IF(COUNTIF(Sheet2!B:B, A1306) &gt; 0, "Yes", "No")</f>
        <v>No</v>
      </c>
    </row>
    <row r="1307" spans="1:18" x14ac:dyDescent="0.25">
      <c r="A1307" s="3">
        <v>45281</v>
      </c>
      <c r="B1307" t="s">
        <v>405</v>
      </c>
      <c r="C1307" t="s">
        <v>66</v>
      </c>
      <c r="D1307" t="s">
        <v>20</v>
      </c>
      <c r="E1307" t="s">
        <v>67</v>
      </c>
      <c r="F1307" t="s">
        <v>49</v>
      </c>
      <c r="G1307" t="s">
        <v>50</v>
      </c>
      <c r="H1307" t="s">
        <v>49</v>
      </c>
      <c r="I1307">
        <v>0.09</v>
      </c>
      <c r="J1307">
        <f t="shared" si="60"/>
        <v>49.5</v>
      </c>
      <c r="K1307">
        <v>0</v>
      </c>
      <c r="L1307">
        <f t="shared" si="61"/>
        <v>49.5</v>
      </c>
      <c r="M1307" s="4">
        <f t="shared" si="62"/>
        <v>8.2500000000000004E-2</v>
      </c>
      <c r="N1307">
        <v>600</v>
      </c>
      <c r="O1307">
        <v>550</v>
      </c>
      <c r="P1307" t="s">
        <v>25</v>
      </c>
      <c r="Q1307" t="s">
        <v>26</v>
      </c>
      <c r="R1307" t="str">
        <f>IF(COUNTIF(Sheet2!B:B, A1307) &gt; 0, "Yes", "No")</f>
        <v>No</v>
      </c>
    </row>
    <row r="1308" spans="1:18" x14ac:dyDescent="0.25">
      <c r="A1308" s="3">
        <v>45282</v>
      </c>
      <c r="B1308" t="s">
        <v>405</v>
      </c>
      <c r="C1308" t="s">
        <v>79</v>
      </c>
      <c r="D1308" t="s">
        <v>20</v>
      </c>
      <c r="E1308" t="s">
        <v>21</v>
      </c>
      <c r="F1308" t="s">
        <v>22</v>
      </c>
      <c r="G1308" t="s">
        <v>122</v>
      </c>
      <c r="H1308" t="s">
        <v>155</v>
      </c>
      <c r="I1308" s="5">
        <v>0.06</v>
      </c>
      <c r="J1308">
        <f t="shared" si="60"/>
        <v>31.2</v>
      </c>
      <c r="K1308">
        <v>2</v>
      </c>
      <c r="L1308">
        <f t="shared" si="61"/>
        <v>29.2</v>
      </c>
      <c r="M1308" s="4">
        <f t="shared" si="62"/>
        <v>5.3090909090909091E-2</v>
      </c>
      <c r="N1308">
        <v>550</v>
      </c>
      <c r="O1308">
        <v>520</v>
      </c>
      <c r="P1308" t="s">
        <v>25</v>
      </c>
      <c r="Q1308" t="s">
        <v>26</v>
      </c>
      <c r="R1308" t="str">
        <f>IF(COUNTIF(Sheet2!B:B, A1308) &gt; 0, "Yes", "No")</f>
        <v>Yes</v>
      </c>
    </row>
    <row r="1309" spans="1:18" x14ac:dyDescent="0.25">
      <c r="A1309" s="3">
        <v>45282</v>
      </c>
      <c r="B1309" t="s">
        <v>405</v>
      </c>
      <c r="C1309" t="s">
        <v>79</v>
      </c>
      <c r="D1309" t="s">
        <v>20</v>
      </c>
      <c r="E1309" t="s">
        <v>21</v>
      </c>
      <c r="F1309" t="s">
        <v>27</v>
      </c>
      <c r="G1309" t="s">
        <v>81</v>
      </c>
      <c r="H1309" t="s">
        <v>310</v>
      </c>
      <c r="I1309" s="5">
        <v>0.1</v>
      </c>
      <c r="J1309">
        <f t="shared" si="60"/>
        <v>52</v>
      </c>
      <c r="K1309">
        <v>2</v>
      </c>
      <c r="L1309">
        <f t="shared" si="61"/>
        <v>50</v>
      </c>
      <c r="M1309" s="4">
        <f t="shared" si="62"/>
        <v>9.0909090909090912E-2</v>
      </c>
      <c r="N1309">
        <v>550</v>
      </c>
      <c r="O1309">
        <v>520</v>
      </c>
      <c r="P1309" t="s">
        <v>25</v>
      </c>
      <c r="Q1309" t="s">
        <v>26</v>
      </c>
      <c r="R1309" t="str">
        <f>IF(COUNTIF(Sheet2!B:B, A1309) &gt; 0, "Yes", "No")</f>
        <v>Yes</v>
      </c>
    </row>
    <row r="1310" spans="1:18" x14ac:dyDescent="0.25">
      <c r="A1310" s="3">
        <v>45282</v>
      </c>
      <c r="B1310" t="s">
        <v>405</v>
      </c>
      <c r="C1310" t="s">
        <v>79</v>
      </c>
      <c r="D1310" t="s">
        <v>20</v>
      </c>
      <c r="E1310" t="s">
        <v>21</v>
      </c>
      <c r="F1310" t="s">
        <v>30</v>
      </c>
      <c r="G1310" t="s">
        <v>31</v>
      </c>
      <c r="H1310" t="s">
        <v>172</v>
      </c>
      <c r="I1310" s="5">
        <v>0.06</v>
      </c>
      <c r="J1310">
        <f t="shared" si="60"/>
        <v>31.2</v>
      </c>
      <c r="K1310">
        <v>1</v>
      </c>
      <c r="L1310">
        <f t="shared" si="61"/>
        <v>30.2</v>
      </c>
      <c r="M1310" s="4">
        <f t="shared" si="62"/>
        <v>5.4909090909090907E-2</v>
      </c>
      <c r="N1310">
        <v>550</v>
      </c>
      <c r="O1310">
        <v>520</v>
      </c>
      <c r="P1310" t="s">
        <v>25</v>
      </c>
      <c r="Q1310" t="s">
        <v>26</v>
      </c>
      <c r="R1310" t="str">
        <f>IF(COUNTIF(Sheet2!B:B, A1310) &gt; 0, "Yes", "No")</f>
        <v>Yes</v>
      </c>
    </row>
    <row r="1311" spans="1:18" x14ac:dyDescent="0.25">
      <c r="A1311" s="3">
        <v>45282</v>
      </c>
      <c r="B1311" t="s">
        <v>405</v>
      </c>
      <c r="C1311" t="s">
        <v>79</v>
      </c>
      <c r="D1311" t="s">
        <v>33</v>
      </c>
      <c r="E1311" t="s">
        <v>21</v>
      </c>
      <c r="F1311" t="s">
        <v>84</v>
      </c>
      <c r="G1311" t="s">
        <v>177</v>
      </c>
      <c r="H1311" t="s">
        <v>220</v>
      </c>
      <c r="I1311" s="5">
        <v>0.3</v>
      </c>
      <c r="J1311">
        <f t="shared" si="60"/>
        <v>109.2</v>
      </c>
      <c r="K1311">
        <v>1</v>
      </c>
      <c r="L1311">
        <f t="shared" si="61"/>
        <v>108.2</v>
      </c>
      <c r="M1311" s="4">
        <f t="shared" si="62"/>
        <v>0.28103896103896103</v>
      </c>
      <c r="N1311">
        <v>385</v>
      </c>
      <c r="O1311">
        <v>364</v>
      </c>
      <c r="P1311" t="s">
        <v>25</v>
      </c>
      <c r="Q1311" t="s">
        <v>26</v>
      </c>
      <c r="R1311" t="str">
        <f>IF(COUNTIF(Sheet2!B:B, A1311) &gt; 0, "Yes", "No")</f>
        <v>Yes</v>
      </c>
    </row>
    <row r="1312" spans="1:18" x14ac:dyDescent="0.25">
      <c r="A1312" s="3">
        <v>45282</v>
      </c>
      <c r="B1312" t="s">
        <v>405</v>
      </c>
      <c r="C1312" t="s">
        <v>79</v>
      </c>
      <c r="D1312" t="s">
        <v>20</v>
      </c>
      <c r="E1312" t="s">
        <v>21</v>
      </c>
      <c r="F1312" t="s">
        <v>37</v>
      </c>
      <c r="G1312" t="s">
        <v>38</v>
      </c>
      <c r="H1312" t="s">
        <v>39</v>
      </c>
      <c r="I1312" s="5">
        <v>2.5000000000000001E-2</v>
      </c>
      <c r="J1312">
        <f t="shared" si="60"/>
        <v>13</v>
      </c>
      <c r="K1312">
        <v>2</v>
      </c>
      <c r="L1312">
        <f t="shared" si="61"/>
        <v>11</v>
      </c>
      <c r="M1312" s="4">
        <f t="shared" si="62"/>
        <v>0.02</v>
      </c>
      <c r="N1312">
        <v>550</v>
      </c>
      <c r="O1312">
        <v>520</v>
      </c>
      <c r="P1312" t="s">
        <v>25</v>
      </c>
      <c r="Q1312" t="s">
        <v>26</v>
      </c>
      <c r="R1312" t="str">
        <f>IF(COUNTIF(Sheet2!B:B, A1312) &gt; 0, "Yes", "No")</f>
        <v>Yes</v>
      </c>
    </row>
    <row r="1313" spans="1:18" x14ac:dyDescent="0.25">
      <c r="A1313" s="3">
        <v>45282</v>
      </c>
      <c r="B1313" t="s">
        <v>405</v>
      </c>
      <c r="C1313" t="s">
        <v>79</v>
      </c>
      <c r="D1313" t="s">
        <v>20</v>
      </c>
      <c r="E1313" t="s">
        <v>21</v>
      </c>
      <c r="F1313" t="s">
        <v>40</v>
      </c>
      <c r="G1313" t="s">
        <v>61</v>
      </c>
      <c r="H1313" t="s">
        <v>119</v>
      </c>
      <c r="I1313" s="5">
        <v>0.04</v>
      </c>
      <c r="J1313">
        <f t="shared" si="60"/>
        <v>20.8</v>
      </c>
      <c r="K1313">
        <v>1</v>
      </c>
      <c r="L1313">
        <f t="shared" si="61"/>
        <v>19.8</v>
      </c>
      <c r="M1313" s="4">
        <f t="shared" si="62"/>
        <v>3.6000000000000004E-2</v>
      </c>
      <c r="N1313">
        <v>550</v>
      </c>
      <c r="O1313">
        <v>520</v>
      </c>
      <c r="P1313" t="s">
        <v>25</v>
      </c>
      <c r="Q1313" t="s">
        <v>26</v>
      </c>
      <c r="R1313" t="str">
        <f>IF(COUNTIF(Sheet2!B:B, A1313) &gt; 0, "Yes", "No")</f>
        <v>Yes</v>
      </c>
    </row>
    <row r="1314" spans="1:18" x14ac:dyDescent="0.25">
      <c r="A1314" s="3">
        <v>45282</v>
      </c>
      <c r="B1314" t="s">
        <v>405</v>
      </c>
      <c r="C1314" t="s">
        <v>79</v>
      </c>
      <c r="D1314" t="s">
        <v>20</v>
      </c>
      <c r="E1314" t="s">
        <v>21</v>
      </c>
      <c r="F1314" t="s">
        <v>43</v>
      </c>
      <c r="G1314" t="s">
        <v>111</v>
      </c>
      <c r="H1314" t="s">
        <v>325</v>
      </c>
      <c r="I1314" s="5">
        <v>0.08</v>
      </c>
      <c r="J1314">
        <f t="shared" si="60"/>
        <v>41.6</v>
      </c>
      <c r="K1314">
        <v>2</v>
      </c>
      <c r="L1314">
        <f t="shared" si="61"/>
        <v>39.6</v>
      </c>
      <c r="M1314" s="4">
        <f t="shared" si="62"/>
        <v>7.2000000000000008E-2</v>
      </c>
      <c r="N1314">
        <v>550</v>
      </c>
      <c r="O1314">
        <v>520</v>
      </c>
      <c r="P1314" t="s">
        <v>25</v>
      </c>
      <c r="Q1314" t="s">
        <v>26</v>
      </c>
      <c r="R1314" t="str">
        <f>IF(COUNTIF(Sheet2!B:B, A1314) &gt; 0, "Yes", "No")</f>
        <v>Yes</v>
      </c>
    </row>
    <row r="1315" spans="1:18" x14ac:dyDescent="0.25">
      <c r="A1315" s="3">
        <v>45282</v>
      </c>
      <c r="B1315" t="s">
        <v>405</v>
      </c>
      <c r="C1315" t="s">
        <v>79</v>
      </c>
      <c r="D1315" t="s">
        <v>20</v>
      </c>
      <c r="E1315" t="s">
        <v>21</v>
      </c>
      <c r="F1315" t="s">
        <v>46</v>
      </c>
      <c r="G1315" t="s">
        <v>47</v>
      </c>
      <c r="H1315" t="s">
        <v>78</v>
      </c>
      <c r="I1315" s="5">
        <v>5.5E-2</v>
      </c>
      <c r="J1315">
        <f t="shared" si="60"/>
        <v>28.6</v>
      </c>
      <c r="K1315">
        <v>2.5</v>
      </c>
      <c r="L1315">
        <f t="shared" si="61"/>
        <v>26.1</v>
      </c>
      <c r="M1315" s="4">
        <f t="shared" si="62"/>
        <v>4.7454545454545458E-2</v>
      </c>
      <c r="N1315">
        <v>550</v>
      </c>
      <c r="O1315">
        <v>520</v>
      </c>
      <c r="P1315" t="s">
        <v>25</v>
      </c>
      <c r="Q1315" t="s">
        <v>26</v>
      </c>
      <c r="R1315" t="str">
        <f>IF(COUNTIF(Sheet2!B:B, A1315) &gt; 0, "Yes", "No")</f>
        <v>Yes</v>
      </c>
    </row>
    <row r="1316" spans="1:18" x14ac:dyDescent="0.25">
      <c r="A1316" s="3">
        <v>45282</v>
      </c>
      <c r="B1316" t="s">
        <v>405</v>
      </c>
      <c r="C1316" t="s">
        <v>79</v>
      </c>
      <c r="D1316" t="s">
        <v>20</v>
      </c>
      <c r="E1316" t="s">
        <v>21</v>
      </c>
      <c r="F1316" t="s">
        <v>49</v>
      </c>
      <c r="G1316" t="s">
        <v>50</v>
      </c>
      <c r="H1316" t="s">
        <v>49</v>
      </c>
      <c r="I1316" s="5">
        <v>0.04</v>
      </c>
      <c r="J1316">
        <f t="shared" si="60"/>
        <v>20.8</v>
      </c>
      <c r="K1316">
        <v>3</v>
      </c>
      <c r="L1316">
        <f t="shared" si="61"/>
        <v>17.8</v>
      </c>
      <c r="M1316" s="4">
        <f t="shared" si="62"/>
        <v>3.2363636363636365E-2</v>
      </c>
      <c r="N1316">
        <v>550</v>
      </c>
      <c r="O1316">
        <v>520</v>
      </c>
      <c r="P1316" t="s">
        <v>25</v>
      </c>
      <c r="Q1316" t="s">
        <v>26</v>
      </c>
      <c r="R1316" t="str">
        <f>IF(COUNTIF(Sheet2!B:B, A1316) &gt; 0, "Yes", "No")</f>
        <v>Yes</v>
      </c>
    </row>
    <row r="1317" spans="1:18" x14ac:dyDescent="0.25">
      <c r="A1317" s="3">
        <v>45286</v>
      </c>
      <c r="B1317" t="s">
        <v>405</v>
      </c>
      <c r="C1317" t="s">
        <v>105</v>
      </c>
      <c r="D1317" t="s">
        <v>20</v>
      </c>
      <c r="E1317" t="s">
        <v>67</v>
      </c>
      <c r="F1317" t="s">
        <v>22</v>
      </c>
      <c r="G1317" t="s">
        <v>52</v>
      </c>
      <c r="H1317" t="s">
        <v>426</v>
      </c>
      <c r="I1317">
        <v>8.5000000000000006E-2</v>
      </c>
      <c r="J1317">
        <f t="shared" si="60"/>
        <v>31.450000000000003</v>
      </c>
      <c r="K1317">
        <v>0</v>
      </c>
      <c r="L1317">
        <f t="shared" si="61"/>
        <v>31.450000000000003</v>
      </c>
      <c r="M1317" s="4">
        <f t="shared" si="62"/>
        <v>7.8625E-2</v>
      </c>
      <c r="N1317">
        <v>400</v>
      </c>
      <c r="O1317">
        <v>370</v>
      </c>
      <c r="P1317" t="s">
        <v>322</v>
      </c>
      <c r="Q1317" t="s">
        <v>284</v>
      </c>
      <c r="R1317" t="str">
        <f>IF(COUNTIF(Sheet2!B:B, A1317) &gt; 0, "Yes", "No")</f>
        <v>No</v>
      </c>
    </row>
    <row r="1318" spans="1:18" x14ac:dyDescent="0.25">
      <c r="A1318" s="3">
        <v>45286</v>
      </c>
      <c r="B1318" t="s">
        <v>405</v>
      </c>
      <c r="C1318" t="s">
        <v>105</v>
      </c>
      <c r="D1318" t="s">
        <v>20</v>
      </c>
      <c r="E1318" t="s">
        <v>67</v>
      </c>
      <c r="F1318" t="s">
        <v>27</v>
      </c>
      <c r="G1318" t="s">
        <v>780</v>
      </c>
      <c r="H1318" t="s">
        <v>149</v>
      </c>
      <c r="I1318">
        <v>0.11</v>
      </c>
      <c r="J1318">
        <f t="shared" si="60"/>
        <v>40.700000000000003</v>
      </c>
      <c r="K1318">
        <v>0</v>
      </c>
      <c r="L1318">
        <f t="shared" si="61"/>
        <v>40.700000000000003</v>
      </c>
      <c r="M1318" s="4">
        <f t="shared" si="62"/>
        <v>0.10175000000000001</v>
      </c>
      <c r="N1318">
        <v>400</v>
      </c>
      <c r="O1318">
        <v>370</v>
      </c>
      <c r="P1318" t="s">
        <v>322</v>
      </c>
      <c r="Q1318" t="s">
        <v>284</v>
      </c>
      <c r="R1318" t="str">
        <f>IF(COUNTIF(Sheet2!B:B, A1318) &gt; 0, "Yes", "No")</f>
        <v>No</v>
      </c>
    </row>
    <row r="1319" spans="1:18" x14ac:dyDescent="0.25">
      <c r="A1319" s="3">
        <v>45286</v>
      </c>
      <c r="B1319" t="s">
        <v>405</v>
      </c>
      <c r="C1319" t="s">
        <v>105</v>
      </c>
      <c r="D1319" t="s">
        <v>20</v>
      </c>
      <c r="E1319" t="s">
        <v>67</v>
      </c>
      <c r="F1319" t="s">
        <v>30</v>
      </c>
      <c r="G1319" t="s">
        <v>31</v>
      </c>
      <c r="H1319" t="s">
        <v>70</v>
      </c>
      <c r="I1319">
        <v>0.09</v>
      </c>
      <c r="J1319">
        <f t="shared" si="60"/>
        <v>33.299999999999997</v>
      </c>
      <c r="K1319">
        <v>0</v>
      </c>
      <c r="L1319">
        <f t="shared" si="61"/>
        <v>33.299999999999997</v>
      </c>
      <c r="M1319" s="4">
        <f t="shared" si="62"/>
        <v>8.3249999999999991E-2</v>
      </c>
      <c r="N1319">
        <v>400</v>
      </c>
      <c r="O1319">
        <v>370</v>
      </c>
      <c r="P1319" t="s">
        <v>322</v>
      </c>
      <c r="Q1319" t="s">
        <v>284</v>
      </c>
      <c r="R1319" t="str">
        <f>IF(COUNTIF(Sheet2!B:B, A1319) &gt; 0, "Yes", "No")</f>
        <v>No</v>
      </c>
    </row>
    <row r="1320" spans="1:18" x14ac:dyDescent="0.25">
      <c r="A1320" s="3">
        <v>45286</v>
      </c>
      <c r="B1320" t="s">
        <v>405</v>
      </c>
      <c r="C1320" t="s">
        <v>105</v>
      </c>
      <c r="D1320" t="s">
        <v>20</v>
      </c>
      <c r="E1320" t="s">
        <v>67</v>
      </c>
      <c r="F1320" t="s">
        <v>37</v>
      </c>
      <c r="G1320" t="s">
        <v>87</v>
      </c>
      <c r="H1320" t="s">
        <v>136</v>
      </c>
      <c r="I1320">
        <v>3.5000000000000003E-2</v>
      </c>
      <c r="J1320">
        <f t="shared" si="60"/>
        <v>12.950000000000001</v>
      </c>
      <c r="K1320">
        <v>0</v>
      </c>
      <c r="L1320">
        <f t="shared" si="61"/>
        <v>12.950000000000001</v>
      </c>
      <c r="M1320" s="4">
        <f t="shared" si="62"/>
        <v>3.2375000000000001E-2</v>
      </c>
      <c r="N1320">
        <v>400</v>
      </c>
      <c r="O1320">
        <v>370</v>
      </c>
      <c r="P1320" t="s">
        <v>322</v>
      </c>
      <c r="Q1320" t="s">
        <v>284</v>
      </c>
      <c r="R1320" t="str">
        <f>IF(COUNTIF(Sheet2!B:B, A1320) &gt; 0, "Yes", "No")</f>
        <v>No</v>
      </c>
    </row>
    <row r="1321" spans="1:18" x14ac:dyDescent="0.25">
      <c r="A1321" s="3">
        <v>45286</v>
      </c>
      <c r="B1321" t="s">
        <v>405</v>
      </c>
      <c r="C1321" t="s">
        <v>105</v>
      </c>
      <c r="D1321" t="s">
        <v>20</v>
      </c>
      <c r="E1321" t="s">
        <v>67</v>
      </c>
      <c r="F1321" t="s">
        <v>40</v>
      </c>
      <c r="G1321" t="s">
        <v>61</v>
      </c>
      <c r="H1321" t="s">
        <v>62</v>
      </c>
      <c r="I1321">
        <v>0.05</v>
      </c>
      <c r="J1321">
        <f t="shared" si="60"/>
        <v>18.5</v>
      </c>
      <c r="K1321">
        <v>0</v>
      </c>
      <c r="L1321">
        <f t="shared" si="61"/>
        <v>18.5</v>
      </c>
      <c r="M1321" s="4">
        <f t="shared" si="62"/>
        <v>4.6249999999999999E-2</v>
      </c>
      <c r="N1321">
        <v>400</v>
      </c>
      <c r="O1321">
        <v>370</v>
      </c>
      <c r="P1321" t="s">
        <v>322</v>
      </c>
      <c r="Q1321" t="s">
        <v>284</v>
      </c>
      <c r="R1321" t="str">
        <f>IF(COUNTIF(Sheet2!B:B, A1321) &gt; 0, "Yes", "No")</f>
        <v>No</v>
      </c>
    </row>
    <row r="1322" spans="1:18" x14ac:dyDescent="0.25">
      <c r="A1322" s="3">
        <v>45286</v>
      </c>
      <c r="B1322" t="s">
        <v>405</v>
      </c>
      <c r="C1322" t="s">
        <v>105</v>
      </c>
      <c r="D1322" t="s">
        <v>20</v>
      </c>
      <c r="E1322" t="s">
        <v>67</v>
      </c>
      <c r="F1322" t="s">
        <v>43</v>
      </c>
      <c r="G1322" t="s">
        <v>215</v>
      </c>
      <c r="H1322" t="s">
        <v>216</v>
      </c>
      <c r="I1322">
        <v>0.11</v>
      </c>
      <c r="J1322">
        <f t="shared" si="60"/>
        <v>40.700000000000003</v>
      </c>
      <c r="K1322">
        <v>0</v>
      </c>
      <c r="L1322">
        <f t="shared" si="61"/>
        <v>40.700000000000003</v>
      </c>
      <c r="M1322" s="4">
        <f t="shared" si="62"/>
        <v>0.10175000000000001</v>
      </c>
      <c r="N1322">
        <v>400</v>
      </c>
      <c r="O1322">
        <v>370</v>
      </c>
      <c r="P1322" t="s">
        <v>322</v>
      </c>
      <c r="Q1322" t="s">
        <v>284</v>
      </c>
      <c r="R1322" t="str">
        <f>IF(COUNTIF(Sheet2!B:B, A1322) &gt; 0, "Yes", "No")</f>
        <v>No</v>
      </c>
    </row>
    <row r="1323" spans="1:18" x14ac:dyDescent="0.25">
      <c r="A1323" s="3">
        <v>45286</v>
      </c>
      <c r="B1323" t="s">
        <v>405</v>
      </c>
      <c r="C1323" t="s">
        <v>105</v>
      </c>
      <c r="D1323" t="s">
        <v>20</v>
      </c>
      <c r="E1323" t="s">
        <v>67</v>
      </c>
      <c r="F1323" t="s">
        <v>46</v>
      </c>
      <c r="G1323" t="s">
        <v>92</v>
      </c>
      <c r="H1323" t="s">
        <v>186</v>
      </c>
      <c r="I1323">
        <v>8.5000000000000006E-2</v>
      </c>
      <c r="J1323">
        <f t="shared" si="60"/>
        <v>31.450000000000003</v>
      </c>
      <c r="K1323">
        <v>0</v>
      </c>
      <c r="L1323">
        <f t="shared" si="61"/>
        <v>31.450000000000003</v>
      </c>
      <c r="M1323" s="4">
        <f t="shared" si="62"/>
        <v>7.8625E-2</v>
      </c>
      <c r="N1323">
        <v>400</v>
      </c>
      <c r="O1323">
        <v>370</v>
      </c>
      <c r="P1323" t="s">
        <v>322</v>
      </c>
      <c r="Q1323" t="s">
        <v>284</v>
      </c>
      <c r="R1323" t="str">
        <f>IF(COUNTIF(Sheet2!B:B, A1323) &gt; 0, "Yes", "No")</f>
        <v>No</v>
      </c>
    </row>
    <row r="1324" spans="1:18" x14ac:dyDescent="0.25">
      <c r="A1324" s="3">
        <v>45286</v>
      </c>
      <c r="B1324" t="s">
        <v>405</v>
      </c>
      <c r="C1324" t="s">
        <v>105</v>
      </c>
      <c r="D1324" t="s">
        <v>20</v>
      </c>
      <c r="E1324" t="s">
        <v>67</v>
      </c>
      <c r="F1324" t="s">
        <v>49</v>
      </c>
      <c r="G1324" t="s">
        <v>50</v>
      </c>
      <c r="H1324" t="s">
        <v>49</v>
      </c>
      <c r="I1324">
        <v>0.09</v>
      </c>
      <c r="J1324">
        <f t="shared" si="60"/>
        <v>33.299999999999997</v>
      </c>
      <c r="K1324">
        <v>2</v>
      </c>
      <c r="L1324">
        <f t="shared" si="61"/>
        <v>31.299999999999997</v>
      </c>
      <c r="M1324" s="4">
        <f t="shared" si="62"/>
        <v>7.8249999999999986E-2</v>
      </c>
      <c r="N1324">
        <v>400</v>
      </c>
      <c r="O1324">
        <v>370</v>
      </c>
      <c r="P1324" t="s">
        <v>322</v>
      </c>
      <c r="Q1324" t="s">
        <v>284</v>
      </c>
      <c r="R1324" t="str">
        <f>IF(COUNTIF(Sheet2!B:B, A1324) &gt; 0, "Yes", "No")</f>
        <v>No</v>
      </c>
    </row>
    <row r="1325" spans="1:18" x14ac:dyDescent="0.25">
      <c r="A1325" s="3">
        <v>45287</v>
      </c>
      <c r="B1325" t="s">
        <v>405</v>
      </c>
      <c r="C1325" t="s">
        <v>51</v>
      </c>
      <c r="D1325" t="s">
        <v>20</v>
      </c>
      <c r="E1325" t="s">
        <v>21</v>
      </c>
      <c r="F1325" t="s">
        <v>22</v>
      </c>
      <c r="G1325" t="s">
        <v>94</v>
      </c>
      <c r="H1325" t="s">
        <v>294</v>
      </c>
      <c r="I1325">
        <v>8.5000000000000006E-2</v>
      </c>
      <c r="J1325">
        <f t="shared" si="60"/>
        <v>39.1</v>
      </c>
      <c r="K1325">
        <v>1.5</v>
      </c>
      <c r="L1325">
        <f t="shared" si="61"/>
        <v>37.6</v>
      </c>
      <c r="M1325" s="4">
        <f t="shared" si="62"/>
        <v>7.5200000000000003E-2</v>
      </c>
      <c r="N1325">
        <v>500</v>
      </c>
      <c r="O1325">
        <v>460</v>
      </c>
      <c r="P1325" t="s">
        <v>25</v>
      </c>
      <c r="Q1325" t="s">
        <v>26</v>
      </c>
      <c r="R1325" t="str">
        <f>IF(COUNTIF(Sheet2!B:B, A1325) &gt; 0, "Yes", "No")</f>
        <v>No</v>
      </c>
    </row>
    <row r="1326" spans="1:18" x14ac:dyDescent="0.25">
      <c r="A1326" s="3">
        <v>45287</v>
      </c>
      <c r="B1326" t="s">
        <v>405</v>
      </c>
      <c r="C1326" t="s">
        <v>51</v>
      </c>
      <c r="D1326" t="s">
        <v>20</v>
      </c>
      <c r="E1326" t="s">
        <v>21</v>
      </c>
      <c r="F1326" t="s">
        <v>27</v>
      </c>
      <c r="G1326" t="s">
        <v>28</v>
      </c>
      <c r="H1326" t="s">
        <v>427</v>
      </c>
      <c r="I1326">
        <v>0.11</v>
      </c>
      <c r="J1326">
        <f t="shared" si="60"/>
        <v>50.6</v>
      </c>
      <c r="K1326">
        <v>2.5</v>
      </c>
      <c r="L1326">
        <f t="shared" si="61"/>
        <v>48.1</v>
      </c>
      <c r="M1326" s="4">
        <f t="shared" si="62"/>
        <v>9.6200000000000008E-2</v>
      </c>
      <c r="N1326">
        <v>500</v>
      </c>
      <c r="O1326">
        <v>460</v>
      </c>
      <c r="P1326" t="s">
        <v>25</v>
      </c>
      <c r="Q1326" t="s">
        <v>26</v>
      </c>
      <c r="R1326" t="str">
        <f>IF(COUNTIF(Sheet2!B:B, A1326) &gt; 0, "Yes", "No")</f>
        <v>No</v>
      </c>
    </row>
    <row r="1327" spans="1:18" x14ac:dyDescent="0.25">
      <c r="A1327" s="3">
        <v>45287</v>
      </c>
      <c r="B1327" t="s">
        <v>405</v>
      </c>
      <c r="C1327" t="s">
        <v>51</v>
      </c>
      <c r="D1327" t="s">
        <v>20</v>
      </c>
      <c r="E1327" t="s">
        <v>21</v>
      </c>
      <c r="F1327" t="s">
        <v>30</v>
      </c>
      <c r="G1327" t="s">
        <v>31</v>
      </c>
      <c r="H1327" t="s">
        <v>31</v>
      </c>
      <c r="I1327">
        <v>0.09</v>
      </c>
      <c r="J1327">
        <f t="shared" si="60"/>
        <v>41.4</v>
      </c>
      <c r="K1327">
        <v>0.5</v>
      </c>
      <c r="L1327">
        <f t="shared" si="61"/>
        <v>40.9</v>
      </c>
      <c r="M1327" s="4">
        <f t="shared" si="62"/>
        <v>8.1799999999999998E-2</v>
      </c>
      <c r="N1327">
        <v>500</v>
      </c>
      <c r="O1327">
        <v>460</v>
      </c>
      <c r="P1327" t="s">
        <v>25</v>
      </c>
      <c r="Q1327" t="s">
        <v>26</v>
      </c>
      <c r="R1327" t="str">
        <f>IF(COUNTIF(Sheet2!B:B, A1327) &gt; 0, "Yes", "No")</f>
        <v>No</v>
      </c>
    </row>
    <row r="1328" spans="1:18" x14ac:dyDescent="0.25">
      <c r="A1328" s="3">
        <v>45287</v>
      </c>
      <c r="B1328" t="s">
        <v>405</v>
      </c>
      <c r="C1328" t="s">
        <v>51</v>
      </c>
      <c r="D1328" t="s">
        <v>33</v>
      </c>
      <c r="E1328" t="s">
        <v>21</v>
      </c>
      <c r="F1328" t="s">
        <v>34</v>
      </c>
      <c r="G1328" t="s">
        <v>57</v>
      </c>
      <c r="H1328" t="s">
        <v>428</v>
      </c>
      <c r="I1328">
        <v>0.15</v>
      </c>
      <c r="J1328">
        <f t="shared" si="60"/>
        <v>48.3</v>
      </c>
      <c r="K1328">
        <v>1</v>
      </c>
      <c r="L1328">
        <f t="shared" si="61"/>
        <v>47.3</v>
      </c>
      <c r="M1328" s="4">
        <f t="shared" si="62"/>
        <v>0.13514285714285715</v>
      </c>
      <c r="N1328">
        <v>350</v>
      </c>
      <c r="O1328">
        <v>322</v>
      </c>
      <c r="P1328" t="s">
        <v>25</v>
      </c>
      <c r="Q1328" t="s">
        <v>26</v>
      </c>
      <c r="R1328" t="str">
        <f>IF(COUNTIF(Sheet2!B:B, A1328) &gt; 0, "Yes", "No")</f>
        <v>No</v>
      </c>
    </row>
    <row r="1329" spans="1:18" x14ac:dyDescent="0.25">
      <c r="A1329" s="3">
        <v>45287</v>
      </c>
      <c r="B1329" t="s">
        <v>405</v>
      </c>
      <c r="C1329" t="s">
        <v>51</v>
      </c>
      <c r="D1329" t="s">
        <v>20</v>
      </c>
      <c r="E1329" t="s">
        <v>21</v>
      </c>
      <c r="F1329" t="s">
        <v>37</v>
      </c>
      <c r="G1329" t="s">
        <v>117</v>
      </c>
      <c r="H1329" t="s">
        <v>118</v>
      </c>
      <c r="I1329">
        <v>0.03</v>
      </c>
      <c r="J1329">
        <f t="shared" si="60"/>
        <v>13.799999999999999</v>
      </c>
      <c r="K1329">
        <v>1</v>
      </c>
      <c r="L1329">
        <f t="shared" si="61"/>
        <v>12.799999999999999</v>
      </c>
      <c r="M1329" s="4">
        <f t="shared" si="62"/>
        <v>2.5599999999999998E-2</v>
      </c>
      <c r="N1329">
        <v>500</v>
      </c>
      <c r="O1329">
        <v>460</v>
      </c>
      <c r="P1329" t="s">
        <v>25</v>
      </c>
      <c r="Q1329" t="s">
        <v>26</v>
      </c>
      <c r="R1329" t="str">
        <f>IF(COUNTIF(Sheet2!B:B, A1329) &gt; 0, "Yes", "No")</f>
        <v>No</v>
      </c>
    </row>
    <row r="1330" spans="1:18" x14ac:dyDescent="0.25">
      <c r="A1330" s="3">
        <v>45287</v>
      </c>
      <c r="B1330" t="s">
        <v>405</v>
      </c>
      <c r="C1330" t="s">
        <v>51</v>
      </c>
      <c r="D1330" t="s">
        <v>20</v>
      </c>
      <c r="E1330" t="s">
        <v>21</v>
      </c>
      <c r="F1330" t="s">
        <v>40</v>
      </c>
      <c r="G1330" t="s">
        <v>164</v>
      </c>
      <c r="H1330" t="s">
        <v>328</v>
      </c>
      <c r="I1330">
        <v>4.4999999999999998E-2</v>
      </c>
      <c r="J1330">
        <f t="shared" si="60"/>
        <v>20.7</v>
      </c>
      <c r="K1330">
        <v>1</v>
      </c>
      <c r="L1330">
        <f t="shared" si="61"/>
        <v>19.7</v>
      </c>
      <c r="M1330" s="4">
        <f t="shared" si="62"/>
        <v>3.9399999999999998E-2</v>
      </c>
      <c r="N1330">
        <v>500</v>
      </c>
      <c r="O1330">
        <v>460</v>
      </c>
      <c r="P1330" t="s">
        <v>25</v>
      </c>
      <c r="Q1330" t="s">
        <v>26</v>
      </c>
      <c r="R1330" t="str">
        <f>IF(COUNTIF(Sheet2!B:B, A1330) &gt; 0, "Yes", "No")</f>
        <v>No</v>
      </c>
    </row>
    <row r="1331" spans="1:18" x14ac:dyDescent="0.25">
      <c r="A1331" s="3">
        <v>45287</v>
      </c>
      <c r="B1331" t="s">
        <v>405</v>
      </c>
      <c r="C1331" t="s">
        <v>51</v>
      </c>
      <c r="D1331" t="s">
        <v>20</v>
      </c>
      <c r="E1331" t="s">
        <v>21</v>
      </c>
      <c r="F1331" t="s">
        <v>43</v>
      </c>
      <c r="G1331" t="s">
        <v>44</v>
      </c>
      <c r="H1331" t="s">
        <v>429</v>
      </c>
      <c r="I1331">
        <v>0.11</v>
      </c>
      <c r="J1331">
        <f t="shared" si="60"/>
        <v>50.6</v>
      </c>
      <c r="K1331">
        <v>2.5</v>
      </c>
      <c r="L1331">
        <f t="shared" si="61"/>
        <v>48.1</v>
      </c>
      <c r="M1331" s="4">
        <f t="shared" si="62"/>
        <v>9.6200000000000008E-2</v>
      </c>
      <c r="N1331">
        <v>500</v>
      </c>
      <c r="O1331">
        <v>460</v>
      </c>
      <c r="P1331" t="s">
        <v>25</v>
      </c>
      <c r="Q1331" t="s">
        <v>26</v>
      </c>
      <c r="R1331" t="str">
        <f>IF(COUNTIF(Sheet2!B:B, A1331) &gt; 0, "Yes", "No")</f>
        <v>No</v>
      </c>
    </row>
    <row r="1332" spans="1:18" x14ac:dyDescent="0.25">
      <c r="A1332" s="3">
        <v>45287</v>
      </c>
      <c r="B1332" t="s">
        <v>405</v>
      </c>
      <c r="C1332" t="s">
        <v>51</v>
      </c>
      <c r="D1332" t="s">
        <v>20</v>
      </c>
      <c r="E1332" t="s">
        <v>21</v>
      </c>
      <c r="F1332" t="s">
        <v>46</v>
      </c>
      <c r="G1332" t="s">
        <v>47</v>
      </c>
      <c r="H1332" t="s">
        <v>113</v>
      </c>
      <c r="I1332">
        <v>8.5000000000000006E-2</v>
      </c>
      <c r="J1332">
        <f t="shared" si="60"/>
        <v>39.1</v>
      </c>
      <c r="K1332">
        <v>2.5</v>
      </c>
      <c r="L1332">
        <f t="shared" si="61"/>
        <v>36.6</v>
      </c>
      <c r="M1332" s="4">
        <f t="shared" si="62"/>
        <v>7.3200000000000001E-2</v>
      </c>
      <c r="N1332">
        <v>500</v>
      </c>
      <c r="O1332">
        <v>460</v>
      </c>
      <c r="P1332" t="s">
        <v>25</v>
      </c>
      <c r="Q1332" t="s">
        <v>26</v>
      </c>
      <c r="R1332" t="str">
        <f>IF(COUNTIF(Sheet2!B:B, A1332) &gt; 0, "Yes", "No")</f>
        <v>No</v>
      </c>
    </row>
    <row r="1333" spans="1:18" x14ac:dyDescent="0.25">
      <c r="A1333" s="3">
        <v>45287</v>
      </c>
      <c r="B1333" t="s">
        <v>405</v>
      </c>
      <c r="C1333" t="s">
        <v>51</v>
      </c>
      <c r="D1333" t="s">
        <v>20</v>
      </c>
      <c r="E1333" t="s">
        <v>21</v>
      </c>
      <c r="F1333" t="s">
        <v>49</v>
      </c>
      <c r="G1333" t="s">
        <v>50</v>
      </c>
      <c r="H1333" t="s">
        <v>49</v>
      </c>
      <c r="I1333">
        <v>0.09</v>
      </c>
      <c r="J1333">
        <f t="shared" si="60"/>
        <v>41.4</v>
      </c>
      <c r="K1333">
        <v>2</v>
      </c>
      <c r="L1333">
        <f t="shared" si="61"/>
        <v>39.4</v>
      </c>
      <c r="M1333" s="4">
        <f t="shared" si="62"/>
        <v>7.8799999999999995E-2</v>
      </c>
      <c r="N1333">
        <v>500</v>
      </c>
      <c r="O1333">
        <v>460</v>
      </c>
      <c r="P1333" t="s">
        <v>25</v>
      </c>
      <c r="Q1333" t="s">
        <v>26</v>
      </c>
      <c r="R1333" t="str">
        <f>IF(COUNTIF(Sheet2!B:B, A1333) &gt; 0, "Yes", "No")</f>
        <v>No</v>
      </c>
    </row>
    <row r="1334" spans="1:18" x14ac:dyDescent="0.25">
      <c r="A1334" s="3">
        <v>45288</v>
      </c>
      <c r="B1334" t="s">
        <v>405</v>
      </c>
      <c r="C1334" t="s">
        <v>66</v>
      </c>
      <c r="D1334" t="s">
        <v>20</v>
      </c>
      <c r="E1334" t="s">
        <v>67</v>
      </c>
      <c r="F1334" t="s">
        <v>22</v>
      </c>
      <c r="G1334" t="s">
        <v>94</v>
      </c>
      <c r="H1334" t="s">
        <v>199</v>
      </c>
      <c r="I1334">
        <v>8.5000000000000006E-2</v>
      </c>
      <c r="J1334">
        <f t="shared" si="60"/>
        <v>31.450000000000003</v>
      </c>
      <c r="K1334">
        <v>0</v>
      </c>
      <c r="L1334">
        <f t="shared" si="61"/>
        <v>31.450000000000003</v>
      </c>
      <c r="M1334" s="4">
        <f t="shared" si="62"/>
        <v>7.8625E-2</v>
      </c>
      <c r="N1334">
        <v>400</v>
      </c>
      <c r="O1334">
        <v>370</v>
      </c>
      <c r="P1334" t="s">
        <v>25</v>
      </c>
      <c r="Q1334" t="s">
        <v>26</v>
      </c>
      <c r="R1334" t="str">
        <f>IF(COUNTIF(Sheet2!B:B, A1334) &gt; 0, "Yes", "No")</f>
        <v>No</v>
      </c>
    </row>
    <row r="1335" spans="1:18" x14ac:dyDescent="0.25">
      <c r="A1335" s="3">
        <v>45288</v>
      </c>
      <c r="B1335" t="s">
        <v>405</v>
      </c>
      <c r="C1335" t="s">
        <v>66</v>
      </c>
      <c r="D1335" t="s">
        <v>20</v>
      </c>
      <c r="E1335" t="s">
        <v>67</v>
      </c>
      <c r="F1335" t="s">
        <v>27</v>
      </c>
      <c r="G1335" t="s">
        <v>28</v>
      </c>
      <c r="H1335" t="s">
        <v>156</v>
      </c>
      <c r="I1335">
        <v>0.11</v>
      </c>
      <c r="J1335">
        <f t="shared" si="60"/>
        <v>40.700000000000003</v>
      </c>
      <c r="K1335">
        <v>2.5</v>
      </c>
      <c r="L1335">
        <f t="shared" si="61"/>
        <v>38.200000000000003</v>
      </c>
      <c r="M1335" s="4">
        <f t="shared" si="62"/>
        <v>9.5500000000000002E-2</v>
      </c>
      <c r="N1335">
        <v>400</v>
      </c>
      <c r="O1335">
        <v>370</v>
      </c>
      <c r="P1335" t="s">
        <v>25</v>
      </c>
      <c r="Q1335" t="s">
        <v>26</v>
      </c>
      <c r="R1335" t="str">
        <f>IF(COUNTIF(Sheet2!B:B, A1335) &gt; 0, "Yes", "No")</f>
        <v>No</v>
      </c>
    </row>
    <row r="1336" spans="1:18" x14ac:dyDescent="0.25">
      <c r="A1336" s="3">
        <v>45288</v>
      </c>
      <c r="B1336" t="s">
        <v>405</v>
      </c>
      <c r="C1336" t="s">
        <v>66</v>
      </c>
      <c r="D1336" t="s">
        <v>20</v>
      </c>
      <c r="E1336" t="s">
        <v>67</v>
      </c>
      <c r="F1336" t="s">
        <v>30</v>
      </c>
      <c r="G1336" t="s">
        <v>55</v>
      </c>
      <c r="H1336" t="s">
        <v>97</v>
      </c>
      <c r="I1336">
        <v>0.09</v>
      </c>
      <c r="J1336">
        <f t="shared" si="60"/>
        <v>33.299999999999997</v>
      </c>
      <c r="K1336">
        <v>0</v>
      </c>
      <c r="L1336">
        <f t="shared" si="61"/>
        <v>33.299999999999997</v>
      </c>
      <c r="M1336" s="4">
        <f t="shared" si="62"/>
        <v>8.3249999999999991E-2</v>
      </c>
      <c r="N1336">
        <v>400</v>
      </c>
      <c r="O1336">
        <v>370</v>
      </c>
      <c r="P1336" t="s">
        <v>25</v>
      </c>
      <c r="Q1336" t="s">
        <v>26</v>
      </c>
      <c r="R1336" t="str">
        <f>IF(COUNTIF(Sheet2!B:B, A1336) &gt; 0, "Yes", "No")</f>
        <v>No</v>
      </c>
    </row>
    <row r="1337" spans="1:18" x14ac:dyDescent="0.25">
      <c r="A1337" s="3">
        <v>45288</v>
      </c>
      <c r="B1337" t="s">
        <v>405</v>
      </c>
      <c r="C1337" t="s">
        <v>66</v>
      </c>
      <c r="D1337" t="s">
        <v>20</v>
      </c>
      <c r="E1337" t="s">
        <v>67</v>
      </c>
      <c r="F1337" t="s">
        <v>37</v>
      </c>
      <c r="G1337" t="s">
        <v>108</v>
      </c>
      <c r="H1337" t="s">
        <v>266</v>
      </c>
      <c r="I1337">
        <v>3.5000000000000003E-2</v>
      </c>
      <c r="J1337">
        <f t="shared" si="60"/>
        <v>12.950000000000001</v>
      </c>
      <c r="K1337">
        <v>1.5</v>
      </c>
      <c r="L1337">
        <f t="shared" si="61"/>
        <v>11.450000000000001</v>
      </c>
      <c r="M1337" s="4">
        <f t="shared" si="62"/>
        <v>2.8625000000000001E-2</v>
      </c>
      <c r="N1337">
        <v>400</v>
      </c>
      <c r="O1337">
        <v>370</v>
      </c>
      <c r="P1337" t="s">
        <v>25</v>
      </c>
      <c r="Q1337" t="s">
        <v>26</v>
      </c>
      <c r="R1337" t="str">
        <f>IF(COUNTIF(Sheet2!B:B, A1337) &gt; 0, "Yes", "No")</f>
        <v>No</v>
      </c>
    </row>
    <row r="1338" spans="1:18" x14ac:dyDescent="0.25">
      <c r="A1338" s="3">
        <v>45288</v>
      </c>
      <c r="B1338" t="s">
        <v>405</v>
      </c>
      <c r="C1338" t="s">
        <v>66</v>
      </c>
      <c r="D1338" t="s">
        <v>20</v>
      </c>
      <c r="E1338" t="s">
        <v>67</v>
      </c>
      <c r="F1338" t="s">
        <v>40</v>
      </c>
      <c r="G1338" t="s">
        <v>164</v>
      </c>
      <c r="H1338" t="s">
        <v>202</v>
      </c>
      <c r="I1338">
        <v>0.05</v>
      </c>
      <c r="J1338">
        <f t="shared" si="60"/>
        <v>18.5</v>
      </c>
      <c r="K1338">
        <v>1</v>
      </c>
      <c r="L1338">
        <f t="shared" si="61"/>
        <v>17.5</v>
      </c>
      <c r="M1338" s="4">
        <f t="shared" si="62"/>
        <v>4.3749999999999997E-2</v>
      </c>
      <c r="N1338">
        <v>400</v>
      </c>
      <c r="O1338">
        <v>370</v>
      </c>
      <c r="P1338" t="s">
        <v>25</v>
      </c>
      <c r="Q1338" t="s">
        <v>26</v>
      </c>
      <c r="R1338" t="str">
        <f>IF(COUNTIF(Sheet2!B:B, A1338) &gt; 0, "Yes", "No")</f>
        <v>No</v>
      </c>
    </row>
    <row r="1339" spans="1:18" x14ac:dyDescent="0.25">
      <c r="A1339" s="3">
        <v>45288</v>
      </c>
      <c r="B1339" t="s">
        <v>405</v>
      </c>
      <c r="C1339" t="s">
        <v>66</v>
      </c>
      <c r="D1339" t="s">
        <v>20</v>
      </c>
      <c r="E1339" t="s">
        <v>67</v>
      </c>
      <c r="F1339" t="s">
        <v>43</v>
      </c>
      <c r="G1339" t="s">
        <v>252</v>
      </c>
      <c r="H1339" t="s">
        <v>253</v>
      </c>
      <c r="I1339">
        <v>0.11</v>
      </c>
      <c r="J1339">
        <f t="shared" si="60"/>
        <v>40.700000000000003</v>
      </c>
      <c r="K1339">
        <v>0</v>
      </c>
      <c r="L1339">
        <f t="shared" si="61"/>
        <v>40.700000000000003</v>
      </c>
      <c r="M1339" s="4">
        <f t="shared" si="62"/>
        <v>0.10175000000000001</v>
      </c>
      <c r="N1339">
        <v>400</v>
      </c>
      <c r="O1339">
        <v>370</v>
      </c>
      <c r="P1339" t="s">
        <v>25</v>
      </c>
      <c r="Q1339" t="s">
        <v>26</v>
      </c>
      <c r="R1339" t="str">
        <f>IF(COUNTIF(Sheet2!B:B, A1339) &gt; 0, "Yes", "No")</f>
        <v>No</v>
      </c>
    </row>
    <row r="1340" spans="1:18" x14ac:dyDescent="0.25">
      <c r="A1340" s="3">
        <v>45288</v>
      </c>
      <c r="B1340" t="s">
        <v>405</v>
      </c>
      <c r="C1340" t="s">
        <v>66</v>
      </c>
      <c r="D1340" t="s">
        <v>20</v>
      </c>
      <c r="E1340" t="s">
        <v>67</v>
      </c>
      <c r="F1340" t="s">
        <v>46</v>
      </c>
      <c r="G1340" t="s">
        <v>92</v>
      </c>
      <c r="H1340" t="s">
        <v>430</v>
      </c>
      <c r="I1340">
        <v>8.5000000000000006E-2</v>
      </c>
      <c r="J1340">
        <f t="shared" si="60"/>
        <v>31.450000000000003</v>
      </c>
      <c r="K1340">
        <v>0</v>
      </c>
      <c r="L1340">
        <f t="shared" si="61"/>
        <v>31.450000000000003</v>
      </c>
      <c r="M1340" s="4">
        <f t="shared" si="62"/>
        <v>7.8625E-2</v>
      </c>
      <c r="N1340">
        <v>400</v>
      </c>
      <c r="O1340">
        <v>370</v>
      </c>
      <c r="P1340" t="s">
        <v>25</v>
      </c>
      <c r="Q1340" t="s">
        <v>26</v>
      </c>
      <c r="R1340" t="str">
        <f>IF(COUNTIF(Sheet2!B:B, A1340) &gt; 0, "Yes", "No")</f>
        <v>No</v>
      </c>
    </row>
    <row r="1341" spans="1:18" x14ac:dyDescent="0.25">
      <c r="A1341" s="3">
        <v>45288</v>
      </c>
      <c r="B1341" t="s">
        <v>405</v>
      </c>
      <c r="C1341" t="s">
        <v>66</v>
      </c>
      <c r="D1341" t="s">
        <v>20</v>
      </c>
      <c r="E1341" t="s">
        <v>67</v>
      </c>
      <c r="F1341" t="s">
        <v>49</v>
      </c>
      <c r="G1341" t="s">
        <v>50</v>
      </c>
      <c r="H1341" t="s">
        <v>49</v>
      </c>
      <c r="I1341">
        <v>0.09</v>
      </c>
      <c r="J1341">
        <f t="shared" si="60"/>
        <v>33.299999999999997</v>
      </c>
      <c r="K1341">
        <v>0</v>
      </c>
      <c r="L1341">
        <f t="shared" si="61"/>
        <v>33.299999999999997</v>
      </c>
      <c r="M1341" s="4">
        <f t="shared" si="62"/>
        <v>8.3249999999999991E-2</v>
      </c>
      <c r="N1341">
        <v>400</v>
      </c>
      <c r="O1341">
        <v>370</v>
      </c>
      <c r="P1341" t="s">
        <v>25</v>
      </c>
      <c r="Q1341" t="s">
        <v>26</v>
      </c>
      <c r="R1341" t="str">
        <f>IF(COUNTIF(Sheet2!B:B, A1341) &gt; 0, "Yes", "No")</f>
        <v>No</v>
      </c>
    </row>
    <row r="1342" spans="1:18" x14ac:dyDescent="0.25">
      <c r="A1342" s="3">
        <v>45289</v>
      </c>
      <c r="B1342" t="s">
        <v>405</v>
      </c>
      <c r="C1342" t="s">
        <v>79</v>
      </c>
      <c r="D1342" t="s">
        <v>20</v>
      </c>
      <c r="E1342" t="s">
        <v>21</v>
      </c>
      <c r="F1342" t="s">
        <v>22</v>
      </c>
      <c r="G1342" t="s">
        <v>94</v>
      </c>
      <c r="H1342" t="s">
        <v>431</v>
      </c>
      <c r="I1342" s="5">
        <v>0.06</v>
      </c>
      <c r="J1342">
        <f t="shared" si="60"/>
        <v>22.2</v>
      </c>
      <c r="K1342">
        <v>3</v>
      </c>
      <c r="L1342">
        <f t="shared" si="61"/>
        <v>19.2</v>
      </c>
      <c r="M1342" s="4">
        <f t="shared" si="62"/>
        <v>4.8000000000000001E-2</v>
      </c>
      <c r="N1342">
        <v>400</v>
      </c>
      <c r="O1342">
        <v>370</v>
      </c>
      <c r="P1342" t="s">
        <v>25</v>
      </c>
      <c r="Q1342" t="s">
        <v>26</v>
      </c>
      <c r="R1342" t="str">
        <f>IF(COUNTIF(Sheet2!B:B, A1342) &gt; 0, "Yes", "No")</f>
        <v>Yes</v>
      </c>
    </row>
    <row r="1343" spans="1:18" x14ac:dyDescent="0.25">
      <c r="A1343" s="3">
        <v>45289</v>
      </c>
      <c r="B1343" t="s">
        <v>405</v>
      </c>
      <c r="C1343" t="s">
        <v>79</v>
      </c>
      <c r="D1343" t="s">
        <v>20</v>
      </c>
      <c r="E1343" t="s">
        <v>21</v>
      </c>
      <c r="F1343" t="s">
        <v>27</v>
      </c>
      <c r="G1343" t="s">
        <v>81</v>
      </c>
      <c r="H1343" t="s">
        <v>219</v>
      </c>
      <c r="I1343" s="5">
        <v>0.1</v>
      </c>
      <c r="J1343">
        <f t="shared" si="60"/>
        <v>37</v>
      </c>
      <c r="K1343">
        <v>3.5</v>
      </c>
      <c r="L1343">
        <f t="shared" si="61"/>
        <v>33.5</v>
      </c>
      <c r="M1343" s="4">
        <f t="shared" si="62"/>
        <v>8.3750000000000005E-2</v>
      </c>
      <c r="N1343">
        <v>400</v>
      </c>
      <c r="O1343">
        <v>370</v>
      </c>
      <c r="P1343" t="s">
        <v>25</v>
      </c>
      <c r="Q1343" t="s">
        <v>26</v>
      </c>
      <c r="R1343" t="str">
        <f>IF(COUNTIF(Sheet2!B:B, A1343) &gt; 0, "Yes", "No")</f>
        <v>Yes</v>
      </c>
    </row>
    <row r="1344" spans="1:18" x14ac:dyDescent="0.25">
      <c r="A1344" s="3">
        <v>45289</v>
      </c>
      <c r="B1344" t="s">
        <v>405</v>
      </c>
      <c r="C1344" t="s">
        <v>79</v>
      </c>
      <c r="D1344" t="s">
        <v>20</v>
      </c>
      <c r="E1344" t="s">
        <v>21</v>
      </c>
      <c r="F1344" t="s">
        <v>30</v>
      </c>
      <c r="G1344" t="s">
        <v>55</v>
      </c>
      <c r="H1344" t="s">
        <v>183</v>
      </c>
      <c r="I1344" s="5">
        <v>0.06</v>
      </c>
      <c r="J1344">
        <f t="shared" si="60"/>
        <v>22.2</v>
      </c>
      <c r="K1344">
        <v>2</v>
      </c>
      <c r="L1344">
        <f t="shared" si="61"/>
        <v>20.2</v>
      </c>
      <c r="M1344" s="4">
        <f t="shared" si="62"/>
        <v>5.0499999999999996E-2</v>
      </c>
      <c r="N1344">
        <v>400</v>
      </c>
      <c r="O1344">
        <v>370</v>
      </c>
      <c r="P1344" t="s">
        <v>25</v>
      </c>
      <c r="Q1344" t="s">
        <v>26</v>
      </c>
      <c r="R1344" t="str">
        <f>IF(COUNTIF(Sheet2!B:B, A1344) &gt; 0, "Yes", "No")</f>
        <v>Yes</v>
      </c>
    </row>
    <row r="1345" spans="1:18" x14ac:dyDescent="0.25">
      <c r="A1345" s="3">
        <v>45289</v>
      </c>
      <c r="B1345" t="s">
        <v>405</v>
      </c>
      <c r="C1345" t="s">
        <v>79</v>
      </c>
      <c r="D1345" t="s">
        <v>33</v>
      </c>
      <c r="E1345" t="s">
        <v>21</v>
      </c>
      <c r="F1345" t="s">
        <v>84</v>
      </c>
      <c r="G1345" t="s">
        <v>177</v>
      </c>
      <c r="H1345" t="s">
        <v>432</v>
      </c>
      <c r="I1345" s="5">
        <v>0.3</v>
      </c>
      <c r="J1345">
        <f t="shared" si="60"/>
        <v>77.7</v>
      </c>
      <c r="K1345">
        <v>2.5</v>
      </c>
      <c r="L1345">
        <f t="shared" si="61"/>
        <v>75.2</v>
      </c>
      <c r="M1345" s="4">
        <f t="shared" si="62"/>
        <v>0.26857142857142857</v>
      </c>
      <c r="N1345">
        <v>280</v>
      </c>
      <c r="O1345">
        <v>259</v>
      </c>
      <c r="P1345" t="s">
        <v>25</v>
      </c>
      <c r="Q1345" t="s">
        <v>26</v>
      </c>
      <c r="R1345" t="str">
        <f>IF(COUNTIF(Sheet2!B:B, A1345) &gt; 0, "Yes", "No")</f>
        <v>Yes</v>
      </c>
    </row>
    <row r="1346" spans="1:18" x14ac:dyDescent="0.25">
      <c r="A1346" s="3">
        <v>45289</v>
      </c>
      <c r="B1346" t="s">
        <v>405</v>
      </c>
      <c r="C1346" t="s">
        <v>79</v>
      </c>
      <c r="D1346" t="s">
        <v>20</v>
      </c>
      <c r="E1346" t="s">
        <v>21</v>
      </c>
      <c r="F1346" t="s">
        <v>37</v>
      </c>
      <c r="G1346" t="s">
        <v>71</v>
      </c>
      <c r="H1346" t="s">
        <v>151</v>
      </c>
      <c r="I1346" s="5">
        <v>2.5000000000000001E-2</v>
      </c>
      <c r="J1346">
        <f t="shared" si="60"/>
        <v>9.25</v>
      </c>
      <c r="K1346">
        <v>3</v>
      </c>
      <c r="L1346">
        <f t="shared" si="61"/>
        <v>6.25</v>
      </c>
      <c r="M1346" s="4">
        <f t="shared" si="62"/>
        <v>1.5625E-2</v>
      </c>
      <c r="N1346">
        <v>400</v>
      </c>
      <c r="O1346">
        <v>370</v>
      </c>
      <c r="P1346" t="s">
        <v>25</v>
      </c>
      <c r="Q1346" t="s">
        <v>26</v>
      </c>
      <c r="R1346" t="str">
        <f>IF(COUNTIF(Sheet2!B:B, A1346) &gt; 0, "Yes", "No")</f>
        <v>Yes</v>
      </c>
    </row>
    <row r="1347" spans="1:18" x14ac:dyDescent="0.25">
      <c r="A1347" s="3">
        <v>45289</v>
      </c>
      <c r="B1347" t="s">
        <v>405</v>
      </c>
      <c r="C1347" t="s">
        <v>79</v>
      </c>
      <c r="D1347" t="s">
        <v>20</v>
      </c>
      <c r="E1347" t="s">
        <v>21</v>
      </c>
      <c r="F1347" t="s">
        <v>40</v>
      </c>
      <c r="G1347" t="s">
        <v>164</v>
      </c>
      <c r="H1347" t="s">
        <v>433</v>
      </c>
      <c r="I1347" s="5">
        <v>0.04</v>
      </c>
      <c r="J1347">
        <f t="shared" ref="J1347:J1410" si="63">I1347*O1347</f>
        <v>14.8</v>
      </c>
      <c r="K1347">
        <v>4</v>
      </c>
      <c r="L1347">
        <f t="shared" ref="L1347:L1410" si="64">J1347-K1347</f>
        <v>10.8</v>
      </c>
      <c r="M1347" s="4">
        <f t="shared" ref="M1347:M1410" si="65">((I1347*O1347)-K1347)/N1347</f>
        <v>2.7000000000000003E-2</v>
      </c>
      <c r="N1347">
        <v>400</v>
      </c>
      <c r="O1347">
        <v>370</v>
      </c>
      <c r="P1347" t="s">
        <v>25</v>
      </c>
      <c r="Q1347" t="s">
        <v>26</v>
      </c>
      <c r="R1347" t="str">
        <f>IF(COUNTIF(Sheet2!B:B, A1347) &gt; 0, "Yes", "No")</f>
        <v>Yes</v>
      </c>
    </row>
    <row r="1348" spans="1:18" x14ac:dyDescent="0.25">
      <c r="A1348" s="3">
        <v>45289</v>
      </c>
      <c r="B1348" t="s">
        <v>405</v>
      </c>
      <c r="C1348" t="s">
        <v>79</v>
      </c>
      <c r="D1348" t="s">
        <v>20</v>
      </c>
      <c r="E1348" t="s">
        <v>21</v>
      </c>
      <c r="F1348" t="s">
        <v>43</v>
      </c>
      <c r="G1348" t="s">
        <v>90</v>
      </c>
      <c r="H1348" t="s">
        <v>281</v>
      </c>
      <c r="I1348" s="5">
        <v>7.4999999999999997E-2</v>
      </c>
      <c r="J1348">
        <f t="shared" si="63"/>
        <v>27.75</v>
      </c>
      <c r="K1348">
        <v>3</v>
      </c>
      <c r="L1348">
        <f t="shared" si="64"/>
        <v>24.75</v>
      </c>
      <c r="M1348" s="4">
        <f t="shared" si="65"/>
        <v>6.1874999999999999E-2</v>
      </c>
      <c r="N1348">
        <v>400</v>
      </c>
      <c r="O1348">
        <v>370</v>
      </c>
      <c r="P1348" t="s">
        <v>25</v>
      </c>
      <c r="Q1348" t="s">
        <v>26</v>
      </c>
      <c r="R1348" t="str">
        <f>IF(COUNTIF(Sheet2!B:B, A1348) &gt; 0, "Yes", "No")</f>
        <v>Yes</v>
      </c>
    </row>
    <row r="1349" spans="1:18" x14ac:dyDescent="0.25">
      <c r="A1349" s="3">
        <v>45289</v>
      </c>
      <c r="B1349" t="s">
        <v>405</v>
      </c>
      <c r="C1349" t="s">
        <v>79</v>
      </c>
      <c r="D1349" t="s">
        <v>20</v>
      </c>
      <c r="E1349" t="s">
        <v>21</v>
      </c>
      <c r="F1349" t="s">
        <v>46</v>
      </c>
      <c r="G1349" t="s">
        <v>47</v>
      </c>
      <c r="H1349" t="s">
        <v>78</v>
      </c>
      <c r="I1349" s="5">
        <v>5.5E-2</v>
      </c>
      <c r="J1349">
        <f t="shared" si="63"/>
        <v>20.350000000000001</v>
      </c>
      <c r="K1349">
        <v>1</v>
      </c>
      <c r="L1349">
        <f t="shared" si="64"/>
        <v>19.350000000000001</v>
      </c>
      <c r="M1349" s="4">
        <f t="shared" si="65"/>
        <v>4.8375000000000001E-2</v>
      </c>
      <c r="N1349">
        <v>400</v>
      </c>
      <c r="O1349">
        <v>370</v>
      </c>
      <c r="P1349" t="s">
        <v>25</v>
      </c>
      <c r="Q1349" t="s">
        <v>26</v>
      </c>
      <c r="R1349" t="str">
        <f>IF(COUNTIF(Sheet2!B:B, A1349) &gt; 0, "Yes", "No")</f>
        <v>Yes</v>
      </c>
    </row>
    <row r="1350" spans="1:18" x14ac:dyDescent="0.25">
      <c r="A1350" s="3">
        <v>45289</v>
      </c>
      <c r="B1350" t="s">
        <v>405</v>
      </c>
      <c r="C1350" t="s">
        <v>79</v>
      </c>
      <c r="D1350" t="s">
        <v>20</v>
      </c>
      <c r="E1350" t="s">
        <v>21</v>
      </c>
      <c r="F1350" t="s">
        <v>49</v>
      </c>
      <c r="G1350" t="s">
        <v>50</v>
      </c>
      <c r="H1350" t="s">
        <v>49</v>
      </c>
      <c r="I1350" s="5">
        <v>0.04</v>
      </c>
      <c r="J1350">
        <f t="shared" si="63"/>
        <v>14.8</v>
      </c>
      <c r="K1350">
        <v>3.5</v>
      </c>
      <c r="L1350">
        <f t="shared" si="64"/>
        <v>11.3</v>
      </c>
      <c r="M1350" s="4">
        <f t="shared" si="65"/>
        <v>2.8250000000000001E-2</v>
      </c>
      <c r="N1350">
        <v>400</v>
      </c>
      <c r="O1350">
        <v>370</v>
      </c>
      <c r="P1350" t="s">
        <v>25</v>
      </c>
      <c r="Q1350" t="s">
        <v>26</v>
      </c>
      <c r="R1350" t="str">
        <f>IF(COUNTIF(Sheet2!B:B, A1350) &gt; 0, "Yes", "No")</f>
        <v>Yes</v>
      </c>
    </row>
    <row r="1351" spans="1:18" x14ac:dyDescent="0.25">
      <c r="A1351" s="3">
        <v>45293</v>
      </c>
      <c r="B1351" t="s">
        <v>434</v>
      </c>
      <c r="C1351" t="s">
        <v>105</v>
      </c>
      <c r="D1351" t="s">
        <v>20</v>
      </c>
      <c r="E1351" t="s">
        <v>67</v>
      </c>
      <c r="F1351" t="s">
        <v>22</v>
      </c>
      <c r="G1351" t="s">
        <v>52</v>
      </c>
      <c r="H1351" t="s">
        <v>148</v>
      </c>
      <c r="I1351">
        <v>8.5000000000000006E-2</v>
      </c>
      <c r="J1351">
        <f t="shared" si="63"/>
        <v>51.000000000000007</v>
      </c>
      <c r="K1351">
        <v>2</v>
      </c>
      <c r="L1351">
        <f t="shared" si="64"/>
        <v>49.000000000000007</v>
      </c>
      <c r="M1351" s="4">
        <f t="shared" si="65"/>
        <v>7.5384615384615397E-2</v>
      </c>
      <c r="N1351">
        <v>650</v>
      </c>
      <c r="O1351">
        <v>600</v>
      </c>
      <c r="P1351" t="s">
        <v>322</v>
      </c>
      <c r="Q1351" t="s">
        <v>333</v>
      </c>
      <c r="R1351" t="str">
        <f>IF(COUNTIF(Sheet2!B:B, A1351) &gt; 0, "Yes", "No")</f>
        <v>No</v>
      </c>
    </row>
    <row r="1352" spans="1:18" x14ac:dyDescent="0.25">
      <c r="A1352" s="3">
        <v>45293</v>
      </c>
      <c r="B1352" t="s">
        <v>434</v>
      </c>
      <c r="C1352" t="s">
        <v>105</v>
      </c>
      <c r="D1352" t="s">
        <v>20</v>
      </c>
      <c r="E1352" t="s">
        <v>67</v>
      </c>
      <c r="F1352" t="s">
        <v>27</v>
      </c>
      <c r="G1352" t="s">
        <v>28</v>
      </c>
      <c r="H1352" t="s">
        <v>156</v>
      </c>
      <c r="I1352">
        <v>0.11</v>
      </c>
      <c r="J1352">
        <f t="shared" si="63"/>
        <v>66</v>
      </c>
      <c r="K1352">
        <v>3</v>
      </c>
      <c r="L1352">
        <f t="shared" si="64"/>
        <v>63</v>
      </c>
      <c r="M1352" s="4">
        <f t="shared" si="65"/>
        <v>9.6923076923076917E-2</v>
      </c>
      <c r="N1352">
        <v>650</v>
      </c>
      <c r="O1352">
        <v>600</v>
      </c>
      <c r="P1352" t="s">
        <v>322</v>
      </c>
      <c r="Q1352" t="s">
        <v>333</v>
      </c>
      <c r="R1352" t="str">
        <f>IF(COUNTIF(Sheet2!B:B, A1352) &gt; 0, "Yes", "No")</f>
        <v>No</v>
      </c>
    </row>
    <row r="1353" spans="1:18" x14ac:dyDescent="0.25">
      <c r="A1353" s="3">
        <v>45293</v>
      </c>
      <c r="B1353" t="s">
        <v>434</v>
      </c>
      <c r="C1353" t="s">
        <v>105</v>
      </c>
      <c r="D1353" t="s">
        <v>20</v>
      </c>
      <c r="E1353" t="s">
        <v>67</v>
      </c>
      <c r="F1353" t="s">
        <v>30</v>
      </c>
      <c r="G1353" t="s">
        <v>55</v>
      </c>
      <c r="H1353" t="s">
        <v>125</v>
      </c>
      <c r="I1353">
        <v>0.09</v>
      </c>
      <c r="J1353">
        <f t="shared" si="63"/>
        <v>54</v>
      </c>
      <c r="K1353">
        <v>0</v>
      </c>
      <c r="L1353">
        <f t="shared" si="64"/>
        <v>54</v>
      </c>
      <c r="M1353" s="4">
        <f t="shared" si="65"/>
        <v>8.3076923076923076E-2</v>
      </c>
      <c r="N1353">
        <v>650</v>
      </c>
      <c r="O1353">
        <v>600</v>
      </c>
      <c r="P1353" t="s">
        <v>322</v>
      </c>
      <c r="Q1353" t="s">
        <v>333</v>
      </c>
      <c r="R1353" t="str">
        <f>IF(COUNTIF(Sheet2!B:B, A1353) &gt; 0, "Yes", "No")</f>
        <v>No</v>
      </c>
    </row>
    <row r="1354" spans="1:18" x14ac:dyDescent="0.25">
      <c r="A1354" s="3">
        <v>45293</v>
      </c>
      <c r="B1354" t="s">
        <v>434</v>
      </c>
      <c r="C1354" t="s">
        <v>105</v>
      </c>
      <c r="D1354" t="s">
        <v>20</v>
      </c>
      <c r="E1354" t="s">
        <v>67</v>
      </c>
      <c r="F1354" t="s">
        <v>37</v>
      </c>
      <c r="G1354" t="s">
        <v>87</v>
      </c>
      <c r="H1354" t="s">
        <v>88</v>
      </c>
      <c r="I1354">
        <v>3.5000000000000003E-2</v>
      </c>
      <c r="J1354">
        <f t="shared" si="63"/>
        <v>21.000000000000004</v>
      </c>
      <c r="K1354">
        <v>0</v>
      </c>
      <c r="L1354">
        <f t="shared" si="64"/>
        <v>21.000000000000004</v>
      </c>
      <c r="M1354" s="4">
        <f t="shared" si="65"/>
        <v>3.2307692307692315E-2</v>
      </c>
      <c r="N1354">
        <v>650</v>
      </c>
      <c r="O1354">
        <v>600</v>
      </c>
      <c r="P1354" t="s">
        <v>322</v>
      </c>
      <c r="Q1354" t="s">
        <v>333</v>
      </c>
      <c r="R1354" t="str">
        <f>IF(COUNTIF(Sheet2!B:B, A1354) &gt; 0, "Yes", "No")</f>
        <v>No</v>
      </c>
    </row>
    <row r="1355" spans="1:18" x14ac:dyDescent="0.25">
      <c r="A1355" s="3">
        <v>45293</v>
      </c>
      <c r="B1355" t="s">
        <v>434</v>
      </c>
      <c r="C1355" t="s">
        <v>105</v>
      </c>
      <c r="D1355" t="s">
        <v>20</v>
      </c>
      <c r="E1355" t="s">
        <v>67</v>
      </c>
      <c r="F1355" t="s">
        <v>40</v>
      </c>
      <c r="G1355" t="s">
        <v>137</v>
      </c>
      <c r="H1355" t="s">
        <v>138</v>
      </c>
      <c r="I1355">
        <v>0.05</v>
      </c>
      <c r="J1355">
        <f t="shared" si="63"/>
        <v>30</v>
      </c>
      <c r="K1355">
        <v>0</v>
      </c>
      <c r="L1355">
        <f t="shared" si="64"/>
        <v>30</v>
      </c>
      <c r="M1355" s="4">
        <f t="shared" si="65"/>
        <v>4.6153846153846156E-2</v>
      </c>
      <c r="N1355">
        <v>650</v>
      </c>
      <c r="O1355">
        <v>600</v>
      </c>
      <c r="P1355" t="s">
        <v>322</v>
      </c>
      <c r="Q1355" t="s">
        <v>333</v>
      </c>
      <c r="R1355" t="str">
        <f>IF(COUNTIF(Sheet2!B:B, A1355) &gt; 0, "Yes", "No")</f>
        <v>No</v>
      </c>
    </row>
    <row r="1356" spans="1:18" x14ac:dyDescent="0.25">
      <c r="A1356" s="3">
        <v>45293</v>
      </c>
      <c r="B1356" t="s">
        <v>434</v>
      </c>
      <c r="C1356" t="s">
        <v>105</v>
      </c>
      <c r="D1356" t="s">
        <v>20</v>
      </c>
      <c r="E1356" t="s">
        <v>67</v>
      </c>
      <c r="F1356" t="s">
        <v>43</v>
      </c>
      <c r="G1356" t="s">
        <v>44</v>
      </c>
      <c r="H1356" t="s">
        <v>435</v>
      </c>
      <c r="I1356">
        <v>0.11</v>
      </c>
      <c r="J1356">
        <f t="shared" si="63"/>
        <v>66</v>
      </c>
      <c r="K1356">
        <v>0</v>
      </c>
      <c r="L1356">
        <f t="shared" si="64"/>
        <v>66</v>
      </c>
      <c r="M1356" s="4">
        <f t="shared" si="65"/>
        <v>0.10153846153846154</v>
      </c>
      <c r="N1356">
        <v>650</v>
      </c>
      <c r="O1356">
        <v>600</v>
      </c>
      <c r="P1356" t="s">
        <v>322</v>
      </c>
      <c r="Q1356" t="s">
        <v>333</v>
      </c>
      <c r="R1356" t="str">
        <f>IF(COUNTIF(Sheet2!B:B, A1356) &gt; 0, "Yes", "No")</f>
        <v>No</v>
      </c>
    </row>
    <row r="1357" spans="1:18" x14ac:dyDescent="0.25">
      <c r="A1357" s="3">
        <v>45293</v>
      </c>
      <c r="B1357" t="s">
        <v>434</v>
      </c>
      <c r="C1357" t="s">
        <v>105</v>
      </c>
      <c r="D1357" t="s">
        <v>20</v>
      </c>
      <c r="E1357" t="s">
        <v>67</v>
      </c>
      <c r="F1357" t="s">
        <v>46</v>
      </c>
      <c r="G1357" t="s">
        <v>47</v>
      </c>
      <c r="H1357" t="s">
        <v>436</v>
      </c>
      <c r="I1357">
        <v>8.5000000000000006E-2</v>
      </c>
      <c r="J1357">
        <f t="shared" si="63"/>
        <v>51.000000000000007</v>
      </c>
      <c r="K1357">
        <v>0</v>
      </c>
      <c r="L1357">
        <f t="shared" si="64"/>
        <v>51.000000000000007</v>
      </c>
      <c r="M1357" s="4">
        <f t="shared" si="65"/>
        <v>7.8461538461538471E-2</v>
      </c>
      <c r="N1357">
        <v>650</v>
      </c>
      <c r="O1357">
        <v>600</v>
      </c>
      <c r="P1357" t="s">
        <v>322</v>
      </c>
      <c r="Q1357" t="s">
        <v>333</v>
      </c>
      <c r="R1357" t="str">
        <f>IF(COUNTIF(Sheet2!B:B, A1357) &gt; 0, "Yes", "No")</f>
        <v>No</v>
      </c>
    </row>
    <row r="1358" spans="1:18" x14ac:dyDescent="0.25">
      <c r="A1358" s="3">
        <v>45293</v>
      </c>
      <c r="B1358" t="s">
        <v>434</v>
      </c>
      <c r="C1358" t="s">
        <v>105</v>
      </c>
      <c r="D1358" t="s">
        <v>20</v>
      </c>
      <c r="E1358" t="s">
        <v>67</v>
      </c>
      <c r="F1358" t="s">
        <v>49</v>
      </c>
      <c r="G1358" t="s">
        <v>50</v>
      </c>
      <c r="H1358" t="s">
        <v>49</v>
      </c>
      <c r="I1358">
        <v>0.09</v>
      </c>
      <c r="J1358">
        <f t="shared" si="63"/>
        <v>54</v>
      </c>
      <c r="K1358">
        <v>1</v>
      </c>
      <c r="L1358">
        <f t="shared" si="64"/>
        <v>53</v>
      </c>
      <c r="M1358" s="4">
        <f t="shared" si="65"/>
        <v>8.1538461538461532E-2</v>
      </c>
      <c r="N1358">
        <v>650</v>
      </c>
      <c r="O1358">
        <v>600</v>
      </c>
      <c r="P1358" t="s">
        <v>322</v>
      </c>
      <c r="Q1358" t="s">
        <v>333</v>
      </c>
      <c r="R1358" t="str">
        <f>IF(COUNTIF(Sheet2!B:B, A1358) &gt; 0, "Yes", "No")</f>
        <v>No</v>
      </c>
    </row>
    <row r="1359" spans="1:18" x14ac:dyDescent="0.25">
      <c r="A1359" s="3">
        <v>45294</v>
      </c>
      <c r="B1359" t="s">
        <v>434</v>
      </c>
      <c r="C1359" t="s">
        <v>51</v>
      </c>
      <c r="D1359" t="s">
        <v>20</v>
      </c>
      <c r="E1359" t="s">
        <v>21</v>
      </c>
      <c r="F1359" t="s">
        <v>22</v>
      </c>
      <c r="G1359" t="s">
        <v>94</v>
      </c>
      <c r="H1359" t="s">
        <v>95</v>
      </c>
      <c r="I1359">
        <v>8.5000000000000006E-2</v>
      </c>
      <c r="J1359">
        <f t="shared" si="63"/>
        <v>59.500000000000007</v>
      </c>
      <c r="K1359">
        <v>0</v>
      </c>
      <c r="L1359">
        <f t="shared" si="64"/>
        <v>59.500000000000007</v>
      </c>
      <c r="M1359" s="4">
        <f t="shared" si="65"/>
        <v>7.9333333333333339E-2</v>
      </c>
      <c r="N1359">
        <v>750</v>
      </c>
      <c r="O1359">
        <v>700</v>
      </c>
      <c r="P1359" t="s">
        <v>25</v>
      </c>
      <c r="Q1359" t="s">
        <v>26</v>
      </c>
      <c r="R1359" t="str">
        <f>IF(COUNTIF(Sheet2!B:B, A1359) &gt; 0, "Yes", "No")</f>
        <v>No</v>
      </c>
    </row>
    <row r="1360" spans="1:18" x14ac:dyDescent="0.25">
      <c r="A1360" s="3">
        <v>45294</v>
      </c>
      <c r="B1360" t="s">
        <v>434</v>
      </c>
      <c r="C1360" t="s">
        <v>51</v>
      </c>
      <c r="D1360" t="s">
        <v>20</v>
      </c>
      <c r="E1360" t="s">
        <v>21</v>
      </c>
      <c r="F1360" t="s">
        <v>27</v>
      </c>
      <c r="G1360" t="s">
        <v>28</v>
      </c>
      <c r="H1360" t="s">
        <v>313</v>
      </c>
      <c r="I1360">
        <v>0.11</v>
      </c>
      <c r="J1360">
        <f t="shared" si="63"/>
        <v>77</v>
      </c>
      <c r="K1360">
        <v>3</v>
      </c>
      <c r="L1360">
        <f t="shared" si="64"/>
        <v>74</v>
      </c>
      <c r="M1360" s="4">
        <f t="shared" si="65"/>
        <v>9.8666666666666666E-2</v>
      </c>
      <c r="N1360">
        <v>750</v>
      </c>
      <c r="O1360">
        <v>700</v>
      </c>
      <c r="P1360" t="s">
        <v>25</v>
      </c>
      <c r="Q1360" t="s">
        <v>26</v>
      </c>
      <c r="R1360" t="str">
        <f>IF(COUNTIF(Sheet2!B:B, A1360) &gt; 0, "Yes", "No")</f>
        <v>No</v>
      </c>
    </row>
    <row r="1361" spans="1:18" x14ac:dyDescent="0.25">
      <c r="A1361" s="3">
        <v>45294</v>
      </c>
      <c r="B1361" t="s">
        <v>434</v>
      </c>
      <c r="C1361" t="s">
        <v>51</v>
      </c>
      <c r="D1361" t="s">
        <v>20</v>
      </c>
      <c r="E1361" t="s">
        <v>21</v>
      </c>
      <c r="F1361" t="s">
        <v>30</v>
      </c>
      <c r="G1361" t="s">
        <v>55</v>
      </c>
      <c r="H1361" t="s">
        <v>183</v>
      </c>
      <c r="I1361">
        <v>0.09</v>
      </c>
      <c r="J1361">
        <f t="shared" si="63"/>
        <v>63</v>
      </c>
      <c r="K1361">
        <v>0</v>
      </c>
      <c r="L1361">
        <f t="shared" si="64"/>
        <v>63</v>
      </c>
      <c r="M1361" s="4">
        <f t="shared" si="65"/>
        <v>8.4000000000000005E-2</v>
      </c>
      <c r="N1361">
        <v>750</v>
      </c>
      <c r="O1361">
        <v>700</v>
      </c>
      <c r="P1361" t="s">
        <v>25</v>
      </c>
      <c r="Q1361" t="s">
        <v>26</v>
      </c>
      <c r="R1361" t="str">
        <f>IF(COUNTIF(Sheet2!B:B, A1361) &gt; 0, "Yes", "No")</f>
        <v>No</v>
      </c>
    </row>
    <row r="1362" spans="1:18" x14ac:dyDescent="0.25">
      <c r="A1362" s="3">
        <v>45294</v>
      </c>
      <c r="B1362" t="s">
        <v>434</v>
      </c>
      <c r="C1362" t="s">
        <v>51</v>
      </c>
      <c r="D1362" t="s">
        <v>33</v>
      </c>
      <c r="E1362" t="s">
        <v>21</v>
      </c>
      <c r="F1362" t="s">
        <v>34</v>
      </c>
      <c r="G1362" t="s">
        <v>57</v>
      </c>
      <c r="H1362" t="s">
        <v>314</v>
      </c>
      <c r="I1362">
        <v>0.15</v>
      </c>
      <c r="J1362">
        <f t="shared" si="63"/>
        <v>73.5</v>
      </c>
      <c r="K1362">
        <v>0</v>
      </c>
      <c r="L1362">
        <f t="shared" si="64"/>
        <v>73.5</v>
      </c>
      <c r="M1362" s="4">
        <f t="shared" si="65"/>
        <v>0.14000000000000001</v>
      </c>
      <c r="N1362">
        <v>525</v>
      </c>
      <c r="O1362">
        <v>490</v>
      </c>
      <c r="P1362" t="s">
        <v>25</v>
      </c>
      <c r="Q1362" t="s">
        <v>26</v>
      </c>
      <c r="R1362" t="str">
        <f>IF(COUNTIF(Sheet2!B:B, A1362) &gt; 0, "Yes", "No")</f>
        <v>No</v>
      </c>
    </row>
    <row r="1363" spans="1:18" x14ac:dyDescent="0.25">
      <c r="A1363" s="3">
        <v>45294</v>
      </c>
      <c r="B1363" t="s">
        <v>434</v>
      </c>
      <c r="C1363" t="s">
        <v>51</v>
      </c>
      <c r="D1363" t="s">
        <v>20</v>
      </c>
      <c r="E1363" t="s">
        <v>21</v>
      </c>
      <c r="F1363" t="s">
        <v>37</v>
      </c>
      <c r="G1363" t="s">
        <v>71</v>
      </c>
      <c r="H1363" t="s">
        <v>315</v>
      </c>
      <c r="I1363">
        <v>0.03</v>
      </c>
      <c r="J1363">
        <f t="shared" si="63"/>
        <v>21</v>
      </c>
      <c r="K1363">
        <v>0</v>
      </c>
      <c r="L1363">
        <f t="shared" si="64"/>
        <v>21</v>
      </c>
      <c r="M1363" s="4">
        <f t="shared" si="65"/>
        <v>2.8000000000000001E-2</v>
      </c>
      <c r="N1363">
        <v>750</v>
      </c>
      <c r="O1363">
        <v>700</v>
      </c>
      <c r="P1363" t="s">
        <v>25</v>
      </c>
      <c r="Q1363" t="s">
        <v>26</v>
      </c>
      <c r="R1363" t="str">
        <f>IF(COUNTIF(Sheet2!B:B, A1363) &gt; 0, "Yes", "No")</f>
        <v>No</v>
      </c>
    </row>
    <row r="1364" spans="1:18" x14ac:dyDescent="0.25">
      <c r="A1364" s="3">
        <v>45294</v>
      </c>
      <c r="B1364" t="s">
        <v>434</v>
      </c>
      <c r="C1364" t="s">
        <v>51</v>
      </c>
      <c r="D1364" t="s">
        <v>20</v>
      </c>
      <c r="E1364" t="s">
        <v>21</v>
      </c>
      <c r="F1364" t="s">
        <v>40</v>
      </c>
      <c r="G1364" t="s">
        <v>137</v>
      </c>
      <c r="H1364" t="s">
        <v>251</v>
      </c>
      <c r="I1364">
        <v>4.4999999999999998E-2</v>
      </c>
      <c r="J1364">
        <f t="shared" si="63"/>
        <v>31.5</v>
      </c>
      <c r="K1364">
        <v>0</v>
      </c>
      <c r="L1364">
        <f t="shared" si="64"/>
        <v>31.5</v>
      </c>
      <c r="M1364" s="4">
        <f t="shared" si="65"/>
        <v>4.2000000000000003E-2</v>
      </c>
      <c r="N1364">
        <v>750</v>
      </c>
      <c r="O1364">
        <v>700</v>
      </c>
      <c r="P1364" t="s">
        <v>25</v>
      </c>
      <c r="Q1364" t="s">
        <v>26</v>
      </c>
      <c r="R1364" t="str">
        <f>IF(COUNTIF(Sheet2!B:B, A1364) &gt; 0, "Yes", "No")</f>
        <v>No</v>
      </c>
    </row>
    <row r="1365" spans="1:18" x14ac:dyDescent="0.25">
      <c r="A1365" s="3">
        <v>45294</v>
      </c>
      <c r="B1365" t="s">
        <v>434</v>
      </c>
      <c r="C1365" t="s">
        <v>51</v>
      </c>
      <c r="D1365" t="s">
        <v>20</v>
      </c>
      <c r="E1365" t="s">
        <v>21</v>
      </c>
      <c r="F1365" t="s">
        <v>43</v>
      </c>
      <c r="G1365" t="s">
        <v>44</v>
      </c>
      <c r="H1365" t="s">
        <v>293</v>
      </c>
      <c r="I1365">
        <v>0.11</v>
      </c>
      <c r="J1365">
        <f t="shared" si="63"/>
        <v>77</v>
      </c>
      <c r="K1365">
        <v>0</v>
      </c>
      <c r="L1365">
        <f t="shared" si="64"/>
        <v>77</v>
      </c>
      <c r="M1365" s="4">
        <f t="shared" si="65"/>
        <v>0.10266666666666667</v>
      </c>
      <c r="N1365">
        <v>750</v>
      </c>
      <c r="O1365">
        <v>700</v>
      </c>
      <c r="P1365" t="s">
        <v>25</v>
      </c>
      <c r="Q1365" t="s">
        <v>26</v>
      </c>
      <c r="R1365" t="str">
        <f>IF(COUNTIF(Sheet2!B:B, A1365) &gt; 0, "Yes", "No")</f>
        <v>No</v>
      </c>
    </row>
    <row r="1366" spans="1:18" x14ac:dyDescent="0.25">
      <c r="A1366" s="3">
        <v>45294</v>
      </c>
      <c r="B1366" t="s">
        <v>434</v>
      </c>
      <c r="C1366" t="s">
        <v>51</v>
      </c>
      <c r="D1366" t="s">
        <v>20</v>
      </c>
      <c r="E1366" t="s">
        <v>21</v>
      </c>
      <c r="F1366" t="s">
        <v>46</v>
      </c>
      <c r="G1366" t="s">
        <v>47</v>
      </c>
      <c r="H1366" t="s">
        <v>228</v>
      </c>
      <c r="I1366">
        <v>8.5000000000000006E-2</v>
      </c>
      <c r="J1366">
        <f t="shared" si="63"/>
        <v>59.500000000000007</v>
      </c>
      <c r="K1366">
        <v>6</v>
      </c>
      <c r="L1366">
        <f t="shared" si="64"/>
        <v>53.500000000000007</v>
      </c>
      <c r="M1366" s="4">
        <f t="shared" si="65"/>
        <v>7.1333333333333346E-2</v>
      </c>
      <c r="N1366">
        <v>750</v>
      </c>
      <c r="O1366">
        <v>700</v>
      </c>
      <c r="P1366" t="s">
        <v>25</v>
      </c>
      <c r="Q1366" t="s">
        <v>26</v>
      </c>
      <c r="R1366" t="str">
        <f>IF(COUNTIF(Sheet2!B:B, A1366) &gt; 0, "Yes", "No")</f>
        <v>No</v>
      </c>
    </row>
    <row r="1367" spans="1:18" x14ac:dyDescent="0.25">
      <c r="A1367" s="3">
        <v>45294</v>
      </c>
      <c r="B1367" t="s">
        <v>434</v>
      </c>
      <c r="C1367" t="s">
        <v>51</v>
      </c>
      <c r="D1367" t="s">
        <v>20</v>
      </c>
      <c r="E1367" t="s">
        <v>21</v>
      </c>
      <c r="F1367" t="s">
        <v>49</v>
      </c>
      <c r="G1367" t="s">
        <v>50</v>
      </c>
      <c r="H1367" t="s">
        <v>49</v>
      </c>
      <c r="I1367">
        <v>0.09</v>
      </c>
      <c r="J1367">
        <f t="shared" si="63"/>
        <v>63</v>
      </c>
      <c r="K1367">
        <v>0</v>
      </c>
      <c r="L1367">
        <f t="shared" si="64"/>
        <v>63</v>
      </c>
      <c r="M1367" s="4">
        <f t="shared" si="65"/>
        <v>8.4000000000000005E-2</v>
      </c>
      <c r="N1367">
        <v>750</v>
      </c>
      <c r="O1367">
        <v>700</v>
      </c>
      <c r="P1367" t="s">
        <v>25</v>
      </c>
      <c r="Q1367" t="s">
        <v>26</v>
      </c>
      <c r="R1367" t="str">
        <f>IF(COUNTIF(Sheet2!B:B, A1367) &gt; 0, "Yes", "No")</f>
        <v>No</v>
      </c>
    </row>
    <row r="1368" spans="1:18" x14ac:dyDescent="0.25">
      <c r="A1368" s="3">
        <v>45295</v>
      </c>
      <c r="B1368" t="s">
        <v>434</v>
      </c>
      <c r="C1368" t="s">
        <v>66</v>
      </c>
      <c r="D1368" t="s">
        <v>20</v>
      </c>
      <c r="E1368" t="s">
        <v>67</v>
      </c>
      <c r="F1368" t="s">
        <v>22</v>
      </c>
      <c r="G1368" t="s">
        <v>122</v>
      </c>
      <c r="H1368" t="s">
        <v>437</v>
      </c>
      <c r="I1368">
        <v>8.5000000000000006E-2</v>
      </c>
      <c r="J1368">
        <f t="shared" si="63"/>
        <v>54.400000000000006</v>
      </c>
      <c r="K1368">
        <v>0</v>
      </c>
      <c r="L1368">
        <f t="shared" si="64"/>
        <v>54.400000000000006</v>
      </c>
      <c r="M1368" s="4">
        <f t="shared" si="65"/>
        <v>7.7714285714285722E-2</v>
      </c>
      <c r="N1368">
        <v>700</v>
      </c>
      <c r="O1368">
        <v>640</v>
      </c>
      <c r="P1368" t="s">
        <v>25</v>
      </c>
      <c r="Q1368" t="s">
        <v>26</v>
      </c>
      <c r="R1368" t="str">
        <f>IF(COUNTIF(Sheet2!B:B, A1368) &gt; 0, "Yes", "No")</f>
        <v>No</v>
      </c>
    </row>
    <row r="1369" spans="1:18" x14ac:dyDescent="0.25">
      <c r="A1369" s="3">
        <v>45295</v>
      </c>
      <c r="B1369" t="s">
        <v>434</v>
      </c>
      <c r="C1369" t="s">
        <v>66</v>
      </c>
      <c r="D1369" t="s">
        <v>20</v>
      </c>
      <c r="E1369" t="s">
        <v>67</v>
      </c>
      <c r="F1369" t="s">
        <v>27</v>
      </c>
      <c r="G1369" t="s">
        <v>28</v>
      </c>
      <c r="H1369" t="s">
        <v>317</v>
      </c>
      <c r="I1369">
        <v>0.11</v>
      </c>
      <c r="J1369">
        <f t="shared" si="63"/>
        <v>70.400000000000006</v>
      </c>
      <c r="K1369">
        <v>0</v>
      </c>
      <c r="L1369">
        <f t="shared" si="64"/>
        <v>70.400000000000006</v>
      </c>
      <c r="M1369" s="4">
        <f t="shared" si="65"/>
        <v>0.10057142857142858</v>
      </c>
      <c r="N1369">
        <v>700</v>
      </c>
      <c r="O1369">
        <v>640</v>
      </c>
      <c r="P1369" t="s">
        <v>25</v>
      </c>
      <c r="Q1369" t="s">
        <v>26</v>
      </c>
      <c r="R1369" t="str">
        <f>IF(COUNTIF(Sheet2!B:B, A1369) &gt; 0, "Yes", "No")</f>
        <v>No</v>
      </c>
    </row>
    <row r="1370" spans="1:18" x14ac:dyDescent="0.25">
      <c r="A1370" s="3">
        <v>45295</v>
      </c>
      <c r="B1370" t="s">
        <v>434</v>
      </c>
      <c r="C1370" t="s">
        <v>66</v>
      </c>
      <c r="D1370" t="s">
        <v>20</v>
      </c>
      <c r="E1370" t="s">
        <v>67</v>
      </c>
      <c r="F1370" t="s">
        <v>30</v>
      </c>
      <c r="G1370" t="s">
        <v>31</v>
      </c>
      <c r="H1370" t="s">
        <v>70</v>
      </c>
      <c r="I1370">
        <v>0.09</v>
      </c>
      <c r="J1370">
        <f t="shared" si="63"/>
        <v>57.599999999999994</v>
      </c>
      <c r="K1370">
        <v>0</v>
      </c>
      <c r="L1370">
        <f t="shared" si="64"/>
        <v>57.599999999999994</v>
      </c>
      <c r="M1370" s="4">
        <f t="shared" si="65"/>
        <v>8.2285714285714281E-2</v>
      </c>
      <c r="N1370">
        <v>700</v>
      </c>
      <c r="O1370">
        <v>640</v>
      </c>
      <c r="P1370" t="s">
        <v>25</v>
      </c>
      <c r="Q1370" t="s">
        <v>26</v>
      </c>
      <c r="R1370" t="str">
        <f>IF(COUNTIF(Sheet2!B:B, A1370) &gt; 0, "Yes", "No")</f>
        <v>No</v>
      </c>
    </row>
    <row r="1371" spans="1:18" x14ac:dyDescent="0.25">
      <c r="A1371" s="3">
        <v>45295</v>
      </c>
      <c r="B1371" t="s">
        <v>434</v>
      </c>
      <c r="C1371" t="s">
        <v>66</v>
      </c>
      <c r="D1371" t="s">
        <v>20</v>
      </c>
      <c r="E1371" t="s">
        <v>67</v>
      </c>
      <c r="F1371" t="s">
        <v>37</v>
      </c>
      <c r="G1371" t="s">
        <v>87</v>
      </c>
      <c r="H1371" t="s">
        <v>136</v>
      </c>
      <c r="I1371">
        <v>3.5000000000000003E-2</v>
      </c>
      <c r="J1371">
        <f t="shared" si="63"/>
        <v>22.400000000000002</v>
      </c>
      <c r="K1371">
        <v>0</v>
      </c>
      <c r="L1371">
        <f t="shared" si="64"/>
        <v>22.400000000000002</v>
      </c>
      <c r="M1371" s="4">
        <f t="shared" si="65"/>
        <v>3.2000000000000001E-2</v>
      </c>
      <c r="N1371">
        <v>700</v>
      </c>
      <c r="O1371">
        <v>640</v>
      </c>
      <c r="P1371" t="s">
        <v>25</v>
      </c>
      <c r="Q1371" t="s">
        <v>26</v>
      </c>
      <c r="R1371" t="str">
        <f>IF(COUNTIF(Sheet2!B:B, A1371) &gt; 0, "Yes", "No")</f>
        <v>No</v>
      </c>
    </row>
    <row r="1372" spans="1:18" x14ac:dyDescent="0.25">
      <c r="A1372" s="3">
        <v>45295</v>
      </c>
      <c r="B1372" t="s">
        <v>434</v>
      </c>
      <c r="C1372" t="s">
        <v>66</v>
      </c>
      <c r="D1372" t="s">
        <v>20</v>
      </c>
      <c r="E1372" t="s">
        <v>67</v>
      </c>
      <c r="F1372" t="s">
        <v>40</v>
      </c>
      <c r="G1372" t="s">
        <v>157</v>
      </c>
      <c r="H1372" t="s">
        <v>221</v>
      </c>
      <c r="I1372">
        <v>0.05</v>
      </c>
      <c r="J1372">
        <f t="shared" si="63"/>
        <v>32</v>
      </c>
      <c r="K1372">
        <v>0</v>
      </c>
      <c r="L1372">
        <f t="shared" si="64"/>
        <v>32</v>
      </c>
      <c r="M1372" s="4">
        <f t="shared" si="65"/>
        <v>4.5714285714285714E-2</v>
      </c>
      <c r="N1372">
        <v>700</v>
      </c>
      <c r="O1372">
        <v>640</v>
      </c>
      <c r="P1372" t="s">
        <v>25</v>
      </c>
      <c r="Q1372" t="s">
        <v>26</v>
      </c>
      <c r="R1372" t="str">
        <f>IF(COUNTIF(Sheet2!B:B, A1372) &gt; 0, "Yes", "No")</f>
        <v>No</v>
      </c>
    </row>
    <row r="1373" spans="1:18" x14ac:dyDescent="0.25">
      <c r="A1373" s="3">
        <v>45295</v>
      </c>
      <c r="B1373" t="s">
        <v>434</v>
      </c>
      <c r="C1373" t="s">
        <v>66</v>
      </c>
      <c r="D1373" t="s">
        <v>20</v>
      </c>
      <c r="E1373" t="s">
        <v>67</v>
      </c>
      <c r="F1373" t="s">
        <v>43</v>
      </c>
      <c r="G1373" t="s">
        <v>288</v>
      </c>
      <c r="H1373" t="s">
        <v>289</v>
      </c>
      <c r="I1373">
        <v>0.11</v>
      </c>
      <c r="J1373">
        <f t="shared" si="63"/>
        <v>70.400000000000006</v>
      </c>
      <c r="K1373">
        <v>0</v>
      </c>
      <c r="L1373">
        <f t="shared" si="64"/>
        <v>70.400000000000006</v>
      </c>
      <c r="M1373" s="4">
        <f t="shared" si="65"/>
        <v>0.10057142857142858</v>
      </c>
      <c r="N1373">
        <v>700</v>
      </c>
      <c r="O1373">
        <v>640</v>
      </c>
      <c r="P1373" t="s">
        <v>25</v>
      </c>
      <c r="Q1373" t="s">
        <v>26</v>
      </c>
      <c r="R1373" t="str">
        <f>IF(COUNTIF(Sheet2!B:B, A1373) &gt; 0, "Yes", "No")</f>
        <v>No</v>
      </c>
    </row>
    <row r="1374" spans="1:18" x14ac:dyDescent="0.25">
      <c r="A1374" s="3">
        <v>45295</v>
      </c>
      <c r="B1374" t="s">
        <v>434</v>
      </c>
      <c r="C1374" t="s">
        <v>66</v>
      </c>
      <c r="D1374" t="s">
        <v>20</v>
      </c>
      <c r="E1374" t="s">
        <v>67</v>
      </c>
      <c r="F1374" t="s">
        <v>46</v>
      </c>
      <c r="G1374" t="s">
        <v>92</v>
      </c>
      <c r="H1374" t="s">
        <v>422</v>
      </c>
      <c r="I1374">
        <v>8.5000000000000006E-2</v>
      </c>
      <c r="J1374">
        <f t="shared" si="63"/>
        <v>54.400000000000006</v>
      </c>
      <c r="K1374">
        <v>0</v>
      </c>
      <c r="L1374">
        <f t="shared" si="64"/>
        <v>54.400000000000006</v>
      </c>
      <c r="M1374" s="4">
        <f t="shared" si="65"/>
        <v>7.7714285714285722E-2</v>
      </c>
      <c r="N1374">
        <v>700</v>
      </c>
      <c r="O1374">
        <v>640</v>
      </c>
      <c r="P1374" t="s">
        <v>25</v>
      </c>
      <c r="Q1374" t="s">
        <v>26</v>
      </c>
      <c r="R1374" t="str">
        <f>IF(COUNTIF(Sheet2!B:B, A1374) &gt; 0, "Yes", "No")</f>
        <v>No</v>
      </c>
    </row>
    <row r="1375" spans="1:18" x14ac:dyDescent="0.25">
      <c r="A1375" s="3">
        <v>45295</v>
      </c>
      <c r="B1375" t="s">
        <v>434</v>
      </c>
      <c r="C1375" t="s">
        <v>66</v>
      </c>
      <c r="D1375" t="s">
        <v>20</v>
      </c>
      <c r="E1375" t="s">
        <v>67</v>
      </c>
      <c r="F1375" t="s">
        <v>49</v>
      </c>
      <c r="G1375" t="s">
        <v>50</v>
      </c>
      <c r="H1375" t="s">
        <v>49</v>
      </c>
      <c r="I1375">
        <v>0.09</v>
      </c>
      <c r="J1375">
        <f t="shared" si="63"/>
        <v>57.599999999999994</v>
      </c>
      <c r="K1375">
        <v>5</v>
      </c>
      <c r="L1375">
        <f t="shared" si="64"/>
        <v>52.599999999999994</v>
      </c>
      <c r="M1375" s="4">
        <f t="shared" si="65"/>
        <v>7.5142857142857136E-2</v>
      </c>
      <c r="N1375">
        <v>700</v>
      </c>
      <c r="O1375">
        <v>640</v>
      </c>
      <c r="P1375" t="s">
        <v>25</v>
      </c>
      <c r="Q1375" t="s">
        <v>26</v>
      </c>
      <c r="R1375" t="str">
        <f>IF(COUNTIF(Sheet2!B:B, A1375) &gt; 0, "Yes", "No")</f>
        <v>No</v>
      </c>
    </row>
    <row r="1376" spans="1:18" x14ac:dyDescent="0.25">
      <c r="A1376" s="3">
        <v>45296</v>
      </c>
      <c r="B1376" t="s">
        <v>434</v>
      </c>
      <c r="C1376" t="s">
        <v>79</v>
      </c>
      <c r="D1376" t="s">
        <v>20</v>
      </c>
      <c r="E1376" t="s">
        <v>21</v>
      </c>
      <c r="F1376" t="s">
        <v>22</v>
      </c>
      <c r="G1376" t="s">
        <v>94</v>
      </c>
      <c r="H1376" t="s">
        <v>168</v>
      </c>
      <c r="I1376" s="5">
        <v>0.06</v>
      </c>
      <c r="J1376">
        <f t="shared" si="63"/>
        <v>36</v>
      </c>
      <c r="K1376">
        <v>1</v>
      </c>
      <c r="L1376">
        <f t="shared" si="64"/>
        <v>35</v>
      </c>
      <c r="M1376" s="4">
        <f t="shared" si="65"/>
        <v>5.3846153846153849E-2</v>
      </c>
      <c r="N1376">
        <v>650</v>
      </c>
      <c r="O1376">
        <v>600</v>
      </c>
      <c r="P1376" t="s">
        <v>25</v>
      </c>
      <c r="Q1376" t="s">
        <v>26</v>
      </c>
      <c r="R1376" t="str">
        <f>IF(COUNTIF(Sheet2!B:B, A1376) &gt; 0, "Yes", "No")</f>
        <v>Yes</v>
      </c>
    </row>
    <row r="1377" spans="1:18" x14ac:dyDescent="0.25">
      <c r="A1377" s="3">
        <v>45296</v>
      </c>
      <c r="B1377" t="s">
        <v>434</v>
      </c>
      <c r="C1377" t="s">
        <v>79</v>
      </c>
      <c r="D1377" t="s">
        <v>20</v>
      </c>
      <c r="E1377" t="s">
        <v>21</v>
      </c>
      <c r="F1377" t="s">
        <v>27</v>
      </c>
      <c r="G1377" t="s">
        <v>81</v>
      </c>
      <c r="H1377" t="s">
        <v>438</v>
      </c>
      <c r="I1377" s="5">
        <v>0.1</v>
      </c>
      <c r="J1377">
        <f t="shared" si="63"/>
        <v>60</v>
      </c>
      <c r="K1377">
        <v>1</v>
      </c>
      <c r="L1377">
        <f t="shared" si="64"/>
        <v>59</v>
      </c>
      <c r="M1377" s="4">
        <f t="shared" si="65"/>
        <v>9.0769230769230769E-2</v>
      </c>
      <c r="N1377">
        <v>650</v>
      </c>
      <c r="O1377">
        <v>600</v>
      </c>
      <c r="P1377" t="s">
        <v>25</v>
      </c>
      <c r="Q1377" t="s">
        <v>26</v>
      </c>
      <c r="R1377" t="str">
        <f>IF(COUNTIF(Sheet2!B:B, A1377) &gt; 0, "Yes", "No")</f>
        <v>Yes</v>
      </c>
    </row>
    <row r="1378" spans="1:18" x14ac:dyDescent="0.25">
      <c r="A1378" s="3">
        <v>45296</v>
      </c>
      <c r="B1378" t="s">
        <v>434</v>
      </c>
      <c r="C1378" t="s">
        <v>79</v>
      </c>
      <c r="D1378" t="s">
        <v>20</v>
      </c>
      <c r="E1378" t="s">
        <v>21</v>
      </c>
      <c r="F1378" t="s">
        <v>30</v>
      </c>
      <c r="G1378" t="s">
        <v>55</v>
      </c>
      <c r="H1378" t="s">
        <v>56</v>
      </c>
      <c r="I1378" s="5">
        <v>0.06</v>
      </c>
      <c r="J1378">
        <f t="shared" si="63"/>
        <v>36</v>
      </c>
      <c r="K1378">
        <v>1</v>
      </c>
      <c r="L1378">
        <f t="shared" si="64"/>
        <v>35</v>
      </c>
      <c r="M1378" s="4">
        <f t="shared" si="65"/>
        <v>5.3846153846153849E-2</v>
      </c>
      <c r="N1378">
        <v>650</v>
      </c>
      <c r="O1378">
        <v>600</v>
      </c>
      <c r="P1378" t="s">
        <v>25</v>
      </c>
      <c r="Q1378" t="s">
        <v>26</v>
      </c>
      <c r="R1378" t="str">
        <f>IF(COUNTIF(Sheet2!B:B, A1378) &gt; 0, "Yes", "No")</f>
        <v>Yes</v>
      </c>
    </row>
    <row r="1379" spans="1:18" x14ac:dyDescent="0.25">
      <c r="A1379" s="3">
        <v>45296</v>
      </c>
      <c r="B1379" t="s">
        <v>434</v>
      </c>
      <c r="C1379" t="s">
        <v>79</v>
      </c>
      <c r="D1379" t="s">
        <v>33</v>
      </c>
      <c r="E1379" t="s">
        <v>21</v>
      </c>
      <c r="F1379" t="s">
        <v>84</v>
      </c>
      <c r="G1379" t="s">
        <v>85</v>
      </c>
      <c r="H1379" t="s">
        <v>163</v>
      </c>
      <c r="I1379" s="5">
        <v>0.3</v>
      </c>
      <c r="J1379">
        <f t="shared" si="63"/>
        <v>126</v>
      </c>
      <c r="K1379">
        <v>0.25</v>
      </c>
      <c r="L1379">
        <f t="shared" si="64"/>
        <v>125.75</v>
      </c>
      <c r="M1379" s="4">
        <f t="shared" si="65"/>
        <v>0.27637362637362639</v>
      </c>
      <c r="N1379">
        <v>455</v>
      </c>
      <c r="O1379">
        <v>420</v>
      </c>
      <c r="P1379" t="s">
        <v>25</v>
      </c>
      <c r="Q1379" t="s">
        <v>26</v>
      </c>
      <c r="R1379" t="str">
        <f>IF(COUNTIF(Sheet2!B:B, A1379) &gt; 0, "Yes", "No")</f>
        <v>Yes</v>
      </c>
    </row>
    <row r="1380" spans="1:18" x14ac:dyDescent="0.25">
      <c r="A1380" s="3">
        <v>45296</v>
      </c>
      <c r="B1380" t="s">
        <v>434</v>
      </c>
      <c r="C1380" t="s">
        <v>79</v>
      </c>
      <c r="D1380" t="s">
        <v>20</v>
      </c>
      <c r="E1380" t="s">
        <v>21</v>
      </c>
      <c r="F1380" t="s">
        <v>37</v>
      </c>
      <c r="G1380" t="s">
        <v>59</v>
      </c>
      <c r="H1380" t="s">
        <v>60</v>
      </c>
      <c r="I1380" s="5">
        <v>2.5000000000000001E-2</v>
      </c>
      <c r="J1380">
        <f t="shared" si="63"/>
        <v>15</v>
      </c>
      <c r="K1380">
        <v>1</v>
      </c>
      <c r="L1380">
        <f t="shared" si="64"/>
        <v>14</v>
      </c>
      <c r="M1380" s="4">
        <f t="shared" si="65"/>
        <v>2.1538461538461538E-2</v>
      </c>
      <c r="N1380">
        <v>650</v>
      </c>
      <c r="O1380">
        <v>600</v>
      </c>
      <c r="P1380" t="s">
        <v>25</v>
      </c>
      <c r="Q1380" t="s">
        <v>26</v>
      </c>
      <c r="R1380" t="str">
        <f>IF(COUNTIF(Sheet2!B:B, A1380) &gt; 0, "Yes", "No")</f>
        <v>Yes</v>
      </c>
    </row>
    <row r="1381" spans="1:18" x14ac:dyDescent="0.25">
      <c r="A1381" s="3">
        <v>45296</v>
      </c>
      <c r="B1381" t="s">
        <v>434</v>
      </c>
      <c r="C1381" t="s">
        <v>79</v>
      </c>
      <c r="D1381" t="s">
        <v>20</v>
      </c>
      <c r="E1381" t="s">
        <v>21</v>
      </c>
      <c r="F1381" t="s">
        <v>40</v>
      </c>
      <c r="G1381" t="s">
        <v>61</v>
      </c>
      <c r="H1381" t="s">
        <v>62</v>
      </c>
      <c r="I1381" s="5">
        <v>0.04</v>
      </c>
      <c r="J1381">
        <f t="shared" si="63"/>
        <v>24</v>
      </c>
      <c r="K1381">
        <v>1</v>
      </c>
      <c r="L1381">
        <f t="shared" si="64"/>
        <v>23</v>
      </c>
      <c r="M1381" s="4">
        <f t="shared" si="65"/>
        <v>3.5384615384615382E-2</v>
      </c>
      <c r="N1381">
        <v>650</v>
      </c>
      <c r="O1381">
        <v>600</v>
      </c>
      <c r="P1381" t="s">
        <v>25</v>
      </c>
      <c r="Q1381" t="s">
        <v>26</v>
      </c>
      <c r="R1381" t="str">
        <f>IF(COUNTIF(Sheet2!B:B, A1381) &gt; 0, "Yes", "No")</f>
        <v>Yes</v>
      </c>
    </row>
    <row r="1382" spans="1:18" x14ac:dyDescent="0.25">
      <c r="A1382" s="3">
        <v>45296</v>
      </c>
      <c r="B1382" t="s">
        <v>434</v>
      </c>
      <c r="C1382" t="s">
        <v>79</v>
      </c>
      <c r="D1382" t="s">
        <v>20</v>
      </c>
      <c r="E1382" t="s">
        <v>21</v>
      </c>
      <c r="F1382" t="s">
        <v>43</v>
      </c>
      <c r="G1382" t="s">
        <v>139</v>
      </c>
      <c r="H1382" t="s">
        <v>318</v>
      </c>
      <c r="I1382" s="5">
        <v>7.4999999999999997E-2</v>
      </c>
      <c r="J1382">
        <f t="shared" si="63"/>
        <v>45</v>
      </c>
      <c r="K1382">
        <v>1</v>
      </c>
      <c r="L1382">
        <f t="shared" si="64"/>
        <v>44</v>
      </c>
      <c r="M1382" s="4">
        <f t="shared" si="65"/>
        <v>6.7692307692307691E-2</v>
      </c>
      <c r="N1382">
        <v>650</v>
      </c>
      <c r="O1382">
        <v>600</v>
      </c>
      <c r="P1382" t="s">
        <v>25</v>
      </c>
      <c r="Q1382" t="s">
        <v>26</v>
      </c>
      <c r="R1382" t="str">
        <f>IF(COUNTIF(Sheet2!B:B, A1382) &gt; 0, "Yes", "No")</f>
        <v>Yes</v>
      </c>
    </row>
    <row r="1383" spans="1:18" x14ac:dyDescent="0.25">
      <c r="A1383" s="3">
        <v>45296</v>
      </c>
      <c r="B1383" t="s">
        <v>434</v>
      </c>
      <c r="C1383" t="s">
        <v>79</v>
      </c>
      <c r="D1383" t="s">
        <v>20</v>
      </c>
      <c r="E1383" t="s">
        <v>21</v>
      </c>
      <c r="F1383" t="s">
        <v>46</v>
      </c>
      <c r="G1383" t="s">
        <v>47</v>
      </c>
      <c r="H1383" t="s">
        <v>65</v>
      </c>
      <c r="I1383" s="5">
        <v>0.06</v>
      </c>
      <c r="J1383">
        <f t="shared" si="63"/>
        <v>36</v>
      </c>
      <c r="K1383">
        <v>2</v>
      </c>
      <c r="L1383">
        <f t="shared" si="64"/>
        <v>34</v>
      </c>
      <c r="M1383" s="4">
        <f t="shared" si="65"/>
        <v>5.2307692307692305E-2</v>
      </c>
      <c r="N1383">
        <v>650</v>
      </c>
      <c r="O1383">
        <v>600</v>
      </c>
      <c r="P1383" t="s">
        <v>25</v>
      </c>
      <c r="Q1383" t="s">
        <v>26</v>
      </c>
      <c r="R1383" t="str">
        <f>IF(COUNTIF(Sheet2!B:B, A1383) &gt; 0, "Yes", "No")</f>
        <v>Yes</v>
      </c>
    </row>
    <row r="1384" spans="1:18" x14ac:dyDescent="0.25">
      <c r="A1384" s="3">
        <v>45296</v>
      </c>
      <c r="B1384" t="s">
        <v>434</v>
      </c>
      <c r="C1384" t="s">
        <v>79</v>
      </c>
      <c r="D1384" t="s">
        <v>20</v>
      </c>
      <c r="E1384" t="s">
        <v>21</v>
      </c>
      <c r="F1384" t="s">
        <v>49</v>
      </c>
      <c r="G1384" t="s">
        <v>50</v>
      </c>
      <c r="H1384" t="s">
        <v>49</v>
      </c>
      <c r="I1384" s="5">
        <v>0.04</v>
      </c>
      <c r="J1384">
        <f t="shared" si="63"/>
        <v>24</v>
      </c>
      <c r="K1384">
        <v>2</v>
      </c>
      <c r="L1384">
        <f t="shared" si="64"/>
        <v>22</v>
      </c>
      <c r="M1384" s="4">
        <f t="shared" si="65"/>
        <v>3.3846153846153845E-2</v>
      </c>
      <c r="N1384">
        <v>650</v>
      </c>
      <c r="O1384">
        <v>600</v>
      </c>
      <c r="P1384" t="s">
        <v>25</v>
      </c>
      <c r="Q1384" t="s">
        <v>26</v>
      </c>
      <c r="R1384" t="str">
        <f>IF(COUNTIF(Sheet2!B:B, A1384) &gt; 0, "Yes", "No")</f>
        <v>Yes</v>
      </c>
    </row>
    <row r="1385" spans="1:18" x14ac:dyDescent="0.25">
      <c r="A1385" s="3">
        <v>45299</v>
      </c>
      <c r="B1385" t="s">
        <v>434</v>
      </c>
      <c r="C1385" t="s">
        <v>19</v>
      </c>
      <c r="D1385" t="s">
        <v>20</v>
      </c>
      <c r="E1385" t="s">
        <v>21</v>
      </c>
      <c r="F1385" t="s">
        <v>22</v>
      </c>
      <c r="G1385" t="s">
        <v>122</v>
      </c>
      <c r="H1385" t="s">
        <v>181</v>
      </c>
      <c r="I1385">
        <v>8.5000000000000006E-2</v>
      </c>
      <c r="J1385">
        <f t="shared" si="63"/>
        <v>57.800000000000004</v>
      </c>
      <c r="K1385">
        <v>0</v>
      </c>
      <c r="L1385">
        <f t="shared" si="64"/>
        <v>57.800000000000004</v>
      </c>
      <c r="M1385" s="4">
        <f t="shared" si="65"/>
        <v>7.7066666666666672E-2</v>
      </c>
      <c r="N1385">
        <v>750</v>
      </c>
      <c r="O1385">
        <v>680</v>
      </c>
      <c r="P1385" t="s">
        <v>25</v>
      </c>
      <c r="Q1385" t="s">
        <v>26</v>
      </c>
      <c r="R1385" t="str">
        <f>IF(COUNTIF(Sheet2!B:B, A1385) &gt; 0, "Yes", "No")</f>
        <v>No</v>
      </c>
    </row>
    <row r="1386" spans="1:18" x14ac:dyDescent="0.25">
      <c r="A1386" s="3">
        <v>45299</v>
      </c>
      <c r="B1386" t="s">
        <v>434</v>
      </c>
      <c r="C1386" t="s">
        <v>19</v>
      </c>
      <c r="D1386" t="s">
        <v>20</v>
      </c>
      <c r="E1386" t="s">
        <v>21</v>
      </c>
      <c r="F1386" t="s">
        <v>27</v>
      </c>
      <c r="G1386" t="s">
        <v>28</v>
      </c>
      <c r="H1386" t="s">
        <v>182</v>
      </c>
      <c r="I1386">
        <v>0.11</v>
      </c>
      <c r="J1386">
        <f t="shared" si="63"/>
        <v>74.8</v>
      </c>
      <c r="K1386">
        <v>1</v>
      </c>
      <c r="L1386">
        <f t="shared" si="64"/>
        <v>73.8</v>
      </c>
      <c r="M1386" s="4">
        <f t="shared" si="65"/>
        <v>9.8400000000000001E-2</v>
      </c>
      <c r="N1386">
        <v>750</v>
      </c>
      <c r="O1386">
        <v>680</v>
      </c>
      <c r="P1386" t="s">
        <v>25</v>
      </c>
      <c r="Q1386" t="s">
        <v>26</v>
      </c>
      <c r="R1386" t="str">
        <f>IF(COUNTIF(Sheet2!B:B, A1386) &gt; 0, "Yes", "No")</f>
        <v>No</v>
      </c>
    </row>
    <row r="1387" spans="1:18" x14ac:dyDescent="0.25">
      <c r="A1387" s="3">
        <v>45299</v>
      </c>
      <c r="B1387" t="s">
        <v>434</v>
      </c>
      <c r="C1387" t="s">
        <v>19</v>
      </c>
      <c r="D1387" t="s">
        <v>20</v>
      </c>
      <c r="E1387" t="s">
        <v>21</v>
      </c>
      <c r="F1387" t="s">
        <v>30</v>
      </c>
      <c r="G1387" t="s">
        <v>55</v>
      </c>
      <c r="H1387" t="s">
        <v>270</v>
      </c>
      <c r="I1387">
        <v>0.09</v>
      </c>
      <c r="J1387">
        <f t="shared" si="63"/>
        <v>61.199999999999996</v>
      </c>
      <c r="K1387">
        <v>0</v>
      </c>
      <c r="L1387">
        <f t="shared" si="64"/>
        <v>61.199999999999996</v>
      </c>
      <c r="M1387" s="4">
        <f t="shared" si="65"/>
        <v>8.1599999999999992E-2</v>
      </c>
      <c r="N1387">
        <v>750</v>
      </c>
      <c r="O1387">
        <v>680</v>
      </c>
      <c r="P1387" t="s">
        <v>25</v>
      </c>
      <c r="Q1387" t="s">
        <v>26</v>
      </c>
      <c r="R1387" t="str">
        <f>IF(COUNTIF(Sheet2!B:B, A1387) &gt; 0, "Yes", "No")</f>
        <v>No</v>
      </c>
    </row>
    <row r="1388" spans="1:18" x14ac:dyDescent="0.25">
      <c r="A1388" s="3">
        <v>45299</v>
      </c>
      <c r="B1388" t="s">
        <v>434</v>
      </c>
      <c r="C1388" t="s">
        <v>19</v>
      </c>
      <c r="D1388" t="s">
        <v>33</v>
      </c>
      <c r="E1388" t="s">
        <v>21</v>
      </c>
      <c r="F1388" t="s">
        <v>34</v>
      </c>
      <c r="G1388" t="s">
        <v>35</v>
      </c>
      <c r="H1388" t="s">
        <v>416</v>
      </c>
      <c r="I1388">
        <v>0.15</v>
      </c>
      <c r="J1388">
        <f t="shared" si="63"/>
        <v>71.399999999999991</v>
      </c>
      <c r="K1388">
        <v>0</v>
      </c>
      <c r="L1388">
        <f t="shared" si="64"/>
        <v>71.399999999999991</v>
      </c>
      <c r="M1388" s="4">
        <f t="shared" si="65"/>
        <v>0.13599999999999998</v>
      </c>
      <c r="N1388">
        <v>525</v>
      </c>
      <c r="O1388">
        <v>476</v>
      </c>
      <c r="P1388" t="s">
        <v>25</v>
      </c>
      <c r="Q1388" t="s">
        <v>26</v>
      </c>
      <c r="R1388" t="str">
        <f>IF(COUNTIF(Sheet2!B:B, A1388) &gt; 0, "Yes", "No")</f>
        <v>No</v>
      </c>
    </row>
    <row r="1389" spans="1:18" x14ac:dyDescent="0.25">
      <c r="A1389" s="3">
        <v>45299</v>
      </c>
      <c r="B1389" t="s">
        <v>434</v>
      </c>
      <c r="C1389" t="s">
        <v>19</v>
      </c>
      <c r="D1389" t="s">
        <v>20</v>
      </c>
      <c r="E1389" t="s">
        <v>21</v>
      </c>
      <c r="F1389" t="s">
        <v>37</v>
      </c>
      <c r="G1389" t="s">
        <v>38</v>
      </c>
      <c r="H1389" t="s">
        <v>39</v>
      </c>
      <c r="I1389">
        <v>0.03</v>
      </c>
      <c r="J1389">
        <f t="shared" si="63"/>
        <v>20.399999999999999</v>
      </c>
      <c r="K1389">
        <v>1</v>
      </c>
      <c r="L1389">
        <f t="shared" si="64"/>
        <v>19.399999999999999</v>
      </c>
      <c r="M1389" s="4">
        <f t="shared" si="65"/>
        <v>2.5866666666666666E-2</v>
      </c>
      <c r="N1389">
        <v>750</v>
      </c>
      <c r="O1389">
        <v>680</v>
      </c>
      <c r="P1389" t="s">
        <v>25</v>
      </c>
      <c r="Q1389" t="s">
        <v>26</v>
      </c>
      <c r="R1389" t="str">
        <f>IF(COUNTIF(Sheet2!B:B, A1389) &gt; 0, "Yes", "No")</f>
        <v>No</v>
      </c>
    </row>
    <row r="1390" spans="1:18" x14ac:dyDescent="0.25">
      <c r="A1390" s="3">
        <v>45299</v>
      </c>
      <c r="B1390" t="s">
        <v>434</v>
      </c>
      <c r="C1390" t="s">
        <v>19</v>
      </c>
      <c r="D1390" t="s">
        <v>20</v>
      </c>
      <c r="E1390" t="s">
        <v>21</v>
      </c>
      <c r="F1390" t="s">
        <v>40</v>
      </c>
      <c r="G1390" t="s">
        <v>61</v>
      </c>
      <c r="H1390" t="s">
        <v>62</v>
      </c>
      <c r="I1390">
        <v>4.4999999999999998E-2</v>
      </c>
      <c r="J1390">
        <f t="shared" si="63"/>
        <v>30.599999999999998</v>
      </c>
      <c r="K1390">
        <v>1</v>
      </c>
      <c r="L1390">
        <f t="shared" si="64"/>
        <v>29.599999999999998</v>
      </c>
      <c r="M1390" s="4">
        <f t="shared" si="65"/>
        <v>3.9466666666666664E-2</v>
      </c>
      <c r="N1390">
        <v>750</v>
      </c>
      <c r="O1390">
        <v>680</v>
      </c>
      <c r="P1390" t="s">
        <v>25</v>
      </c>
      <c r="Q1390" t="s">
        <v>26</v>
      </c>
      <c r="R1390" t="str">
        <f>IF(COUNTIF(Sheet2!B:B, A1390) &gt; 0, "Yes", "No")</f>
        <v>No</v>
      </c>
    </row>
    <row r="1391" spans="1:18" x14ac:dyDescent="0.25">
      <c r="A1391" s="3">
        <v>45299</v>
      </c>
      <c r="B1391" t="s">
        <v>434</v>
      </c>
      <c r="C1391" t="s">
        <v>19</v>
      </c>
      <c r="D1391" t="s">
        <v>20</v>
      </c>
      <c r="E1391" t="s">
        <v>21</v>
      </c>
      <c r="F1391" t="s">
        <v>43</v>
      </c>
      <c r="G1391" t="s">
        <v>139</v>
      </c>
      <c r="H1391" t="s">
        <v>417</v>
      </c>
      <c r="I1391">
        <v>0.11</v>
      </c>
      <c r="J1391">
        <f t="shared" si="63"/>
        <v>74.8</v>
      </c>
      <c r="K1391">
        <v>3</v>
      </c>
      <c r="L1391">
        <f t="shared" si="64"/>
        <v>71.8</v>
      </c>
      <c r="M1391" s="4">
        <f t="shared" si="65"/>
        <v>9.5733333333333323E-2</v>
      </c>
      <c r="N1391">
        <v>750</v>
      </c>
      <c r="O1391">
        <v>680</v>
      </c>
      <c r="P1391" t="s">
        <v>25</v>
      </c>
      <c r="Q1391" t="s">
        <v>26</v>
      </c>
      <c r="R1391" t="str">
        <f>IF(COUNTIF(Sheet2!B:B, A1391) &gt; 0, "Yes", "No")</f>
        <v>No</v>
      </c>
    </row>
    <row r="1392" spans="1:18" x14ac:dyDescent="0.25">
      <c r="A1392" s="3">
        <v>45299</v>
      </c>
      <c r="B1392" t="s">
        <v>434</v>
      </c>
      <c r="C1392" t="s">
        <v>19</v>
      </c>
      <c r="D1392" t="s">
        <v>20</v>
      </c>
      <c r="E1392" t="s">
        <v>21</v>
      </c>
      <c r="F1392" t="s">
        <v>46</v>
      </c>
      <c r="G1392" t="s">
        <v>412</v>
      </c>
      <c r="H1392" t="s">
        <v>418</v>
      </c>
      <c r="I1392">
        <v>8.5000000000000006E-2</v>
      </c>
      <c r="J1392">
        <f t="shared" si="63"/>
        <v>57.800000000000004</v>
      </c>
      <c r="K1392">
        <v>0</v>
      </c>
      <c r="L1392">
        <f t="shared" si="64"/>
        <v>57.800000000000004</v>
      </c>
      <c r="M1392" s="4">
        <f t="shared" si="65"/>
        <v>7.7066666666666672E-2</v>
      </c>
      <c r="N1392">
        <v>750</v>
      </c>
      <c r="O1392">
        <v>680</v>
      </c>
      <c r="P1392" t="s">
        <v>25</v>
      </c>
      <c r="Q1392" t="s">
        <v>26</v>
      </c>
      <c r="R1392" t="str">
        <f>IF(COUNTIF(Sheet2!B:B, A1392) &gt; 0, "Yes", "No")</f>
        <v>No</v>
      </c>
    </row>
    <row r="1393" spans="1:18" x14ac:dyDescent="0.25">
      <c r="A1393" s="3">
        <v>45299</v>
      </c>
      <c r="B1393" t="s">
        <v>434</v>
      </c>
      <c r="C1393" t="s">
        <v>19</v>
      </c>
      <c r="D1393" t="s">
        <v>20</v>
      </c>
      <c r="E1393" t="s">
        <v>21</v>
      </c>
      <c r="F1393" t="s">
        <v>49</v>
      </c>
      <c r="G1393" t="s">
        <v>50</v>
      </c>
      <c r="H1393" t="s">
        <v>49</v>
      </c>
      <c r="I1393">
        <v>0.09</v>
      </c>
      <c r="J1393">
        <f t="shared" si="63"/>
        <v>61.199999999999996</v>
      </c>
      <c r="K1393">
        <v>0</v>
      </c>
      <c r="L1393">
        <f t="shared" si="64"/>
        <v>61.199999999999996</v>
      </c>
      <c r="M1393" s="4">
        <f t="shared" si="65"/>
        <v>8.1599999999999992E-2</v>
      </c>
      <c r="N1393">
        <v>750</v>
      </c>
      <c r="O1393">
        <v>680</v>
      </c>
      <c r="P1393" t="s">
        <v>25</v>
      </c>
      <c r="Q1393" t="s">
        <v>26</v>
      </c>
      <c r="R1393" t="str">
        <f>IF(COUNTIF(Sheet2!B:B, A1393) &gt; 0, "Yes", "No")</f>
        <v>No</v>
      </c>
    </row>
    <row r="1394" spans="1:18" x14ac:dyDescent="0.25">
      <c r="A1394" s="3">
        <v>45300</v>
      </c>
      <c r="B1394" t="s">
        <v>434</v>
      </c>
      <c r="C1394" t="s">
        <v>105</v>
      </c>
      <c r="D1394" t="s">
        <v>20</v>
      </c>
      <c r="E1394" t="s">
        <v>67</v>
      </c>
      <c r="F1394" t="s">
        <v>22</v>
      </c>
      <c r="G1394" t="s">
        <v>23</v>
      </c>
      <c r="H1394" t="s">
        <v>24</v>
      </c>
      <c r="I1394">
        <v>8.5000000000000006E-2</v>
      </c>
      <c r="J1394">
        <f t="shared" si="63"/>
        <v>59.500000000000007</v>
      </c>
      <c r="K1394">
        <v>0</v>
      </c>
      <c r="L1394">
        <f t="shared" si="64"/>
        <v>59.500000000000007</v>
      </c>
      <c r="M1394" s="4">
        <f t="shared" si="65"/>
        <v>7.6282051282051289E-2</v>
      </c>
      <c r="N1394">
        <v>780</v>
      </c>
      <c r="O1394">
        <v>700</v>
      </c>
      <c r="P1394" t="s">
        <v>25</v>
      </c>
      <c r="Q1394" t="s">
        <v>26</v>
      </c>
      <c r="R1394" t="str">
        <f>IF(COUNTIF(Sheet2!B:B, A1394) &gt; 0, "Yes", "No")</f>
        <v>No</v>
      </c>
    </row>
    <row r="1395" spans="1:18" x14ac:dyDescent="0.25">
      <c r="A1395" s="3">
        <v>45300</v>
      </c>
      <c r="B1395" t="s">
        <v>434</v>
      </c>
      <c r="C1395" t="s">
        <v>105</v>
      </c>
      <c r="D1395" t="s">
        <v>20</v>
      </c>
      <c r="E1395" t="s">
        <v>67</v>
      </c>
      <c r="F1395" t="s">
        <v>27</v>
      </c>
      <c r="G1395" t="s">
        <v>304</v>
      </c>
      <c r="H1395" t="s">
        <v>419</v>
      </c>
      <c r="I1395">
        <v>0.12</v>
      </c>
      <c r="J1395">
        <f t="shared" si="63"/>
        <v>84</v>
      </c>
      <c r="K1395">
        <v>0</v>
      </c>
      <c r="L1395">
        <f t="shared" si="64"/>
        <v>84</v>
      </c>
      <c r="M1395" s="4">
        <f t="shared" si="65"/>
        <v>0.1076923076923077</v>
      </c>
      <c r="N1395">
        <v>780</v>
      </c>
      <c r="O1395">
        <v>700</v>
      </c>
      <c r="P1395" t="s">
        <v>25</v>
      </c>
      <c r="Q1395" t="s">
        <v>26</v>
      </c>
      <c r="R1395" t="str">
        <f>IF(COUNTIF(Sheet2!B:B, A1395) &gt; 0, "Yes", "No")</f>
        <v>No</v>
      </c>
    </row>
    <row r="1396" spans="1:18" x14ac:dyDescent="0.25">
      <c r="A1396" s="3">
        <v>45300</v>
      </c>
      <c r="B1396" t="s">
        <v>434</v>
      </c>
      <c r="C1396" t="s">
        <v>105</v>
      </c>
      <c r="D1396" t="s">
        <v>20</v>
      </c>
      <c r="E1396" t="s">
        <v>67</v>
      </c>
      <c r="F1396" t="s">
        <v>30</v>
      </c>
      <c r="G1396" t="s">
        <v>31</v>
      </c>
      <c r="H1396" t="s">
        <v>70</v>
      </c>
      <c r="I1396">
        <v>0.09</v>
      </c>
      <c r="J1396">
        <f t="shared" si="63"/>
        <v>63</v>
      </c>
      <c r="K1396">
        <v>0.5</v>
      </c>
      <c r="L1396">
        <f t="shared" si="64"/>
        <v>62.5</v>
      </c>
      <c r="M1396" s="4">
        <f t="shared" si="65"/>
        <v>8.0128205128205135E-2</v>
      </c>
      <c r="N1396">
        <v>780</v>
      </c>
      <c r="O1396">
        <v>700</v>
      </c>
      <c r="P1396" t="s">
        <v>25</v>
      </c>
      <c r="Q1396" t="s">
        <v>26</v>
      </c>
      <c r="R1396" t="str">
        <f>IF(COUNTIF(Sheet2!B:B, A1396) &gt; 0, "Yes", "No")</f>
        <v>No</v>
      </c>
    </row>
    <row r="1397" spans="1:18" x14ac:dyDescent="0.25">
      <c r="A1397" s="3">
        <v>45300</v>
      </c>
      <c r="B1397" t="s">
        <v>434</v>
      </c>
      <c r="C1397" t="s">
        <v>105</v>
      </c>
      <c r="D1397" t="s">
        <v>20</v>
      </c>
      <c r="E1397" t="s">
        <v>67</v>
      </c>
      <c r="F1397" t="s">
        <v>37</v>
      </c>
      <c r="G1397" t="s">
        <v>87</v>
      </c>
      <c r="H1397" t="s">
        <v>88</v>
      </c>
      <c r="I1397">
        <v>3.5000000000000003E-2</v>
      </c>
      <c r="J1397">
        <f t="shared" si="63"/>
        <v>24.500000000000004</v>
      </c>
      <c r="K1397">
        <v>1</v>
      </c>
      <c r="L1397">
        <f t="shared" si="64"/>
        <v>23.500000000000004</v>
      </c>
      <c r="M1397" s="4">
        <f t="shared" si="65"/>
        <v>3.0128205128205132E-2</v>
      </c>
      <c r="N1397">
        <v>780</v>
      </c>
      <c r="O1397">
        <v>700</v>
      </c>
      <c r="P1397" t="s">
        <v>25</v>
      </c>
      <c r="Q1397" t="s">
        <v>26</v>
      </c>
      <c r="R1397" t="str">
        <f>IF(COUNTIF(Sheet2!B:B, A1397) &gt; 0, "Yes", "No")</f>
        <v>No</v>
      </c>
    </row>
    <row r="1398" spans="1:18" x14ac:dyDescent="0.25">
      <c r="A1398" s="3">
        <v>45300</v>
      </c>
      <c r="B1398" t="s">
        <v>434</v>
      </c>
      <c r="C1398" t="s">
        <v>105</v>
      </c>
      <c r="D1398" t="s">
        <v>20</v>
      </c>
      <c r="E1398" t="s">
        <v>67</v>
      </c>
      <c r="F1398" t="s">
        <v>40</v>
      </c>
      <c r="G1398" t="s">
        <v>41</v>
      </c>
      <c r="H1398" t="s">
        <v>42</v>
      </c>
      <c r="I1398">
        <v>0.05</v>
      </c>
      <c r="J1398">
        <f t="shared" si="63"/>
        <v>35</v>
      </c>
      <c r="K1398">
        <v>1</v>
      </c>
      <c r="L1398">
        <f t="shared" si="64"/>
        <v>34</v>
      </c>
      <c r="M1398" s="4">
        <f t="shared" si="65"/>
        <v>4.3589743589743588E-2</v>
      </c>
      <c r="N1398">
        <v>780</v>
      </c>
      <c r="O1398">
        <v>700</v>
      </c>
      <c r="P1398" t="s">
        <v>25</v>
      </c>
      <c r="Q1398" t="s">
        <v>26</v>
      </c>
      <c r="R1398" t="str">
        <f>IF(COUNTIF(Sheet2!B:B, A1398) &gt; 0, "Yes", "No")</f>
        <v>No</v>
      </c>
    </row>
    <row r="1399" spans="1:18" x14ac:dyDescent="0.25">
      <c r="A1399" s="3">
        <v>45300</v>
      </c>
      <c r="B1399" t="s">
        <v>434</v>
      </c>
      <c r="C1399" t="s">
        <v>105</v>
      </c>
      <c r="D1399" t="s">
        <v>20</v>
      </c>
      <c r="E1399" t="s">
        <v>67</v>
      </c>
      <c r="F1399" t="s">
        <v>43</v>
      </c>
      <c r="G1399" t="s">
        <v>44</v>
      </c>
      <c r="H1399" t="s">
        <v>293</v>
      </c>
      <c r="I1399">
        <v>0.11</v>
      </c>
      <c r="J1399">
        <f t="shared" si="63"/>
        <v>77</v>
      </c>
      <c r="K1399">
        <v>0</v>
      </c>
      <c r="L1399">
        <f t="shared" si="64"/>
        <v>77</v>
      </c>
      <c r="M1399" s="4">
        <f t="shared" si="65"/>
        <v>9.8717948717948714E-2</v>
      </c>
      <c r="N1399">
        <v>780</v>
      </c>
      <c r="O1399">
        <v>700</v>
      </c>
      <c r="P1399" t="s">
        <v>25</v>
      </c>
      <c r="Q1399" t="s">
        <v>26</v>
      </c>
      <c r="R1399" t="str">
        <f>IF(COUNTIF(Sheet2!B:B, A1399) &gt; 0, "Yes", "No")</f>
        <v>No</v>
      </c>
    </row>
    <row r="1400" spans="1:18" x14ac:dyDescent="0.25">
      <c r="A1400" s="3">
        <v>45300</v>
      </c>
      <c r="B1400" t="s">
        <v>434</v>
      </c>
      <c r="C1400" t="s">
        <v>105</v>
      </c>
      <c r="D1400" t="s">
        <v>20</v>
      </c>
      <c r="E1400" t="s">
        <v>67</v>
      </c>
      <c r="F1400" t="s">
        <v>46</v>
      </c>
      <c r="G1400" t="s">
        <v>103</v>
      </c>
      <c r="H1400" t="s">
        <v>420</v>
      </c>
      <c r="I1400">
        <v>0.09</v>
      </c>
      <c r="J1400">
        <f t="shared" si="63"/>
        <v>63</v>
      </c>
      <c r="K1400">
        <v>0</v>
      </c>
      <c r="L1400">
        <f t="shared" si="64"/>
        <v>63</v>
      </c>
      <c r="M1400" s="4">
        <f t="shared" si="65"/>
        <v>8.0769230769230774E-2</v>
      </c>
      <c r="N1400">
        <v>780</v>
      </c>
      <c r="O1400">
        <v>700</v>
      </c>
      <c r="P1400" t="s">
        <v>25</v>
      </c>
      <c r="Q1400" t="s">
        <v>26</v>
      </c>
      <c r="R1400" t="str">
        <f>IF(COUNTIF(Sheet2!B:B, A1400) &gt; 0, "Yes", "No")</f>
        <v>No</v>
      </c>
    </row>
    <row r="1401" spans="1:18" x14ac:dyDescent="0.25">
      <c r="A1401" s="3">
        <v>45300</v>
      </c>
      <c r="B1401" t="s">
        <v>434</v>
      </c>
      <c r="C1401" t="s">
        <v>105</v>
      </c>
      <c r="D1401" t="s">
        <v>20</v>
      </c>
      <c r="E1401" t="s">
        <v>67</v>
      </c>
      <c r="F1401" t="s">
        <v>49</v>
      </c>
      <c r="G1401" t="s">
        <v>50</v>
      </c>
      <c r="H1401" t="s">
        <v>49</v>
      </c>
      <c r="I1401">
        <v>0.09</v>
      </c>
      <c r="J1401">
        <f t="shared" si="63"/>
        <v>63</v>
      </c>
      <c r="K1401">
        <v>2</v>
      </c>
      <c r="L1401">
        <f t="shared" si="64"/>
        <v>61</v>
      </c>
      <c r="M1401" s="4">
        <f t="shared" si="65"/>
        <v>7.8205128205128205E-2</v>
      </c>
      <c r="N1401">
        <v>780</v>
      </c>
      <c r="O1401">
        <v>700</v>
      </c>
      <c r="P1401" t="s">
        <v>25</v>
      </c>
      <c r="Q1401" t="s">
        <v>26</v>
      </c>
      <c r="R1401" t="str">
        <f>IF(COUNTIF(Sheet2!B:B, A1401) &gt; 0, "Yes", "No")</f>
        <v>No</v>
      </c>
    </row>
    <row r="1402" spans="1:18" x14ac:dyDescent="0.25">
      <c r="A1402" s="3">
        <v>45301</v>
      </c>
      <c r="B1402" t="s">
        <v>434</v>
      </c>
      <c r="C1402" t="s">
        <v>51</v>
      </c>
      <c r="D1402" t="s">
        <v>20</v>
      </c>
      <c r="E1402" t="s">
        <v>21</v>
      </c>
      <c r="F1402" t="s">
        <v>22</v>
      </c>
      <c r="G1402" t="s">
        <v>94</v>
      </c>
      <c r="H1402" t="s">
        <v>95</v>
      </c>
      <c r="I1402">
        <v>8.5000000000000006E-2</v>
      </c>
      <c r="J1402">
        <f t="shared" si="63"/>
        <v>68</v>
      </c>
      <c r="K1402">
        <v>0</v>
      </c>
      <c r="L1402">
        <f t="shared" si="64"/>
        <v>68</v>
      </c>
      <c r="M1402" s="4">
        <f t="shared" si="65"/>
        <v>7.5555555555555556E-2</v>
      </c>
      <c r="N1402">
        <v>900</v>
      </c>
      <c r="O1402">
        <v>800</v>
      </c>
      <c r="P1402" t="s">
        <v>25</v>
      </c>
      <c r="Q1402" t="s">
        <v>26</v>
      </c>
      <c r="R1402" t="str">
        <f>IF(COUNTIF(Sheet2!B:B, A1402) &gt; 0, "Yes", "No")</f>
        <v>No</v>
      </c>
    </row>
    <row r="1403" spans="1:18" x14ac:dyDescent="0.25">
      <c r="A1403" s="3">
        <v>45301</v>
      </c>
      <c r="B1403" t="s">
        <v>434</v>
      </c>
      <c r="C1403" t="s">
        <v>51</v>
      </c>
      <c r="D1403" t="s">
        <v>20</v>
      </c>
      <c r="E1403" t="s">
        <v>21</v>
      </c>
      <c r="F1403" t="s">
        <v>27</v>
      </c>
      <c r="G1403" t="s">
        <v>28</v>
      </c>
      <c r="H1403" t="s">
        <v>124</v>
      </c>
      <c r="I1403">
        <v>0.11</v>
      </c>
      <c r="J1403">
        <f t="shared" si="63"/>
        <v>88</v>
      </c>
      <c r="K1403">
        <v>4</v>
      </c>
      <c r="L1403">
        <f t="shared" si="64"/>
        <v>84</v>
      </c>
      <c r="M1403" s="4">
        <f t="shared" si="65"/>
        <v>9.3333333333333338E-2</v>
      </c>
      <c r="N1403">
        <v>900</v>
      </c>
      <c r="O1403">
        <v>800</v>
      </c>
      <c r="P1403" t="s">
        <v>25</v>
      </c>
      <c r="Q1403" t="s">
        <v>26</v>
      </c>
      <c r="R1403" t="str">
        <f>IF(COUNTIF(Sheet2!B:B, A1403) &gt; 0, "Yes", "No")</f>
        <v>No</v>
      </c>
    </row>
    <row r="1404" spans="1:18" x14ac:dyDescent="0.25">
      <c r="A1404" s="3">
        <v>45301</v>
      </c>
      <c r="B1404" t="s">
        <v>434</v>
      </c>
      <c r="C1404" t="s">
        <v>51</v>
      </c>
      <c r="D1404" t="s">
        <v>20</v>
      </c>
      <c r="E1404" t="s">
        <v>21</v>
      </c>
      <c r="F1404" t="s">
        <v>30</v>
      </c>
      <c r="G1404" t="s">
        <v>55</v>
      </c>
      <c r="H1404" t="s">
        <v>125</v>
      </c>
      <c r="I1404">
        <v>0.09</v>
      </c>
      <c r="J1404">
        <f t="shared" si="63"/>
        <v>72</v>
      </c>
      <c r="K1404">
        <v>0</v>
      </c>
      <c r="L1404">
        <f t="shared" si="64"/>
        <v>72</v>
      </c>
      <c r="M1404" s="4">
        <f t="shared" si="65"/>
        <v>0.08</v>
      </c>
      <c r="N1404">
        <v>900</v>
      </c>
      <c r="O1404">
        <v>800</v>
      </c>
      <c r="P1404" t="s">
        <v>25</v>
      </c>
      <c r="Q1404" t="s">
        <v>26</v>
      </c>
      <c r="R1404" t="str">
        <f>IF(COUNTIF(Sheet2!B:B, A1404) &gt; 0, "Yes", "No")</f>
        <v>No</v>
      </c>
    </row>
    <row r="1405" spans="1:18" x14ac:dyDescent="0.25">
      <c r="A1405" s="3">
        <v>45301</v>
      </c>
      <c r="B1405" t="s">
        <v>434</v>
      </c>
      <c r="C1405" t="s">
        <v>51</v>
      </c>
      <c r="D1405" t="s">
        <v>33</v>
      </c>
      <c r="E1405" t="s">
        <v>21</v>
      </c>
      <c r="F1405" t="s">
        <v>34</v>
      </c>
      <c r="G1405" t="s">
        <v>57</v>
      </c>
      <c r="H1405" t="s">
        <v>192</v>
      </c>
      <c r="I1405">
        <v>0.15</v>
      </c>
      <c r="J1405">
        <f t="shared" si="63"/>
        <v>84</v>
      </c>
      <c r="K1405">
        <v>0.5</v>
      </c>
      <c r="L1405">
        <f t="shared" si="64"/>
        <v>83.5</v>
      </c>
      <c r="M1405" s="4">
        <f t="shared" si="65"/>
        <v>0.13253968253968254</v>
      </c>
      <c r="N1405">
        <v>630</v>
      </c>
      <c r="O1405">
        <v>560</v>
      </c>
      <c r="P1405" t="s">
        <v>25</v>
      </c>
      <c r="Q1405" t="s">
        <v>26</v>
      </c>
      <c r="R1405" t="str">
        <f>IF(COUNTIF(Sheet2!B:B, A1405) &gt; 0, "Yes", "No")</f>
        <v>No</v>
      </c>
    </row>
    <row r="1406" spans="1:18" x14ac:dyDescent="0.25">
      <c r="A1406" s="3">
        <v>45301</v>
      </c>
      <c r="B1406" t="s">
        <v>434</v>
      </c>
      <c r="C1406" t="s">
        <v>51</v>
      </c>
      <c r="D1406" t="s">
        <v>20</v>
      </c>
      <c r="E1406" t="s">
        <v>21</v>
      </c>
      <c r="F1406" t="s">
        <v>37</v>
      </c>
      <c r="G1406" t="s">
        <v>117</v>
      </c>
      <c r="H1406" t="s">
        <v>421</v>
      </c>
      <c r="I1406">
        <v>0.03</v>
      </c>
      <c r="J1406">
        <f t="shared" si="63"/>
        <v>24</v>
      </c>
      <c r="K1406">
        <v>1</v>
      </c>
      <c r="L1406">
        <f t="shared" si="64"/>
        <v>23</v>
      </c>
      <c r="M1406" s="4">
        <f t="shared" si="65"/>
        <v>2.5555555555555557E-2</v>
      </c>
      <c r="N1406">
        <v>900</v>
      </c>
      <c r="O1406">
        <v>800</v>
      </c>
      <c r="P1406" t="s">
        <v>25</v>
      </c>
      <c r="Q1406" t="s">
        <v>26</v>
      </c>
      <c r="R1406" t="str">
        <f>IF(COUNTIF(Sheet2!B:B, A1406) &gt; 0, "Yes", "No")</f>
        <v>No</v>
      </c>
    </row>
    <row r="1407" spans="1:18" x14ac:dyDescent="0.25">
      <c r="A1407" s="3">
        <v>45301</v>
      </c>
      <c r="B1407" t="s">
        <v>434</v>
      </c>
      <c r="C1407" t="s">
        <v>51</v>
      </c>
      <c r="D1407" t="s">
        <v>20</v>
      </c>
      <c r="E1407" t="s">
        <v>21</v>
      </c>
      <c r="F1407" t="s">
        <v>40</v>
      </c>
      <c r="G1407" t="s">
        <v>164</v>
      </c>
      <c r="H1407" t="s">
        <v>193</v>
      </c>
      <c r="I1407">
        <v>4.4999999999999998E-2</v>
      </c>
      <c r="J1407">
        <f t="shared" si="63"/>
        <v>36</v>
      </c>
      <c r="K1407">
        <v>3</v>
      </c>
      <c r="L1407">
        <f t="shared" si="64"/>
        <v>33</v>
      </c>
      <c r="M1407" s="4">
        <f t="shared" si="65"/>
        <v>3.6666666666666667E-2</v>
      </c>
      <c r="N1407">
        <v>900</v>
      </c>
      <c r="O1407">
        <v>800</v>
      </c>
      <c r="P1407" t="s">
        <v>25</v>
      </c>
      <c r="Q1407" t="s">
        <v>26</v>
      </c>
      <c r="R1407" t="str">
        <f>IF(COUNTIF(Sheet2!B:B, A1407) &gt; 0, "Yes", "No")</f>
        <v>No</v>
      </c>
    </row>
    <row r="1408" spans="1:18" x14ac:dyDescent="0.25">
      <c r="A1408" s="3">
        <v>45301</v>
      </c>
      <c r="B1408" t="s">
        <v>434</v>
      </c>
      <c r="C1408" t="s">
        <v>51</v>
      </c>
      <c r="D1408" t="s">
        <v>20</v>
      </c>
      <c r="E1408" t="s">
        <v>21</v>
      </c>
      <c r="F1408" t="s">
        <v>43</v>
      </c>
      <c r="G1408" t="s">
        <v>111</v>
      </c>
      <c r="H1408" t="s">
        <v>267</v>
      </c>
      <c r="I1408">
        <v>0.11</v>
      </c>
      <c r="J1408">
        <f t="shared" si="63"/>
        <v>88</v>
      </c>
      <c r="K1408">
        <v>0</v>
      </c>
      <c r="L1408">
        <f t="shared" si="64"/>
        <v>88</v>
      </c>
      <c r="M1408" s="4">
        <f t="shared" si="65"/>
        <v>9.7777777777777783E-2</v>
      </c>
      <c r="N1408">
        <v>900</v>
      </c>
      <c r="O1408">
        <v>800</v>
      </c>
      <c r="P1408" t="s">
        <v>25</v>
      </c>
      <c r="Q1408" t="s">
        <v>26</v>
      </c>
      <c r="R1408" t="str">
        <f>IF(COUNTIF(Sheet2!B:B, A1408) &gt; 0, "Yes", "No")</f>
        <v>No</v>
      </c>
    </row>
    <row r="1409" spans="1:18" x14ac:dyDescent="0.25">
      <c r="A1409" s="3">
        <v>45301</v>
      </c>
      <c r="B1409" t="s">
        <v>434</v>
      </c>
      <c r="C1409" t="s">
        <v>51</v>
      </c>
      <c r="D1409" t="s">
        <v>20</v>
      </c>
      <c r="E1409" t="s">
        <v>21</v>
      </c>
      <c r="F1409" t="s">
        <v>46</v>
      </c>
      <c r="G1409" t="s">
        <v>92</v>
      </c>
      <c r="H1409" t="s">
        <v>422</v>
      </c>
      <c r="I1409">
        <v>8.5000000000000006E-2</v>
      </c>
      <c r="J1409">
        <f t="shared" si="63"/>
        <v>68</v>
      </c>
      <c r="K1409">
        <v>5</v>
      </c>
      <c r="L1409">
        <f t="shared" si="64"/>
        <v>63</v>
      </c>
      <c r="M1409" s="4">
        <f t="shared" si="65"/>
        <v>7.0000000000000007E-2</v>
      </c>
      <c r="N1409">
        <v>900</v>
      </c>
      <c r="O1409">
        <v>800</v>
      </c>
      <c r="P1409" t="s">
        <v>25</v>
      </c>
      <c r="Q1409" t="s">
        <v>26</v>
      </c>
      <c r="R1409" t="str">
        <f>IF(COUNTIF(Sheet2!B:B, A1409) &gt; 0, "Yes", "No")</f>
        <v>No</v>
      </c>
    </row>
    <row r="1410" spans="1:18" x14ac:dyDescent="0.25">
      <c r="A1410" s="3">
        <v>45301</v>
      </c>
      <c r="B1410" t="s">
        <v>434</v>
      </c>
      <c r="C1410" t="s">
        <v>51</v>
      </c>
      <c r="D1410" t="s">
        <v>20</v>
      </c>
      <c r="E1410" t="s">
        <v>21</v>
      </c>
      <c r="F1410" t="s">
        <v>49</v>
      </c>
      <c r="G1410" t="s">
        <v>50</v>
      </c>
      <c r="H1410" t="s">
        <v>49</v>
      </c>
      <c r="I1410">
        <v>0.09</v>
      </c>
      <c r="J1410">
        <f t="shared" si="63"/>
        <v>72</v>
      </c>
      <c r="K1410">
        <v>0</v>
      </c>
      <c r="L1410">
        <f t="shared" si="64"/>
        <v>72</v>
      </c>
      <c r="M1410" s="4">
        <f t="shared" si="65"/>
        <v>0.08</v>
      </c>
      <c r="N1410">
        <v>900</v>
      </c>
      <c r="O1410">
        <v>800</v>
      </c>
      <c r="P1410" t="s">
        <v>25</v>
      </c>
      <c r="Q1410" t="s">
        <v>26</v>
      </c>
      <c r="R1410" t="str">
        <f>IF(COUNTIF(Sheet2!B:B, A1410) &gt; 0, "Yes", "No")</f>
        <v>No</v>
      </c>
    </row>
    <row r="1411" spans="1:18" x14ac:dyDescent="0.25">
      <c r="A1411" s="3">
        <v>45302</v>
      </c>
      <c r="B1411" t="s">
        <v>434</v>
      </c>
      <c r="C1411" t="s">
        <v>66</v>
      </c>
      <c r="D1411" t="s">
        <v>20</v>
      </c>
      <c r="E1411" t="s">
        <v>67</v>
      </c>
      <c r="F1411" t="s">
        <v>22</v>
      </c>
      <c r="G1411" t="s">
        <v>52</v>
      </c>
      <c r="H1411" t="s">
        <v>53</v>
      </c>
      <c r="I1411">
        <v>8.5000000000000006E-2</v>
      </c>
      <c r="J1411">
        <f t="shared" ref="J1411:J1474" si="66">I1411*O1411</f>
        <v>59.500000000000007</v>
      </c>
      <c r="K1411">
        <v>0.5</v>
      </c>
      <c r="L1411">
        <f t="shared" ref="L1411:L1474" si="67">J1411-K1411</f>
        <v>59.000000000000007</v>
      </c>
      <c r="M1411" s="4">
        <f t="shared" ref="M1411:M1474" si="68">((I1411*O1411)-K1411)/N1411</f>
        <v>7.375000000000001E-2</v>
      </c>
      <c r="N1411">
        <v>800</v>
      </c>
      <c r="O1411">
        <v>700</v>
      </c>
      <c r="P1411" t="s">
        <v>25</v>
      </c>
      <c r="Q1411" t="s">
        <v>26</v>
      </c>
      <c r="R1411" t="str">
        <f>IF(COUNTIF(Sheet2!B:B, A1411) &gt; 0, "Yes", "No")</f>
        <v>No</v>
      </c>
    </row>
    <row r="1412" spans="1:18" x14ac:dyDescent="0.25">
      <c r="A1412" s="3">
        <v>45302</v>
      </c>
      <c r="B1412" t="s">
        <v>434</v>
      </c>
      <c r="C1412" t="s">
        <v>66</v>
      </c>
      <c r="D1412" t="s">
        <v>20</v>
      </c>
      <c r="E1412" t="s">
        <v>67</v>
      </c>
      <c r="F1412" t="s">
        <v>27</v>
      </c>
      <c r="G1412" t="s">
        <v>190</v>
      </c>
      <c r="H1412" t="s">
        <v>439</v>
      </c>
      <c r="I1412">
        <v>0.11</v>
      </c>
      <c r="J1412">
        <f t="shared" si="66"/>
        <v>77</v>
      </c>
      <c r="K1412">
        <v>0</v>
      </c>
      <c r="L1412">
        <f t="shared" si="67"/>
        <v>77</v>
      </c>
      <c r="M1412" s="4">
        <f t="shared" si="68"/>
        <v>9.6250000000000002E-2</v>
      </c>
      <c r="N1412">
        <v>800</v>
      </c>
      <c r="O1412">
        <v>700</v>
      </c>
      <c r="P1412" t="s">
        <v>25</v>
      </c>
      <c r="Q1412" t="s">
        <v>26</v>
      </c>
      <c r="R1412" t="str">
        <f>IF(COUNTIF(Sheet2!B:B, A1412) &gt; 0, "Yes", "No")</f>
        <v>No</v>
      </c>
    </row>
    <row r="1413" spans="1:18" x14ac:dyDescent="0.25">
      <c r="A1413" s="3">
        <v>45302</v>
      </c>
      <c r="B1413" t="s">
        <v>434</v>
      </c>
      <c r="C1413" t="s">
        <v>66</v>
      </c>
      <c r="D1413" t="s">
        <v>20</v>
      </c>
      <c r="E1413" t="s">
        <v>67</v>
      </c>
      <c r="F1413" t="s">
        <v>30</v>
      </c>
      <c r="G1413" t="s">
        <v>31</v>
      </c>
      <c r="H1413" t="s">
        <v>172</v>
      </c>
      <c r="I1413">
        <v>0.09</v>
      </c>
      <c r="J1413">
        <f t="shared" si="66"/>
        <v>63</v>
      </c>
      <c r="K1413">
        <v>0</v>
      </c>
      <c r="L1413">
        <f t="shared" si="67"/>
        <v>63</v>
      </c>
      <c r="M1413" s="4">
        <f t="shared" si="68"/>
        <v>7.8750000000000001E-2</v>
      </c>
      <c r="N1413">
        <v>800</v>
      </c>
      <c r="O1413">
        <v>700</v>
      </c>
      <c r="P1413" t="s">
        <v>25</v>
      </c>
      <c r="Q1413" t="s">
        <v>26</v>
      </c>
      <c r="R1413" t="str">
        <f>IF(COUNTIF(Sheet2!B:B, A1413) &gt; 0, "Yes", "No")</f>
        <v>No</v>
      </c>
    </row>
    <row r="1414" spans="1:18" x14ac:dyDescent="0.25">
      <c r="A1414" s="3">
        <v>45302</v>
      </c>
      <c r="B1414" t="s">
        <v>434</v>
      </c>
      <c r="C1414" t="s">
        <v>66</v>
      </c>
      <c r="D1414" t="s">
        <v>20</v>
      </c>
      <c r="E1414" t="s">
        <v>67</v>
      </c>
      <c r="F1414" t="s">
        <v>37</v>
      </c>
      <c r="G1414" t="s">
        <v>87</v>
      </c>
      <c r="H1414" t="s">
        <v>136</v>
      </c>
      <c r="I1414">
        <v>3.5000000000000003E-2</v>
      </c>
      <c r="J1414">
        <f t="shared" si="66"/>
        <v>24.500000000000004</v>
      </c>
      <c r="K1414">
        <v>0.5</v>
      </c>
      <c r="L1414">
        <f t="shared" si="67"/>
        <v>24.000000000000004</v>
      </c>
      <c r="M1414" s="4">
        <f t="shared" si="68"/>
        <v>3.0000000000000006E-2</v>
      </c>
      <c r="N1414">
        <v>800</v>
      </c>
      <c r="O1414">
        <v>700</v>
      </c>
      <c r="P1414" t="s">
        <v>25</v>
      </c>
      <c r="Q1414" t="s">
        <v>26</v>
      </c>
      <c r="R1414" t="str">
        <f>IF(COUNTIF(Sheet2!B:B, A1414) &gt; 0, "Yes", "No")</f>
        <v>No</v>
      </c>
    </row>
    <row r="1415" spans="1:18" x14ac:dyDescent="0.25">
      <c r="A1415" s="3">
        <v>45302</v>
      </c>
      <c r="B1415" t="s">
        <v>434</v>
      </c>
      <c r="C1415" t="s">
        <v>66</v>
      </c>
      <c r="D1415" t="s">
        <v>20</v>
      </c>
      <c r="E1415" t="s">
        <v>67</v>
      </c>
      <c r="F1415" t="s">
        <v>40</v>
      </c>
      <c r="G1415" t="s">
        <v>137</v>
      </c>
      <c r="H1415" t="s">
        <v>152</v>
      </c>
      <c r="I1415">
        <v>0.05</v>
      </c>
      <c r="J1415">
        <f t="shared" si="66"/>
        <v>35</v>
      </c>
      <c r="K1415">
        <v>0.5</v>
      </c>
      <c r="L1415">
        <f t="shared" si="67"/>
        <v>34.5</v>
      </c>
      <c r="M1415" s="4">
        <f t="shared" si="68"/>
        <v>4.3124999999999997E-2</v>
      </c>
      <c r="N1415">
        <v>800</v>
      </c>
      <c r="O1415">
        <v>700</v>
      </c>
      <c r="P1415" t="s">
        <v>25</v>
      </c>
      <c r="Q1415" t="s">
        <v>26</v>
      </c>
      <c r="R1415" t="str">
        <f>IF(COUNTIF(Sheet2!B:B, A1415) &gt; 0, "Yes", "No")</f>
        <v>No</v>
      </c>
    </row>
    <row r="1416" spans="1:18" x14ac:dyDescent="0.25">
      <c r="A1416" s="3">
        <v>45302</v>
      </c>
      <c r="B1416" t="s">
        <v>434</v>
      </c>
      <c r="C1416" t="s">
        <v>66</v>
      </c>
      <c r="D1416" t="s">
        <v>20</v>
      </c>
      <c r="E1416" t="s">
        <v>67</v>
      </c>
      <c r="F1416" t="s">
        <v>43</v>
      </c>
      <c r="G1416" t="s">
        <v>252</v>
      </c>
      <c r="H1416" t="s">
        <v>253</v>
      </c>
      <c r="I1416">
        <v>0.11</v>
      </c>
      <c r="J1416">
        <f t="shared" si="66"/>
        <v>77</v>
      </c>
      <c r="K1416">
        <v>0.5</v>
      </c>
      <c r="L1416">
        <f t="shared" si="67"/>
        <v>76.5</v>
      </c>
      <c r="M1416" s="4">
        <f t="shared" si="68"/>
        <v>9.5625000000000002E-2</v>
      </c>
      <c r="N1416">
        <v>800</v>
      </c>
      <c r="O1416">
        <v>700</v>
      </c>
      <c r="P1416" t="s">
        <v>25</v>
      </c>
      <c r="Q1416" t="s">
        <v>26</v>
      </c>
      <c r="R1416" t="str">
        <f>IF(COUNTIF(Sheet2!B:B, A1416) &gt; 0, "Yes", "No")</f>
        <v>No</v>
      </c>
    </row>
    <row r="1417" spans="1:18" x14ac:dyDescent="0.25">
      <c r="A1417" s="3">
        <v>45302</v>
      </c>
      <c r="B1417" t="s">
        <v>434</v>
      </c>
      <c r="C1417" t="s">
        <v>66</v>
      </c>
      <c r="D1417" t="s">
        <v>20</v>
      </c>
      <c r="E1417" t="s">
        <v>67</v>
      </c>
      <c r="F1417" t="s">
        <v>46</v>
      </c>
      <c r="G1417" t="s">
        <v>47</v>
      </c>
      <c r="H1417" t="s">
        <v>228</v>
      </c>
      <c r="I1417">
        <v>8.5000000000000006E-2</v>
      </c>
      <c r="J1417">
        <f t="shared" si="66"/>
        <v>59.500000000000007</v>
      </c>
      <c r="K1417">
        <v>0.5</v>
      </c>
      <c r="L1417">
        <f t="shared" si="67"/>
        <v>59.000000000000007</v>
      </c>
      <c r="M1417" s="4">
        <f t="shared" si="68"/>
        <v>7.375000000000001E-2</v>
      </c>
      <c r="N1417">
        <v>800</v>
      </c>
      <c r="O1417">
        <v>700</v>
      </c>
      <c r="P1417" t="s">
        <v>25</v>
      </c>
      <c r="Q1417" t="s">
        <v>26</v>
      </c>
      <c r="R1417" t="str">
        <f>IF(COUNTIF(Sheet2!B:B, A1417) &gt; 0, "Yes", "No")</f>
        <v>No</v>
      </c>
    </row>
    <row r="1418" spans="1:18" x14ac:dyDescent="0.25">
      <c r="A1418" s="3">
        <v>45302</v>
      </c>
      <c r="B1418" t="s">
        <v>434</v>
      </c>
      <c r="C1418" t="s">
        <v>66</v>
      </c>
      <c r="D1418" t="s">
        <v>20</v>
      </c>
      <c r="E1418" t="s">
        <v>67</v>
      </c>
      <c r="F1418" t="s">
        <v>49</v>
      </c>
      <c r="G1418" t="s">
        <v>50</v>
      </c>
      <c r="H1418" t="s">
        <v>49</v>
      </c>
      <c r="I1418">
        <v>0.09</v>
      </c>
      <c r="J1418">
        <f t="shared" si="66"/>
        <v>63</v>
      </c>
      <c r="K1418">
        <v>0.5</v>
      </c>
      <c r="L1418">
        <f t="shared" si="67"/>
        <v>62.5</v>
      </c>
      <c r="M1418" s="4">
        <f t="shared" si="68"/>
        <v>7.8125E-2</v>
      </c>
      <c r="N1418">
        <v>800</v>
      </c>
      <c r="O1418">
        <v>700</v>
      </c>
      <c r="P1418" t="s">
        <v>25</v>
      </c>
      <c r="Q1418" t="s">
        <v>26</v>
      </c>
      <c r="R1418" t="str">
        <f>IF(COUNTIF(Sheet2!B:B, A1418) &gt; 0, "Yes", "No")</f>
        <v>No</v>
      </c>
    </row>
    <row r="1419" spans="1:18" x14ac:dyDescent="0.25">
      <c r="A1419" s="3">
        <v>45303</v>
      </c>
      <c r="B1419" t="s">
        <v>434</v>
      </c>
      <c r="C1419" t="s">
        <v>79</v>
      </c>
      <c r="D1419" t="s">
        <v>20</v>
      </c>
      <c r="E1419" t="s">
        <v>67</v>
      </c>
      <c r="F1419" t="s">
        <v>22</v>
      </c>
      <c r="G1419" t="s">
        <v>122</v>
      </c>
      <c r="H1419" t="s">
        <v>132</v>
      </c>
      <c r="I1419">
        <v>8.5000000000000006E-2</v>
      </c>
      <c r="J1419">
        <f t="shared" si="66"/>
        <v>61.2</v>
      </c>
      <c r="K1419">
        <v>4</v>
      </c>
      <c r="L1419">
        <f t="shared" si="67"/>
        <v>57.2</v>
      </c>
      <c r="M1419" s="4">
        <f t="shared" si="68"/>
        <v>7.1500000000000008E-2</v>
      </c>
      <c r="N1419">
        <v>800</v>
      </c>
      <c r="O1419">
        <v>720</v>
      </c>
      <c r="P1419" t="s">
        <v>25</v>
      </c>
      <c r="Q1419" t="s">
        <v>26</v>
      </c>
      <c r="R1419" t="str">
        <f>IF(COUNTIF(Sheet2!B:B, A1419) &gt; 0, "Yes", "No")</f>
        <v>No</v>
      </c>
    </row>
    <row r="1420" spans="1:18" x14ac:dyDescent="0.25">
      <c r="A1420" s="3">
        <v>45303</v>
      </c>
      <c r="B1420" t="s">
        <v>434</v>
      </c>
      <c r="C1420" t="s">
        <v>79</v>
      </c>
      <c r="D1420" t="s">
        <v>20</v>
      </c>
      <c r="E1420" t="s">
        <v>67</v>
      </c>
      <c r="F1420" t="s">
        <v>27</v>
      </c>
      <c r="G1420" t="s">
        <v>440</v>
      </c>
      <c r="H1420" t="s">
        <v>441</v>
      </c>
      <c r="I1420">
        <v>0.11</v>
      </c>
      <c r="J1420">
        <f t="shared" si="66"/>
        <v>79.2</v>
      </c>
      <c r="K1420">
        <v>5</v>
      </c>
      <c r="L1420">
        <f t="shared" si="67"/>
        <v>74.2</v>
      </c>
      <c r="M1420" s="4">
        <f t="shared" si="68"/>
        <v>9.2749999999999999E-2</v>
      </c>
      <c r="N1420">
        <v>800</v>
      </c>
      <c r="O1420">
        <v>720</v>
      </c>
      <c r="P1420" t="s">
        <v>25</v>
      </c>
      <c r="Q1420" t="s">
        <v>26</v>
      </c>
      <c r="R1420" t="str">
        <f>IF(COUNTIF(Sheet2!B:B, A1420) &gt; 0, "Yes", "No")</f>
        <v>No</v>
      </c>
    </row>
    <row r="1421" spans="1:18" x14ac:dyDescent="0.25">
      <c r="A1421" s="3">
        <v>45303</v>
      </c>
      <c r="B1421" t="s">
        <v>434</v>
      </c>
      <c r="C1421" t="s">
        <v>79</v>
      </c>
      <c r="D1421" t="s">
        <v>20</v>
      </c>
      <c r="E1421" t="s">
        <v>67</v>
      </c>
      <c r="F1421" t="s">
        <v>30</v>
      </c>
      <c r="G1421" t="s">
        <v>354</v>
      </c>
      <c r="H1421" t="s">
        <v>361</v>
      </c>
      <c r="I1421">
        <v>0.09</v>
      </c>
      <c r="J1421">
        <f t="shared" si="66"/>
        <v>64.8</v>
      </c>
      <c r="K1421">
        <v>2</v>
      </c>
      <c r="L1421">
        <f t="shared" si="67"/>
        <v>62.8</v>
      </c>
      <c r="M1421" s="4">
        <f t="shared" si="68"/>
        <v>7.85E-2</v>
      </c>
      <c r="N1421">
        <v>800</v>
      </c>
      <c r="O1421">
        <v>720</v>
      </c>
      <c r="P1421" t="s">
        <v>25</v>
      </c>
      <c r="Q1421" t="s">
        <v>26</v>
      </c>
      <c r="R1421" t="str">
        <f>IF(COUNTIF(Sheet2!B:B, A1421) &gt; 0, "Yes", "No")</f>
        <v>No</v>
      </c>
    </row>
    <row r="1422" spans="1:18" x14ac:dyDescent="0.25">
      <c r="A1422" s="3">
        <v>45303</v>
      </c>
      <c r="B1422" t="s">
        <v>434</v>
      </c>
      <c r="C1422" t="s">
        <v>79</v>
      </c>
      <c r="D1422" t="s">
        <v>20</v>
      </c>
      <c r="E1422" t="s">
        <v>67</v>
      </c>
      <c r="F1422" t="s">
        <v>37</v>
      </c>
      <c r="G1422" t="s">
        <v>59</v>
      </c>
      <c r="H1422" t="s">
        <v>442</v>
      </c>
      <c r="I1422">
        <v>2.5000000000000001E-2</v>
      </c>
      <c r="J1422">
        <f t="shared" si="66"/>
        <v>18</v>
      </c>
      <c r="K1422">
        <v>2</v>
      </c>
      <c r="L1422">
        <f t="shared" si="67"/>
        <v>16</v>
      </c>
      <c r="M1422" s="4">
        <f t="shared" si="68"/>
        <v>0.02</v>
      </c>
      <c r="N1422">
        <v>800</v>
      </c>
      <c r="O1422">
        <v>720</v>
      </c>
      <c r="P1422" t="s">
        <v>25</v>
      </c>
      <c r="Q1422" t="s">
        <v>26</v>
      </c>
      <c r="R1422" t="str">
        <f>IF(COUNTIF(Sheet2!B:B, A1422) &gt; 0, "Yes", "No")</f>
        <v>No</v>
      </c>
    </row>
    <row r="1423" spans="1:18" x14ac:dyDescent="0.25">
      <c r="A1423" s="3">
        <v>45303</v>
      </c>
      <c r="B1423" t="s">
        <v>434</v>
      </c>
      <c r="C1423" t="s">
        <v>79</v>
      </c>
      <c r="D1423" t="s">
        <v>20</v>
      </c>
      <c r="E1423" t="s">
        <v>67</v>
      </c>
      <c r="F1423" t="s">
        <v>40</v>
      </c>
      <c r="G1423" t="s">
        <v>402</v>
      </c>
      <c r="H1423" t="s">
        <v>443</v>
      </c>
      <c r="I1423">
        <v>0.04</v>
      </c>
      <c r="J1423">
        <f t="shared" si="66"/>
        <v>28.8</v>
      </c>
      <c r="K1423">
        <v>2</v>
      </c>
      <c r="L1423">
        <f t="shared" si="67"/>
        <v>26.8</v>
      </c>
      <c r="M1423" s="4">
        <f t="shared" si="68"/>
        <v>3.3500000000000002E-2</v>
      </c>
      <c r="N1423">
        <v>800</v>
      </c>
      <c r="O1423">
        <v>720</v>
      </c>
      <c r="P1423" t="s">
        <v>25</v>
      </c>
      <c r="Q1423" t="s">
        <v>26</v>
      </c>
      <c r="R1423" t="str">
        <f>IF(COUNTIF(Sheet2!B:B, A1423) &gt; 0, "Yes", "No")</f>
        <v>No</v>
      </c>
    </row>
    <row r="1424" spans="1:18" x14ac:dyDescent="0.25">
      <c r="A1424" s="3">
        <v>45303</v>
      </c>
      <c r="B1424" t="s">
        <v>434</v>
      </c>
      <c r="C1424" t="s">
        <v>79</v>
      </c>
      <c r="D1424" t="s">
        <v>20</v>
      </c>
      <c r="E1424" t="s">
        <v>67</v>
      </c>
      <c r="F1424" t="s">
        <v>43</v>
      </c>
      <c r="G1424" t="s">
        <v>90</v>
      </c>
      <c r="H1424" t="s">
        <v>444</v>
      </c>
      <c r="I1424">
        <v>0.11</v>
      </c>
      <c r="J1424">
        <f t="shared" si="66"/>
        <v>79.2</v>
      </c>
      <c r="K1424">
        <v>6</v>
      </c>
      <c r="L1424">
        <f t="shared" si="67"/>
        <v>73.2</v>
      </c>
      <c r="M1424" s="4">
        <f t="shared" si="68"/>
        <v>9.1499999999999998E-2</v>
      </c>
      <c r="N1424">
        <v>800</v>
      </c>
      <c r="O1424">
        <v>720</v>
      </c>
      <c r="P1424" t="s">
        <v>25</v>
      </c>
      <c r="Q1424" t="s">
        <v>26</v>
      </c>
      <c r="R1424" t="str">
        <f>IF(COUNTIF(Sheet2!B:B, A1424) &gt; 0, "Yes", "No")</f>
        <v>No</v>
      </c>
    </row>
    <row r="1425" spans="1:18" x14ac:dyDescent="0.25">
      <c r="A1425" s="3">
        <v>45303</v>
      </c>
      <c r="B1425" t="s">
        <v>434</v>
      </c>
      <c r="C1425" t="s">
        <v>79</v>
      </c>
      <c r="D1425" t="s">
        <v>20</v>
      </c>
      <c r="E1425" t="s">
        <v>67</v>
      </c>
      <c r="F1425" t="s">
        <v>46</v>
      </c>
      <c r="G1425" t="s">
        <v>445</v>
      </c>
      <c r="H1425" t="s">
        <v>446</v>
      </c>
      <c r="I1425">
        <v>8.5000000000000006E-2</v>
      </c>
      <c r="J1425">
        <f t="shared" si="66"/>
        <v>61.2</v>
      </c>
      <c r="K1425">
        <v>4</v>
      </c>
      <c r="L1425">
        <f t="shared" si="67"/>
        <v>57.2</v>
      </c>
      <c r="M1425" s="4">
        <f t="shared" si="68"/>
        <v>7.1500000000000008E-2</v>
      </c>
      <c r="N1425">
        <v>800</v>
      </c>
      <c r="O1425">
        <v>720</v>
      </c>
      <c r="P1425" t="s">
        <v>25</v>
      </c>
      <c r="Q1425" t="s">
        <v>26</v>
      </c>
      <c r="R1425" t="str">
        <f>IF(COUNTIF(Sheet2!B:B, A1425) &gt; 0, "Yes", "No")</f>
        <v>No</v>
      </c>
    </row>
    <row r="1426" spans="1:18" x14ac:dyDescent="0.25">
      <c r="A1426" s="3">
        <v>45303</v>
      </c>
      <c r="B1426" t="s">
        <v>434</v>
      </c>
      <c r="C1426" t="s">
        <v>79</v>
      </c>
      <c r="D1426" t="s">
        <v>20</v>
      </c>
      <c r="E1426" t="s">
        <v>67</v>
      </c>
      <c r="F1426" t="s">
        <v>46</v>
      </c>
      <c r="G1426" t="s">
        <v>331</v>
      </c>
      <c r="H1426" t="s">
        <v>447</v>
      </c>
      <c r="I1426">
        <v>8.5000000000000006E-2</v>
      </c>
      <c r="J1426">
        <f t="shared" si="66"/>
        <v>61.2</v>
      </c>
      <c r="K1426">
        <v>4</v>
      </c>
      <c r="L1426">
        <f t="shared" si="67"/>
        <v>57.2</v>
      </c>
      <c r="M1426" s="4">
        <f t="shared" si="68"/>
        <v>7.1500000000000008E-2</v>
      </c>
      <c r="N1426">
        <v>800</v>
      </c>
      <c r="O1426">
        <v>720</v>
      </c>
      <c r="P1426" t="s">
        <v>25</v>
      </c>
      <c r="Q1426" t="s">
        <v>26</v>
      </c>
      <c r="R1426" t="str">
        <f>IF(COUNTIF(Sheet2!B:B, A1426) &gt; 0, "Yes", "No")</f>
        <v>No</v>
      </c>
    </row>
    <row r="1427" spans="1:18" x14ac:dyDescent="0.25">
      <c r="A1427" s="3">
        <v>45303</v>
      </c>
      <c r="B1427" t="s">
        <v>434</v>
      </c>
      <c r="C1427" t="s">
        <v>79</v>
      </c>
      <c r="D1427" t="s">
        <v>20</v>
      </c>
      <c r="E1427" t="s">
        <v>67</v>
      </c>
      <c r="F1427" t="s">
        <v>49</v>
      </c>
      <c r="G1427" t="s">
        <v>50</v>
      </c>
      <c r="H1427" t="s">
        <v>49</v>
      </c>
      <c r="I1427">
        <v>0.09</v>
      </c>
      <c r="J1427">
        <f t="shared" si="66"/>
        <v>64.8</v>
      </c>
      <c r="K1427">
        <v>6</v>
      </c>
      <c r="L1427">
        <f t="shared" si="67"/>
        <v>58.8</v>
      </c>
      <c r="M1427" s="4">
        <f t="shared" si="68"/>
        <v>7.3499999999999996E-2</v>
      </c>
      <c r="N1427">
        <v>800</v>
      </c>
      <c r="O1427">
        <v>720</v>
      </c>
      <c r="P1427" t="s">
        <v>25</v>
      </c>
      <c r="Q1427" t="s">
        <v>26</v>
      </c>
      <c r="R1427" t="str">
        <f>IF(COUNTIF(Sheet2!B:B, A1427) &gt; 0, "Yes", "No")</f>
        <v>No</v>
      </c>
    </row>
    <row r="1428" spans="1:18" x14ac:dyDescent="0.25">
      <c r="A1428" s="3">
        <v>45307</v>
      </c>
      <c r="B1428" t="s">
        <v>434</v>
      </c>
      <c r="C1428" t="s">
        <v>105</v>
      </c>
      <c r="D1428" t="s">
        <v>20</v>
      </c>
      <c r="E1428" t="s">
        <v>67</v>
      </c>
      <c r="F1428" t="s">
        <v>22</v>
      </c>
      <c r="G1428" t="s">
        <v>52</v>
      </c>
      <c r="H1428" t="s">
        <v>53</v>
      </c>
      <c r="I1428">
        <v>8.5000000000000006E-2</v>
      </c>
      <c r="J1428">
        <f t="shared" si="66"/>
        <v>61.2</v>
      </c>
      <c r="K1428">
        <v>1</v>
      </c>
      <c r="L1428">
        <f t="shared" si="67"/>
        <v>60.2</v>
      </c>
      <c r="M1428" s="4">
        <f t="shared" si="68"/>
        <v>7.5249999999999997E-2</v>
      </c>
      <c r="N1428">
        <v>800</v>
      </c>
      <c r="O1428">
        <v>720</v>
      </c>
      <c r="P1428" t="s">
        <v>25</v>
      </c>
      <c r="Q1428" t="s">
        <v>26</v>
      </c>
      <c r="R1428" t="str">
        <f>IF(COUNTIF(Sheet2!B:B, A1428) &gt; 0, "Yes", "No")</f>
        <v>No</v>
      </c>
    </row>
    <row r="1429" spans="1:18" x14ac:dyDescent="0.25">
      <c r="A1429" s="3">
        <v>45307</v>
      </c>
      <c r="B1429" t="s">
        <v>434</v>
      </c>
      <c r="C1429" t="s">
        <v>105</v>
      </c>
      <c r="D1429" t="s">
        <v>20</v>
      </c>
      <c r="E1429" t="s">
        <v>67</v>
      </c>
      <c r="F1429" t="s">
        <v>27</v>
      </c>
      <c r="G1429" t="s">
        <v>780</v>
      </c>
      <c r="H1429" t="s">
        <v>149</v>
      </c>
      <c r="I1429">
        <v>0.11</v>
      </c>
      <c r="J1429">
        <f t="shared" si="66"/>
        <v>79.2</v>
      </c>
      <c r="K1429">
        <v>0.5</v>
      </c>
      <c r="L1429">
        <f t="shared" si="67"/>
        <v>78.7</v>
      </c>
      <c r="M1429" s="4">
        <f t="shared" si="68"/>
        <v>9.8375000000000004E-2</v>
      </c>
      <c r="N1429">
        <v>800</v>
      </c>
      <c r="O1429">
        <v>720</v>
      </c>
      <c r="P1429" t="s">
        <v>25</v>
      </c>
      <c r="Q1429" t="s">
        <v>26</v>
      </c>
      <c r="R1429" t="str">
        <f>IF(COUNTIF(Sheet2!B:B, A1429) &gt; 0, "Yes", "No")</f>
        <v>No</v>
      </c>
    </row>
    <row r="1430" spans="1:18" x14ac:dyDescent="0.25">
      <c r="A1430" s="3">
        <v>45307</v>
      </c>
      <c r="B1430" t="s">
        <v>434</v>
      </c>
      <c r="C1430" t="s">
        <v>105</v>
      </c>
      <c r="D1430" t="s">
        <v>20</v>
      </c>
      <c r="E1430" t="s">
        <v>67</v>
      </c>
      <c r="F1430" t="s">
        <v>30</v>
      </c>
      <c r="G1430" t="s">
        <v>31</v>
      </c>
      <c r="H1430" t="s">
        <v>172</v>
      </c>
      <c r="I1430">
        <v>0.09</v>
      </c>
      <c r="J1430">
        <f t="shared" si="66"/>
        <v>64.8</v>
      </c>
      <c r="K1430">
        <v>1</v>
      </c>
      <c r="L1430">
        <f t="shared" si="67"/>
        <v>63.8</v>
      </c>
      <c r="M1430" s="4">
        <f t="shared" si="68"/>
        <v>7.9750000000000001E-2</v>
      </c>
      <c r="N1430">
        <v>800</v>
      </c>
      <c r="O1430">
        <v>720</v>
      </c>
      <c r="P1430" t="s">
        <v>25</v>
      </c>
      <c r="Q1430" t="s">
        <v>26</v>
      </c>
      <c r="R1430" t="str">
        <f>IF(COUNTIF(Sheet2!B:B, A1430) &gt; 0, "Yes", "No")</f>
        <v>No</v>
      </c>
    </row>
    <row r="1431" spans="1:18" x14ac:dyDescent="0.25">
      <c r="A1431" s="3">
        <v>45307</v>
      </c>
      <c r="B1431" t="s">
        <v>434</v>
      </c>
      <c r="C1431" t="s">
        <v>105</v>
      </c>
      <c r="D1431" t="s">
        <v>20</v>
      </c>
      <c r="E1431" t="s">
        <v>67</v>
      </c>
      <c r="F1431" t="s">
        <v>37</v>
      </c>
      <c r="G1431" t="s">
        <v>87</v>
      </c>
      <c r="H1431" t="s">
        <v>88</v>
      </c>
      <c r="I1431">
        <v>3.5000000000000003E-2</v>
      </c>
      <c r="J1431">
        <f t="shared" si="66"/>
        <v>25.200000000000003</v>
      </c>
      <c r="K1431">
        <v>2</v>
      </c>
      <c r="L1431">
        <f t="shared" si="67"/>
        <v>23.200000000000003</v>
      </c>
      <c r="M1431" s="4">
        <f t="shared" si="68"/>
        <v>2.9000000000000005E-2</v>
      </c>
      <c r="N1431">
        <v>800</v>
      </c>
      <c r="O1431">
        <v>720</v>
      </c>
      <c r="P1431" t="s">
        <v>25</v>
      </c>
      <c r="Q1431" t="s">
        <v>26</v>
      </c>
      <c r="R1431" t="str">
        <f>IF(COUNTIF(Sheet2!B:B, A1431) &gt; 0, "Yes", "No")</f>
        <v>No</v>
      </c>
    </row>
    <row r="1432" spans="1:18" x14ac:dyDescent="0.25">
      <c r="A1432" s="3">
        <v>45307</v>
      </c>
      <c r="B1432" t="s">
        <v>434</v>
      </c>
      <c r="C1432" t="s">
        <v>105</v>
      </c>
      <c r="D1432" t="s">
        <v>20</v>
      </c>
      <c r="E1432" t="s">
        <v>67</v>
      </c>
      <c r="F1432" t="s">
        <v>40</v>
      </c>
      <c r="G1432" t="s">
        <v>164</v>
      </c>
      <c r="H1432" t="s">
        <v>328</v>
      </c>
      <c r="I1432">
        <v>0.05</v>
      </c>
      <c r="J1432">
        <f t="shared" si="66"/>
        <v>36</v>
      </c>
      <c r="K1432">
        <v>1</v>
      </c>
      <c r="L1432">
        <f t="shared" si="67"/>
        <v>35</v>
      </c>
      <c r="M1432" s="4">
        <f t="shared" si="68"/>
        <v>4.3749999999999997E-2</v>
      </c>
      <c r="N1432">
        <v>800</v>
      </c>
      <c r="O1432">
        <v>720</v>
      </c>
      <c r="P1432" t="s">
        <v>25</v>
      </c>
      <c r="Q1432" t="s">
        <v>26</v>
      </c>
      <c r="R1432" t="str">
        <f>IF(COUNTIF(Sheet2!B:B, A1432) &gt; 0, "Yes", "No")</f>
        <v>No</v>
      </c>
    </row>
    <row r="1433" spans="1:18" x14ac:dyDescent="0.25">
      <c r="A1433" s="3">
        <v>45307</v>
      </c>
      <c r="B1433" t="s">
        <v>434</v>
      </c>
      <c r="C1433" t="s">
        <v>105</v>
      </c>
      <c r="D1433" t="s">
        <v>20</v>
      </c>
      <c r="E1433" t="s">
        <v>67</v>
      </c>
      <c r="F1433" t="s">
        <v>43</v>
      </c>
      <c r="G1433" t="s">
        <v>90</v>
      </c>
      <c r="H1433" t="s">
        <v>448</v>
      </c>
      <c r="I1433">
        <v>0.11</v>
      </c>
      <c r="J1433">
        <f t="shared" si="66"/>
        <v>79.2</v>
      </c>
      <c r="K1433">
        <v>3</v>
      </c>
      <c r="L1433">
        <f t="shared" si="67"/>
        <v>76.2</v>
      </c>
      <c r="M1433" s="4">
        <f t="shared" si="68"/>
        <v>9.5250000000000001E-2</v>
      </c>
      <c r="N1433">
        <v>800</v>
      </c>
      <c r="O1433">
        <v>720</v>
      </c>
      <c r="P1433" t="s">
        <v>25</v>
      </c>
      <c r="Q1433" t="s">
        <v>26</v>
      </c>
      <c r="R1433" t="str">
        <f>IF(COUNTIF(Sheet2!B:B, A1433) &gt; 0, "Yes", "No")</f>
        <v>No</v>
      </c>
    </row>
    <row r="1434" spans="1:18" x14ac:dyDescent="0.25">
      <c r="A1434" s="3">
        <v>45307</v>
      </c>
      <c r="B1434" t="s">
        <v>434</v>
      </c>
      <c r="C1434" t="s">
        <v>105</v>
      </c>
      <c r="D1434" t="s">
        <v>20</v>
      </c>
      <c r="E1434" t="s">
        <v>67</v>
      </c>
      <c r="F1434" t="s">
        <v>46</v>
      </c>
      <c r="G1434" t="s">
        <v>130</v>
      </c>
      <c r="H1434" t="s">
        <v>242</v>
      </c>
      <c r="I1434">
        <v>8.5000000000000006E-2</v>
      </c>
      <c r="J1434">
        <f t="shared" si="66"/>
        <v>61.2</v>
      </c>
      <c r="K1434">
        <v>0</v>
      </c>
      <c r="L1434">
        <f t="shared" si="67"/>
        <v>61.2</v>
      </c>
      <c r="M1434" s="4">
        <f t="shared" si="68"/>
        <v>7.6499999999999999E-2</v>
      </c>
      <c r="N1434">
        <v>800</v>
      </c>
      <c r="O1434">
        <v>720</v>
      </c>
      <c r="P1434" t="s">
        <v>25</v>
      </c>
      <c r="Q1434" t="s">
        <v>26</v>
      </c>
      <c r="R1434" t="str">
        <f>IF(COUNTIF(Sheet2!B:B, A1434) &gt; 0, "Yes", "No")</f>
        <v>No</v>
      </c>
    </row>
    <row r="1435" spans="1:18" x14ac:dyDescent="0.25">
      <c r="A1435" s="3">
        <v>45307</v>
      </c>
      <c r="B1435" t="s">
        <v>434</v>
      </c>
      <c r="C1435" t="s">
        <v>105</v>
      </c>
      <c r="D1435" t="s">
        <v>20</v>
      </c>
      <c r="E1435" t="s">
        <v>67</v>
      </c>
      <c r="F1435" t="s">
        <v>49</v>
      </c>
      <c r="G1435" t="s">
        <v>50</v>
      </c>
      <c r="H1435" t="s">
        <v>49</v>
      </c>
      <c r="I1435">
        <v>0.09</v>
      </c>
      <c r="J1435">
        <f t="shared" si="66"/>
        <v>64.8</v>
      </c>
      <c r="K1435">
        <v>3</v>
      </c>
      <c r="L1435">
        <f t="shared" si="67"/>
        <v>61.8</v>
      </c>
      <c r="M1435" s="4">
        <f t="shared" si="68"/>
        <v>7.7249999999999999E-2</v>
      </c>
      <c r="N1435">
        <v>800</v>
      </c>
      <c r="O1435">
        <v>720</v>
      </c>
      <c r="P1435" t="s">
        <v>25</v>
      </c>
      <c r="Q1435" t="s">
        <v>26</v>
      </c>
      <c r="R1435" t="str">
        <f>IF(COUNTIF(Sheet2!B:B, A1435) &gt; 0, "Yes", "No")</f>
        <v>No</v>
      </c>
    </row>
    <row r="1436" spans="1:18" x14ac:dyDescent="0.25">
      <c r="A1436" s="3">
        <v>45308</v>
      </c>
      <c r="B1436" t="s">
        <v>434</v>
      </c>
      <c r="C1436" t="s">
        <v>51</v>
      </c>
      <c r="D1436" t="s">
        <v>20</v>
      </c>
      <c r="E1436" t="s">
        <v>21</v>
      </c>
      <c r="F1436" t="s">
        <v>22</v>
      </c>
      <c r="G1436" t="s">
        <v>94</v>
      </c>
      <c r="H1436" t="s">
        <v>143</v>
      </c>
      <c r="I1436">
        <v>8.5000000000000006E-2</v>
      </c>
      <c r="J1436">
        <f t="shared" si="66"/>
        <v>64.600000000000009</v>
      </c>
      <c r="K1436">
        <v>2</v>
      </c>
      <c r="L1436">
        <f t="shared" si="67"/>
        <v>62.600000000000009</v>
      </c>
      <c r="M1436" s="4">
        <f t="shared" si="68"/>
        <v>7.3647058823529427E-2</v>
      </c>
      <c r="N1436">
        <v>850</v>
      </c>
      <c r="O1436">
        <v>760</v>
      </c>
      <c r="P1436" t="s">
        <v>25</v>
      </c>
      <c r="Q1436" t="s">
        <v>26</v>
      </c>
      <c r="R1436" t="str">
        <f>IF(COUNTIF(Sheet2!B:B, A1436) &gt; 0, "Yes", "No")</f>
        <v>No</v>
      </c>
    </row>
    <row r="1437" spans="1:18" x14ac:dyDescent="0.25">
      <c r="A1437" s="3">
        <v>45308</v>
      </c>
      <c r="B1437" t="s">
        <v>434</v>
      </c>
      <c r="C1437" t="s">
        <v>51</v>
      </c>
      <c r="D1437" t="s">
        <v>20</v>
      </c>
      <c r="E1437" t="s">
        <v>21</v>
      </c>
      <c r="F1437" t="s">
        <v>27</v>
      </c>
      <c r="G1437" t="s">
        <v>28</v>
      </c>
      <c r="H1437" t="s">
        <v>187</v>
      </c>
      <c r="I1437">
        <v>0.11</v>
      </c>
      <c r="J1437">
        <f t="shared" si="66"/>
        <v>83.6</v>
      </c>
      <c r="K1437">
        <v>3</v>
      </c>
      <c r="L1437">
        <f t="shared" si="67"/>
        <v>80.599999999999994</v>
      </c>
      <c r="M1437" s="4">
        <f t="shared" si="68"/>
        <v>9.4823529411764695E-2</v>
      </c>
      <c r="N1437">
        <v>850</v>
      </c>
      <c r="O1437">
        <v>760</v>
      </c>
      <c r="P1437" t="s">
        <v>25</v>
      </c>
      <c r="Q1437" t="s">
        <v>26</v>
      </c>
      <c r="R1437" t="str">
        <f>IF(COUNTIF(Sheet2!B:B, A1437) &gt; 0, "Yes", "No")</f>
        <v>No</v>
      </c>
    </row>
    <row r="1438" spans="1:18" x14ac:dyDescent="0.25">
      <c r="A1438" s="3">
        <v>45308</v>
      </c>
      <c r="B1438" t="s">
        <v>434</v>
      </c>
      <c r="C1438" t="s">
        <v>51</v>
      </c>
      <c r="D1438" t="s">
        <v>20</v>
      </c>
      <c r="E1438" t="s">
        <v>21</v>
      </c>
      <c r="F1438" t="s">
        <v>30</v>
      </c>
      <c r="G1438" t="s">
        <v>31</v>
      </c>
      <c r="H1438" t="s">
        <v>70</v>
      </c>
      <c r="I1438">
        <v>0.09</v>
      </c>
      <c r="J1438">
        <f t="shared" si="66"/>
        <v>68.399999999999991</v>
      </c>
      <c r="K1438">
        <v>0</v>
      </c>
      <c r="L1438">
        <f t="shared" si="67"/>
        <v>68.399999999999991</v>
      </c>
      <c r="M1438" s="4">
        <f t="shared" si="68"/>
        <v>8.0470588235294113E-2</v>
      </c>
      <c r="N1438">
        <v>850</v>
      </c>
      <c r="O1438">
        <v>760</v>
      </c>
      <c r="P1438" t="s">
        <v>25</v>
      </c>
      <c r="Q1438" t="s">
        <v>26</v>
      </c>
      <c r="R1438" t="str">
        <f>IF(COUNTIF(Sheet2!B:B, A1438) &gt; 0, "Yes", "No")</f>
        <v>No</v>
      </c>
    </row>
    <row r="1439" spans="1:18" x14ac:dyDescent="0.25">
      <c r="A1439" s="3">
        <v>45308</v>
      </c>
      <c r="B1439" t="s">
        <v>434</v>
      </c>
      <c r="C1439" t="s">
        <v>51</v>
      </c>
      <c r="D1439" t="s">
        <v>33</v>
      </c>
      <c r="E1439" t="s">
        <v>21</v>
      </c>
      <c r="F1439" t="s">
        <v>34</v>
      </c>
      <c r="G1439" t="s">
        <v>57</v>
      </c>
      <c r="H1439" t="s">
        <v>314</v>
      </c>
      <c r="I1439">
        <v>0.15</v>
      </c>
      <c r="J1439">
        <f t="shared" si="66"/>
        <v>79.8</v>
      </c>
      <c r="K1439">
        <v>0</v>
      </c>
      <c r="L1439">
        <f t="shared" si="67"/>
        <v>79.8</v>
      </c>
      <c r="M1439" s="4">
        <f t="shared" si="68"/>
        <v>0.13411764705882354</v>
      </c>
      <c r="N1439">
        <v>595</v>
      </c>
      <c r="O1439">
        <v>532</v>
      </c>
      <c r="P1439" t="s">
        <v>25</v>
      </c>
      <c r="Q1439" t="s">
        <v>26</v>
      </c>
      <c r="R1439" t="str">
        <f>IF(COUNTIF(Sheet2!B:B, A1439) &gt; 0, "Yes", "No")</f>
        <v>No</v>
      </c>
    </row>
    <row r="1440" spans="1:18" x14ac:dyDescent="0.25">
      <c r="A1440" s="3">
        <v>45308</v>
      </c>
      <c r="B1440" t="s">
        <v>434</v>
      </c>
      <c r="C1440" t="s">
        <v>51</v>
      </c>
      <c r="D1440" t="s">
        <v>20</v>
      </c>
      <c r="E1440" t="s">
        <v>21</v>
      </c>
      <c r="F1440" t="s">
        <v>37</v>
      </c>
      <c r="G1440" t="s">
        <v>87</v>
      </c>
      <c r="H1440" t="s">
        <v>99</v>
      </c>
      <c r="I1440">
        <v>0.03</v>
      </c>
      <c r="J1440">
        <f t="shared" si="66"/>
        <v>22.8</v>
      </c>
      <c r="K1440">
        <v>1</v>
      </c>
      <c r="L1440">
        <f t="shared" si="67"/>
        <v>21.8</v>
      </c>
      <c r="M1440" s="4">
        <f t="shared" si="68"/>
        <v>2.5647058823529412E-2</v>
      </c>
      <c r="N1440">
        <v>850</v>
      </c>
      <c r="O1440">
        <v>760</v>
      </c>
      <c r="P1440" t="s">
        <v>25</v>
      </c>
      <c r="Q1440" t="s">
        <v>26</v>
      </c>
      <c r="R1440" t="str">
        <f>IF(COUNTIF(Sheet2!B:B, A1440) &gt; 0, "Yes", "No")</f>
        <v>No</v>
      </c>
    </row>
    <row r="1441" spans="1:18" x14ac:dyDescent="0.25">
      <c r="A1441" s="3">
        <v>45308</v>
      </c>
      <c r="B1441" t="s">
        <v>434</v>
      </c>
      <c r="C1441" t="s">
        <v>51</v>
      </c>
      <c r="D1441" t="s">
        <v>20</v>
      </c>
      <c r="E1441" t="s">
        <v>21</v>
      </c>
      <c r="F1441" t="s">
        <v>40</v>
      </c>
      <c r="G1441" t="s">
        <v>127</v>
      </c>
      <c r="H1441" t="s">
        <v>358</v>
      </c>
      <c r="I1441">
        <v>4.4999999999999998E-2</v>
      </c>
      <c r="J1441">
        <f t="shared" si="66"/>
        <v>34.199999999999996</v>
      </c>
      <c r="K1441">
        <v>2</v>
      </c>
      <c r="L1441">
        <f t="shared" si="67"/>
        <v>32.199999999999996</v>
      </c>
      <c r="M1441" s="4">
        <f t="shared" si="68"/>
        <v>3.7882352941176464E-2</v>
      </c>
      <c r="N1441">
        <v>850</v>
      </c>
      <c r="O1441">
        <v>760</v>
      </c>
      <c r="P1441" t="s">
        <v>25</v>
      </c>
      <c r="Q1441" t="s">
        <v>26</v>
      </c>
      <c r="R1441" t="str">
        <f>IF(COUNTIF(Sheet2!B:B, A1441) &gt; 0, "Yes", "No")</f>
        <v>No</v>
      </c>
    </row>
    <row r="1442" spans="1:18" x14ac:dyDescent="0.25">
      <c r="A1442" s="3">
        <v>45308</v>
      </c>
      <c r="B1442" t="s">
        <v>434</v>
      </c>
      <c r="C1442" t="s">
        <v>51</v>
      </c>
      <c r="D1442" t="s">
        <v>20</v>
      </c>
      <c r="E1442" t="s">
        <v>21</v>
      </c>
      <c r="F1442" t="s">
        <v>43</v>
      </c>
      <c r="G1442" t="s">
        <v>44</v>
      </c>
      <c r="H1442" t="s">
        <v>449</v>
      </c>
      <c r="I1442">
        <v>0.11</v>
      </c>
      <c r="J1442">
        <f t="shared" si="66"/>
        <v>83.6</v>
      </c>
      <c r="K1442">
        <v>0</v>
      </c>
      <c r="L1442">
        <f t="shared" si="67"/>
        <v>83.6</v>
      </c>
      <c r="M1442" s="4">
        <f t="shared" si="68"/>
        <v>9.8352941176470587E-2</v>
      </c>
      <c r="N1442">
        <v>850</v>
      </c>
      <c r="O1442">
        <v>760</v>
      </c>
      <c r="P1442" t="s">
        <v>25</v>
      </c>
      <c r="Q1442" t="s">
        <v>26</v>
      </c>
      <c r="R1442" t="str">
        <f>IF(COUNTIF(Sheet2!B:B, A1442) &gt; 0, "Yes", "No")</f>
        <v>No</v>
      </c>
    </row>
    <row r="1443" spans="1:18" x14ac:dyDescent="0.25">
      <c r="A1443" s="3">
        <v>45308</v>
      </c>
      <c r="B1443" t="s">
        <v>434</v>
      </c>
      <c r="C1443" t="s">
        <v>51</v>
      </c>
      <c r="D1443" t="s">
        <v>20</v>
      </c>
      <c r="E1443" t="s">
        <v>21</v>
      </c>
      <c r="F1443" t="s">
        <v>46</v>
      </c>
      <c r="G1443" t="s">
        <v>47</v>
      </c>
      <c r="H1443" t="s">
        <v>450</v>
      </c>
      <c r="I1443">
        <v>8.5000000000000006E-2</v>
      </c>
      <c r="J1443">
        <f t="shared" si="66"/>
        <v>64.600000000000009</v>
      </c>
      <c r="K1443">
        <v>3</v>
      </c>
      <c r="L1443">
        <f t="shared" si="67"/>
        <v>61.600000000000009</v>
      </c>
      <c r="M1443" s="4">
        <f t="shared" si="68"/>
        <v>7.2470588235294134E-2</v>
      </c>
      <c r="N1443">
        <v>850</v>
      </c>
      <c r="O1443">
        <v>760</v>
      </c>
      <c r="P1443" t="s">
        <v>25</v>
      </c>
      <c r="Q1443" t="s">
        <v>26</v>
      </c>
      <c r="R1443" t="str">
        <f>IF(COUNTIF(Sheet2!B:B, A1443) &gt; 0, "Yes", "No")</f>
        <v>No</v>
      </c>
    </row>
    <row r="1444" spans="1:18" x14ac:dyDescent="0.25">
      <c r="A1444" s="3">
        <v>45308</v>
      </c>
      <c r="B1444" t="s">
        <v>434</v>
      </c>
      <c r="C1444" t="s">
        <v>51</v>
      </c>
      <c r="D1444" t="s">
        <v>20</v>
      </c>
      <c r="E1444" t="s">
        <v>21</v>
      </c>
      <c r="F1444" t="s">
        <v>49</v>
      </c>
      <c r="G1444" t="s">
        <v>50</v>
      </c>
      <c r="H1444" t="s">
        <v>49</v>
      </c>
      <c r="I1444">
        <v>0.09</v>
      </c>
      <c r="J1444">
        <f t="shared" si="66"/>
        <v>68.399999999999991</v>
      </c>
      <c r="K1444">
        <v>3</v>
      </c>
      <c r="L1444">
        <f t="shared" si="67"/>
        <v>65.399999999999991</v>
      </c>
      <c r="M1444" s="4">
        <f t="shared" si="68"/>
        <v>7.6941176470588221E-2</v>
      </c>
      <c r="N1444">
        <v>850</v>
      </c>
      <c r="O1444">
        <v>760</v>
      </c>
      <c r="P1444" t="s">
        <v>25</v>
      </c>
      <c r="Q1444" t="s">
        <v>26</v>
      </c>
      <c r="R1444" t="str">
        <f>IF(COUNTIF(Sheet2!B:B, A1444) &gt; 0, "Yes", "No")</f>
        <v>No</v>
      </c>
    </row>
    <row r="1445" spans="1:18" x14ac:dyDescent="0.25">
      <c r="A1445" s="3">
        <v>45309</v>
      </c>
      <c r="B1445" t="s">
        <v>434</v>
      </c>
      <c r="C1445" t="s">
        <v>66</v>
      </c>
      <c r="D1445" t="s">
        <v>20</v>
      </c>
      <c r="E1445" t="s">
        <v>67</v>
      </c>
      <c r="F1445" t="s">
        <v>22</v>
      </c>
      <c r="G1445" t="s">
        <v>23</v>
      </c>
      <c r="H1445" t="s">
        <v>114</v>
      </c>
      <c r="I1445">
        <v>8.5000000000000006E-2</v>
      </c>
      <c r="J1445">
        <f t="shared" si="66"/>
        <v>57.800000000000004</v>
      </c>
      <c r="K1445">
        <v>1</v>
      </c>
      <c r="L1445">
        <f t="shared" si="67"/>
        <v>56.800000000000004</v>
      </c>
      <c r="M1445" s="4">
        <f t="shared" si="68"/>
        <v>7.5733333333333333E-2</v>
      </c>
      <c r="N1445">
        <v>750</v>
      </c>
      <c r="O1445">
        <v>680</v>
      </c>
      <c r="P1445" t="s">
        <v>25</v>
      </c>
      <c r="Q1445" t="s">
        <v>26</v>
      </c>
      <c r="R1445" t="str">
        <f>IF(COUNTIF(Sheet2!B:B, A1445) &gt; 0, "Yes", "No")</f>
        <v>No</v>
      </c>
    </row>
    <row r="1446" spans="1:18" x14ac:dyDescent="0.25">
      <c r="A1446" s="3">
        <v>45309</v>
      </c>
      <c r="B1446" t="s">
        <v>434</v>
      </c>
      <c r="C1446" t="s">
        <v>66</v>
      </c>
      <c r="D1446" t="s">
        <v>20</v>
      </c>
      <c r="E1446" t="s">
        <v>67</v>
      </c>
      <c r="F1446" t="s">
        <v>27</v>
      </c>
      <c r="G1446" t="s">
        <v>451</v>
      </c>
      <c r="H1446" t="s">
        <v>452</v>
      </c>
      <c r="I1446">
        <v>0.11</v>
      </c>
      <c r="J1446">
        <f t="shared" si="66"/>
        <v>74.8</v>
      </c>
      <c r="K1446">
        <v>0</v>
      </c>
      <c r="L1446">
        <f t="shared" si="67"/>
        <v>74.8</v>
      </c>
      <c r="M1446" s="4">
        <f t="shared" si="68"/>
        <v>9.9733333333333327E-2</v>
      </c>
      <c r="N1446">
        <v>750</v>
      </c>
      <c r="O1446">
        <v>680</v>
      </c>
      <c r="P1446" t="s">
        <v>25</v>
      </c>
      <c r="Q1446" t="s">
        <v>26</v>
      </c>
      <c r="R1446" t="str">
        <f>IF(COUNTIF(Sheet2!B:B, A1446) &gt; 0, "Yes", "No")</f>
        <v>No</v>
      </c>
    </row>
    <row r="1447" spans="1:18" x14ac:dyDescent="0.25">
      <c r="A1447" s="3">
        <v>45309</v>
      </c>
      <c r="B1447" t="s">
        <v>434</v>
      </c>
      <c r="C1447" t="s">
        <v>66</v>
      </c>
      <c r="D1447" t="s">
        <v>20</v>
      </c>
      <c r="E1447" t="s">
        <v>67</v>
      </c>
      <c r="F1447" t="s">
        <v>30</v>
      </c>
      <c r="G1447" t="s">
        <v>55</v>
      </c>
      <c r="H1447" t="s">
        <v>125</v>
      </c>
      <c r="I1447">
        <v>0.09</v>
      </c>
      <c r="J1447">
        <f t="shared" si="66"/>
        <v>61.199999999999996</v>
      </c>
      <c r="K1447">
        <v>2</v>
      </c>
      <c r="L1447">
        <f t="shared" si="67"/>
        <v>59.199999999999996</v>
      </c>
      <c r="M1447" s="4">
        <f t="shared" si="68"/>
        <v>7.8933333333333328E-2</v>
      </c>
      <c r="N1447">
        <v>750</v>
      </c>
      <c r="O1447">
        <v>680</v>
      </c>
      <c r="P1447" t="s">
        <v>25</v>
      </c>
      <c r="Q1447" t="s">
        <v>26</v>
      </c>
      <c r="R1447" t="str">
        <f>IF(COUNTIF(Sheet2!B:B, A1447) &gt; 0, "Yes", "No")</f>
        <v>No</v>
      </c>
    </row>
    <row r="1448" spans="1:18" x14ac:dyDescent="0.25">
      <c r="A1448" s="3">
        <v>45309</v>
      </c>
      <c r="B1448" t="s">
        <v>434</v>
      </c>
      <c r="C1448" t="s">
        <v>66</v>
      </c>
      <c r="D1448" t="s">
        <v>20</v>
      </c>
      <c r="E1448" t="s">
        <v>67</v>
      </c>
      <c r="F1448" t="s">
        <v>37</v>
      </c>
      <c r="G1448" t="s">
        <v>87</v>
      </c>
      <c r="H1448" t="s">
        <v>136</v>
      </c>
      <c r="I1448">
        <v>3.5000000000000003E-2</v>
      </c>
      <c r="J1448">
        <f t="shared" si="66"/>
        <v>23.8</v>
      </c>
      <c r="K1448">
        <v>2</v>
      </c>
      <c r="L1448">
        <f t="shared" si="67"/>
        <v>21.8</v>
      </c>
      <c r="M1448" s="4">
        <f t="shared" si="68"/>
        <v>2.9066666666666668E-2</v>
      </c>
      <c r="N1448">
        <v>750</v>
      </c>
      <c r="O1448">
        <v>680</v>
      </c>
      <c r="P1448" t="s">
        <v>25</v>
      </c>
      <c r="Q1448" t="s">
        <v>26</v>
      </c>
      <c r="R1448" t="str">
        <f>IF(COUNTIF(Sheet2!B:B, A1448) &gt; 0, "Yes", "No")</f>
        <v>No</v>
      </c>
    </row>
    <row r="1449" spans="1:18" x14ac:dyDescent="0.25">
      <c r="A1449" s="3">
        <v>45309</v>
      </c>
      <c r="B1449" t="s">
        <v>434</v>
      </c>
      <c r="C1449" t="s">
        <v>66</v>
      </c>
      <c r="D1449" t="s">
        <v>20</v>
      </c>
      <c r="E1449" t="s">
        <v>67</v>
      </c>
      <c r="F1449" t="s">
        <v>40</v>
      </c>
      <c r="G1449" t="s">
        <v>137</v>
      </c>
      <c r="H1449" t="s">
        <v>138</v>
      </c>
      <c r="I1449">
        <v>0.05</v>
      </c>
      <c r="J1449">
        <f t="shared" si="66"/>
        <v>34</v>
      </c>
      <c r="K1449">
        <v>3</v>
      </c>
      <c r="L1449">
        <f t="shared" si="67"/>
        <v>31</v>
      </c>
      <c r="M1449" s="4">
        <f t="shared" si="68"/>
        <v>4.1333333333333333E-2</v>
      </c>
      <c r="N1449">
        <v>750</v>
      </c>
      <c r="O1449">
        <v>680</v>
      </c>
      <c r="P1449" t="s">
        <v>25</v>
      </c>
      <c r="Q1449" t="s">
        <v>26</v>
      </c>
      <c r="R1449" t="str">
        <f>IF(COUNTIF(Sheet2!B:B, A1449) &gt; 0, "Yes", "No")</f>
        <v>No</v>
      </c>
    </row>
    <row r="1450" spans="1:18" x14ac:dyDescent="0.25">
      <c r="A1450" s="3">
        <v>45309</v>
      </c>
      <c r="B1450" t="s">
        <v>434</v>
      </c>
      <c r="C1450" t="s">
        <v>66</v>
      </c>
      <c r="D1450" t="s">
        <v>20</v>
      </c>
      <c r="E1450" t="s">
        <v>67</v>
      </c>
      <c r="F1450" t="s">
        <v>43</v>
      </c>
      <c r="G1450" t="s">
        <v>90</v>
      </c>
      <c r="H1450" t="s">
        <v>453</v>
      </c>
      <c r="I1450">
        <v>0.11</v>
      </c>
      <c r="J1450">
        <f t="shared" si="66"/>
        <v>74.8</v>
      </c>
      <c r="K1450">
        <v>2</v>
      </c>
      <c r="L1450">
        <f t="shared" si="67"/>
        <v>72.8</v>
      </c>
      <c r="M1450" s="4">
        <f t="shared" si="68"/>
        <v>9.7066666666666662E-2</v>
      </c>
      <c r="N1450">
        <v>750</v>
      </c>
      <c r="O1450">
        <v>680</v>
      </c>
      <c r="P1450" t="s">
        <v>25</v>
      </c>
      <c r="Q1450" t="s">
        <v>26</v>
      </c>
      <c r="R1450" t="str">
        <f>IF(COUNTIF(Sheet2!B:B, A1450) &gt; 0, "Yes", "No")</f>
        <v>No</v>
      </c>
    </row>
    <row r="1451" spans="1:18" x14ac:dyDescent="0.25">
      <c r="A1451" s="3">
        <v>45309</v>
      </c>
      <c r="B1451" t="s">
        <v>434</v>
      </c>
      <c r="C1451" t="s">
        <v>66</v>
      </c>
      <c r="D1451" t="s">
        <v>20</v>
      </c>
      <c r="E1451" t="s">
        <v>67</v>
      </c>
      <c r="F1451" t="s">
        <v>46</v>
      </c>
      <c r="G1451" t="s">
        <v>92</v>
      </c>
      <c r="H1451" t="s">
        <v>454</v>
      </c>
      <c r="I1451">
        <v>8.5000000000000006E-2</v>
      </c>
      <c r="J1451">
        <f t="shared" si="66"/>
        <v>57.800000000000004</v>
      </c>
      <c r="K1451">
        <v>1</v>
      </c>
      <c r="L1451">
        <f t="shared" si="67"/>
        <v>56.800000000000004</v>
      </c>
      <c r="M1451" s="4">
        <f t="shared" si="68"/>
        <v>7.5733333333333333E-2</v>
      </c>
      <c r="N1451">
        <v>750</v>
      </c>
      <c r="O1451">
        <v>680</v>
      </c>
      <c r="P1451" t="s">
        <v>25</v>
      </c>
      <c r="Q1451" t="s">
        <v>26</v>
      </c>
      <c r="R1451" t="str">
        <f>IF(COUNTIF(Sheet2!B:B, A1451) &gt; 0, "Yes", "No")</f>
        <v>No</v>
      </c>
    </row>
    <row r="1452" spans="1:18" x14ac:dyDescent="0.25">
      <c r="A1452" s="3">
        <v>45309</v>
      </c>
      <c r="B1452" t="s">
        <v>434</v>
      </c>
      <c r="C1452" t="s">
        <v>66</v>
      </c>
      <c r="D1452" t="s">
        <v>20</v>
      </c>
      <c r="E1452" t="s">
        <v>67</v>
      </c>
      <c r="F1452" t="s">
        <v>49</v>
      </c>
      <c r="G1452" t="s">
        <v>50</v>
      </c>
      <c r="H1452" t="s">
        <v>49</v>
      </c>
      <c r="I1452">
        <v>0.09</v>
      </c>
      <c r="J1452">
        <f t="shared" si="66"/>
        <v>61.199999999999996</v>
      </c>
      <c r="K1452">
        <v>3</v>
      </c>
      <c r="L1452">
        <f t="shared" si="67"/>
        <v>58.199999999999996</v>
      </c>
      <c r="M1452" s="4">
        <f t="shared" si="68"/>
        <v>7.7599999999999988E-2</v>
      </c>
      <c r="N1452">
        <v>750</v>
      </c>
      <c r="O1452">
        <v>680</v>
      </c>
      <c r="P1452" t="s">
        <v>25</v>
      </c>
      <c r="Q1452" t="s">
        <v>26</v>
      </c>
      <c r="R1452" t="str">
        <f>IF(COUNTIF(Sheet2!B:B, A1452) &gt; 0, "Yes", "No")</f>
        <v>No</v>
      </c>
    </row>
    <row r="1453" spans="1:18" x14ac:dyDescent="0.25">
      <c r="A1453" s="3">
        <v>45310</v>
      </c>
      <c r="B1453" t="s">
        <v>434</v>
      </c>
      <c r="C1453" t="s">
        <v>79</v>
      </c>
      <c r="D1453" t="s">
        <v>20</v>
      </c>
      <c r="E1453" t="s">
        <v>21</v>
      </c>
      <c r="F1453" t="s">
        <v>22</v>
      </c>
      <c r="G1453" t="s">
        <v>23</v>
      </c>
      <c r="H1453" t="s">
        <v>196</v>
      </c>
      <c r="I1453" s="5">
        <v>0.06</v>
      </c>
      <c r="J1453">
        <f t="shared" si="66"/>
        <v>39</v>
      </c>
      <c r="K1453">
        <v>1</v>
      </c>
      <c r="L1453">
        <f t="shared" si="67"/>
        <v>38</v>
      </c>
      <c r="M1453" s="4">
        <f t="shared" si="68"/>
        <v>5.4285714285714284E-2</v>
      </c>
      <c r="N1453">
        <v>700</v>
      </c>
      <c r="O1453">
        <v>650</v>
      </c>
      <c r="P1453" t="s">
        <v>25</v>
      </c>
      <c r="Q1453" t="s">
        <v>26</v>
      </c>
      <c r="R1453" t="str">
        <f>IF(COUNTIF(Sheet2!B:B, A1453) &gt; 0, "Yes", "No")</f>
        <v>Yes</v>
      </c>
    </row>
    <row r="1454" spans="1:18" x14ac:dyDescent="0.25">
      <c r="A1454" s="3">
        <v>45310</v>
      </c>
      <c r="B1454" t="s">
        <v>434</v>
      </c>
      <c r="C1454" t="s">
        <v>79</v>
      </c>
      <c r="D1454" t="s">
        <v>20</v>
      </c>
      <c r="E1454" t="s">
        <v>21</v>
      </c>
      <c r="F1454" t="s">
        <v>27</v>
      </c>
      <c r="G1454" t="s">
        <v>81</v>
      </c>
      <c r="H1454" t="s">
        <v>310</v>
      </c>
      <c r="I1454" s="5">
        <v>0.1</v>
      </c>
      <c r="J1454">
        <f t="shared" si="66"/>
        <v>65</v>
      </c>
      <c r="K1454">
        <v>1</v>
      </c>
      <c r="L1454">
        <f t="shared" si="67"/>
        <v>64</v>
      </c>
      <c r="M1454" s="4">
        <f t="shared" si="68"/>
        <v>9.1428571428571428E-2</v>
      </c>
      <c r="N1454">
        <v>700</v>
      </c>
      <c r="O1454">
        <v>650</v>
      </c>
      <c r="P1454" t="s">
        <v>25</v>
      </c>
      <c r="Q1454" t="s">
        <v>26</v>
      </c>
      <c r="R1454" t="str">
        <f>IF(COUNTIF(Sheet2!B:B, A1454) &gt; 0, "Yes", "No")</f>
        <v>Yes</v>
      </c>
    </row>
    <row r="1455" spans="1:18" x14ac:dyDescent="0.25">
      <c r="A1455" s="3">
        <v>45310</v>
      </c>
      <c r="B1455" t="s">
        <v>434</v>
      </c>
      <c r="C1455" t="s">
        <v>79</v>
      </c>
      <c r="D1455" t="s">
        <v>20</v>
      </c>
      <c r="E1455" t="s">
        <v>21</v>
      </c>
      <c r="F1455" t="s">
        <v>30</v>
      </c>
      <c r="G1455" t="s">
        <v>55</v>
      </c>
      <c r="H1455" t="s">
        <v>56</v>
      </c>
      <c r="I1455" s="5">
        <v>0.06</v>
      </c>
      <c r="J1455">
        <f t="shared" si="66"/>
        <v>39</v>
      </c>
      <c r="K1455">
        <v>1</v>
      </c>
      <c r="L1455">
        <f t="shared" si="67"/>
        <v>38</v>
      </c>
      <c r="M1455" s="4">
        <f t="shared" si="68"/>
        <v>5.4285714285714284E-2</v>
      </c>
      <c r="N1455">
        <v>700</v>
      </c>
      <c r="O1455">
        <v>650</v>
      </c>
      <c r="P1455" t="s">
        <v>25</v>
      </c>
      <c r="Q1455" t="s">
        <v>26</v>
      </c>
      <c r="R1455" t="str">
        <f>IF(COUNTIF(Sheet2!B:B, A1455) &gt; 0, "Yes", "No")</f>
        <v>Yes</v>
      </c>
    </row>
    <row r="1456" spans="1:18" x14ac:dyDescent="0.25">
      <c r="A1456" s="3">
        <v>45310</v>
      </c>
      <c r="B1456" t="s">
        <v>434</v>
      </c>
      <c r="C1456" t="s">
        <v>79</v>
      </c>
      <c r="D1456" t="s">
        <v>33</v>
      </c>
      <c r="E1456" t="s">
        <v>21</v>
      </c>
      <c r="F1456" t="s">
        <v>84</v>
      </c>
      <c r="G1456" t="s">
        <v>85</v>
      </c>
      <c r="H1456" t="s">
        <v>455</v>
      </c>
      <c r="I1456" s="5">
        <v>0.3</v>
      </c>
      <c r="J1456">
        <f t="shared" si="66"/>
        <v>136.5</v>
      </c>
      <c r="K1456">
        <v>0</v>
      </c>
      <c r="L1456">
        <f t="shared" si="67"/>
        <v>136.5</v>
      </c>
      <c r="M1456" s="4">
        <f t="shared" si="68"/>
        <v>0.27857142857142858</v>
      </c>
      <c r="N1456">
        <v>490</v>
      </c>
      <c r="O1456">
        <v>455</v>
      </c>
      <c r="P1456" t="s">
        <v>25</v>
      </c>
      <c r="Q1456" t="s">
        <v>26</v>
      </c>
      <c r="R1456" t="str">
        <f>IF(COUNTIF(Sheet2!B:B, A1456) &gt; 0, "Yes", "No")</f>
        <v>Yes</v>
      </c>
    </row>
    <row r="1457" spans="1:18" x14ac:dyDescent="0.25">
      <c r="A1457" s="3">
        <v>45310</v>
      </c>
      <c r="B1457" t="s">
        <v>434</v>
      </c>
      <c r="C1457" t="s">
        <v>79</v>
      </c>
      <c r="D1457" t="s">
        <v>20</v>
      </c>
      <c r="E1457" t="s">
        <v>21</v>
      </c>
      <c r="F1457" t="s">
        <v>37</v>
      </c>
      <c r="G1457" t="s">
        <v>59</v>
      </c>
      <c r="H1457" t="s">
        <v>60</v>
      </c>
      <c r="I1457" s="5">
        <v>2.5000000000000001E-2</v>
      </c>
      <c r="J1457">
        <f t="shared" si="66"/>
        <v>16.25</v>
      </c>
      <c r="K1457">
        <v>1</v>
      </c>
      <c r="L1457">
        <f t="shared" si="67"/>
        <v>15.25</v>
      </c>
      <c r="M1457" s="4">
        <f t="shared" si="68"/>
        <v>2.1785714285714287E-2</v>
      </c>
      <c r="N1457">
        <v>700</v>
      </c>
      <c r="O1457">
        <v>650</v>
      </c>
      <c r="P1457" t="s">
        <v>25</v>
      </c>
      <c r="Q1457" t="s">
        <v>26</v>
      </c>
      <c r="R1457" t="str">
        <f>IF(COUNTIF(Sheet2!B:B, A1457) &gt; 0, "Yes", "No")</f>
        <v>Yes</v>
      </c>
    </row>
    <row r="1458" spans="1:18" x14ac:dyDescent="0.25">
      <c r="A1458" s="3">
        <v>45310</v>
      </c>
      <c r="B1458" t="s">
        <v>434</v>
      </c>
      <c r="C1458" t="s">
        <v>79</v>
      </c>
      <c r="D1458" t="s">
        <v>20</v>
      </c>
      <c r="E1458" t="s">
        <v>21</v>
      </c>
      <c r="F1458" t="s">
        <v>40</v>
      </c>
      <c r="G1458" t="s">
        <v>61</v>
      </c>
      <c r="H1458" t="s">
        <v>119</v>
      </c>
      <c r="I1458" s="5">
        <v>0.04</v>
      </c>
      <c r="J1458">
        <f t="shared" si="66"/>
        <v>26</v>
      </c>
      <c r="K1458">
        <v>2</v>
      </c>
      <c r="L1458">
        <f t="shared" si="67"/>
        <v>24</v>
      </c>
      <c r="M1458" s="4">
        <f t="shared" si="68"/>
        <v>3.4285714285714287E-2</v>
      </c>
      <c r="N1458">
        <v>700</v>
      </c>
      <c r="O1458">
        <v>650</v>
      </c>
      <c r="P1458" t="s">
        <v>25</v>
      </c>
      <c r="Q1458" t="s">
        <v>26</v>
      </c>
      <c r="R1458" t="str">
        <f>IF(COUNTIF(Sheet2!B:B, A1458) &gt; 0, "Yes", "No")</f>
        <v>Yes</v>
      </c>
    </row>
    <row r="1459" spans="1:18" x14ac:dyDescent="0.25">
      <c r="A1459" s="3">
        <v>45310</v>
      </c>
      <c r="B1459" t="s">
        <v>434</v>
      </c>
      <c r="C1459" t="s">
        <v>79</v>
      </c>
      <c r="D1459" t="s">
        <v>20</v>
      </c>
      <c r="E1459" t="s">
        <v>21</v>
      </c>
      <c r="F1459" t="s">
        <v>43</v>
      </c>
      <c r="G1459" t="s">
        <v>414</v>
      </c>
      <c r="H1459" t="s">
        <v>456</v>
      </c>
      <c r="I1459" s="5">
        <v>7.0000000000000007E-2</v>
      </c>
      <c r="J1459">
        <f t="shared" si="66"/>
        <v>45.500000000000007</v>
      </c>
      <c r="K1459">
        <v>1</v>
      </c>
      <c r="L1459">
        <f t="shared" si="67"/>
        <v>44.500000000000007</v>
      </c>
      <c r="M1459" s="4">
        <f t="shared" si="68"/>
        <v>6.3571428571428584E-2</v>
      </c>
      <c r="N1459">
        <v>700</v>
      </c>
      <c r="O1459">
        <v>650</v>
      </c>
      <c r="P1459" t="s">
        <v>25</v>
      </c>
      <c r="Q1459" t="s">
        <v>26</v>
      </c>
      <c r="R1459" t="str">
        <f>IF(COUNTIF(Sheet2!B:B, A1459) &gt; 0, "Yes", "No")</f>
        <v>Yes</v>
      </c>
    </row>
    <row r="1460" spans="1:18" x14ac:dyDescent="0.25">
      <c r="A1460" s="3">
        <v>45310</v>
      </c>
      <c r="B1460" t="s">
        <v>434</v>
      </c>
      <c r="C1460" t="s">
        <v>79</v>
      </c>
      <c r="D1460" t="s">
        <v>20</v>
      </c>
      <c r="E1460" t="s">
        <v>21</v>
      </c>
      <c r="F1460" t="s">
        <v>46</v>
      </c>
      <c r="G1460" t="s">
        <v>47</v>
      </c>
      <c r="H1460" t="s">
        <v>228</v>
      </c>
      <c r="I1460" s="5">
        <v>0.06</v>
      </c>
      <c r="J1460">
        <f t="shared" si="66"/>
        <v>39</v>
      </c>
      <c r="K1460">
        <v>1</v>
      </c>
      <c r="L1460">
        <f t="shared" si="67"/>
        <v>38</v>
      </c>
      <c r="M1460" s="4">
        <f t="shared" si="68"/>
        <v>5.4285714285714284E-2</v>
      </c>
      <c r="N1460">
        <v>700</v>
      </c>
      <c r="O1460">
        <v>650</v>
      </c>
      <c r="P1460" t="s">
        <v>25</v>
      </c>
      <c r="Q1460" t="s">
        <v>26</v>
      </c>
      <c r="R1460" t="str">
        <f>IF(COUNTIF(Sheet2!B:B, A1460) &gt; 0, "Yes", "No")</f>
        <v>Yes</v>
      </c>
    </row>
    <row r="1461" spans="1:18" x14ac:dyDescent="0.25">
      <c r="A1461" s="3">
        <v>45310</v>
      </c>
      <c r="B1461" t="s">
        <v>434</v>
      </c>
      <c r="C1461" t="s">
        <v>79</v>
      </c>
      <c r="D1461" t="s">
        <v>20</v>
      </c>
      <c r="E1461" t="s">
        <v>21</v>
      </c>
      <c r="F1461" t="s">
        <v>49</v>
      </c>
      <c r="G1461" t="s">
        <v>50</v>
      </c>
      <c r="H1461" t="s">
        <v>49</v>
      </c>
      <c r="I1461" s="5">
        <v>0.04</v>
      </c>
      <c r="J1461">
        <f t="shared" si="66"/>
        <v>26</v>
      </c>
      <c r="K1461">
        <v>1</v>
      </c>
      <c r="L1461">
        <f t="shared" si="67"/>
        <v>25</v>
      </c>
      <c r="M1461" s="4">
        <f t="shared" si="68"/>
        <v>3.5714285714285712E-2</v>
      </c>
      <c r="N1461">
        <v>700</v>
      </c>
      <c r="O1461">
        <v>650</v>
      </c>
      <c r="P1461" t="s">
        <v>25</v>
      </c>
      <c r="Q1461" t="s">
        <v>26</v>
      </c>
      <c r="R1461" t="str">
        <f>IF(COUNTIF(Sheet2!B:B, A1461) &gt; 0, "Yes", "No")</f>
        <v>Yes</v>
      </c>
    </row>
    <row r="1462" spans="1:18" x14ac:dyDescent="0.25">
      <c r="A1462" s="3">
        <v>45313</v>
      </c>
      <c r="B1462" t="s">
        <v>434</v>
      </c>
      <c r="C1462" t="s">
        <v>19</v>
      </c>
      <c r="D1462" t="s">
        <v>20</v>
      </c>
      <c r="E1462" t="s">
        <v>21</v>
      </c>
      <c r="F1462" t="s">
        <v>22</v>
      </c>
      <c r="G1462" t="s">
        <v>52</v>
      </c>
      <c r="H1462" t="s">
        <v>68</v>
      </c>
      <c r="I1462">
        <v>8.5000000000000006E-2</v>
      </c>
      <c r="J1462">
        <f t="shared" si="66"/>
        <v>61.2</v>
      </c>
      <c r="K1462">
        <v>4</v>
      </c>
      <c r="L1462">
        <f t="shared" si="67"/>
        <v>57.2</v>
      </c>
      <c r="M1462" s="4">
        <f t="shared" si="68"/>
        <v>7.1500000000000008E-2</v>
      </c>
      <c r="N1462">
        <v>800</v>
      </c>
      <c r="O1462">
        <v>720</v>
      </c>
      <c r="P1462" t="s">
        <v>25</v>
      </c>
      <c r="Q1462" t="s">
        <v>26</v>
      </c>
      <c r="R1462" t="str">
        <f>IF(COUNTIF(Sheet2!B:B, A1462) &gt; 0, "Yes", "No")</f>
        <v>No</v>
      </c>
    </row>
    <row r="1463" spans="1:18" x14ac:dyDescent="0.25">
      <c r="A1463" s="3">
        <v>45313</v>
      </c>
      <c r="B1463" t="s">
        <v>434</v>
      </c>
      <c r="C1463" t="s">
        <v>19</v>
      </c>
      <c r="D1463" t="s">
        <v>20</v>
      </c>
      <c r="E1463" t="s">
        <v>21</v>
      </c>
      <c r="F1463" t="s">
        <v>27</v>
      </c>
      <c r="G1463" t="s">
        <v>28</v>
      </c>
      <c r="H1463" t="s">
        <v>182</v>
      </c>
      <c r="I1463">
        <v>0.11</v>
      </c>
      <c r="J1463">
        <f t="shared" si="66"/>
        <v>79.2</v>
      </c>
      <c r="K1463">
        <v>4</v>
      </c>
      <c r="L1463">
        <f t="shared" si="67"/>
        <v>75.2</v>
      </c>
      <c r="M1463" s="4">
        <f t="shared" si="68"/>
        <v>9.4E-2</v>
      </c>
      <c r="N1463">
        <v>800</v>
      </c>
      <c r="O1463">
        <v>720</v>
      </c>
      <c r="P1463" t="s">
        <v>25</v>
      </c>
      <c r="Q1463" t="s">
        <v>26</v>
      </c>
      <c r="R1463" t="str">
        <f>IF(COUNTIF(Sheet2!B:B, A1463) &gt; 0, "Yes", "No")</f>
        <v>No</v>
      </c>
    </row>
    <row r="1464" spans="1:18" x14ac:dyDescent="0.25">
      <c r="A1464" s="3">
        <v>45313</v>
      </c>
      <c r="B1464" t="s">
        <v>434</v>
      </c>
      <c r="C1464" t="s">
        <v>19</v>
      </c>
      <c r="D1464" t="s">
        <v>20</v>
      </c>
      <c r="E1464" t="s">
        <v>21</v>
      </c>
      <c r="F1464" t="s">
        <v>30</v>
      </c>
      <c r="G1464" t="s">
        <v>55</v>
      </c>
      <c r="H1464" t="s">
        <v>183</v>
      </c>
      <c r="I1464">
        <v>0.09</v>
      </c>
      <c r="J1464">
        <f t="shared" si="66"/>
        <v>64.8</v>
      </c>
      <c r="K1464">
        <v>1</v>
      </c>
      <c r="L1464">
        <f t="shared" si="67"/>
        <v>63.8</v>
      </c>
      <c r="M1464" s="4">
        <f t="shared" si="68"/>
        <v>7.9750000000000001E-2</v>
      </c>
      <c r="N1464">
        <v>800</v>
      </c>
      <c r="O1464">
        <v>720</v>
      </c>
      <c r="P1464" t="s">
        <v>25</v>
      </c>
      <c r="Q1464" t="s">
        <v>26</v>
      </c>
      <c r="R1464" t="str">
        <f>IF(COUNTIF(Sheet2!B:B, A1464) &gt; 0, "Yes", "No")</f>
        <v>No</v>
      </c>
    </row>
    <row r="1465" spans="1:18" x14ac:dyDescent="0.25">
      <c r="A1465" s="3">
        <v>45313</v>
      </c>
      <c r="B1465" t="s">
        <v>434</v>
      </c>
      <c r="C1465" t="s">
        <v>19</v>
      </c>
      <c r="D1465" t="s">
        <v>33</v>
      </c>
      <c r="E1465" t="s">
        <v>21</v>
      </c>
      <c r="F1465" t="s">
        <v>34</v>
      </c>
      <c r="G1465" t="s">
        <v>57</v>
      </c>
      <c r="H1465" t="s">
        <v>457</v>
      </c>
      <c r="I1465">
        <v>0.15</v>
      </c>
      <c r="J1465">
        <f t="shared" si="66"/>
        <v>75.599999999999994</v>
      </c>
      <c r="K1465">
        <v>4</v>
      </c>
      <c r="L1465">
        <f t="shared" si="67"/>
        <v>71.599999999999994</v>
      </c>
      <c r="M1465" s="4">
        <f t="shared" si="68"/>
        <v>0.12785714285714284</v>
      </c>
      <c r="N1465">
        <v>560</v>
      </c>
      <c r="O1465">
        <v>504</v>
      </c>
      <c r="P1465" t="s">
        <v>25</v>
      </c>
      <c r="Q1465" t="s">
        <v>26</v>
      </c>
      <c r="R1465" t="str">
        <f>IF(COUNTIF(Sheet2!B:B, A1465) &gt; 0, "Yes", "No")</f>
        <v>No</v>
      </c>
    </row>
    <row r="1466" spans="1:18" x14ac:dyDescent="0.25">
      <c r="A1466" s="3">
        <v>45313</v>
      </c>
      <c r="B1466" t="s">
        <v>434</v>
      </c>
      <c r="C1466" t="s">
        <v>19</v>
      </c>
      <c r="D1466" t="s">
        <v>20</v>
      </c>
      <c r="E1466" t="s">
        <v>21</v>
      </c>
      <c r="F1466" t="s">
        <v>37</v>
      </c>
      <c r="G1466" t="s">
        <v>59</v>
      </c>
      <c r="H1466" t="s">
        <v>60</v>
      </c>
      <c r="I1466">
        <v>0.03</v>
      </c>
      <c r="J1466">
        <f t="shared" si="66"/>
        <v>21.599999999999998</v>
      </c>
      <c r="K1466">
        <v>3</v>
      </c>
      <c r="L1466">
        <f t="shared" si="67"/>
        <v>18.599999999999998</v>
      </c>
      <c r="M1466" s="4">
        <f t="shared" si="68"/>
        <v>2.3249999999999996E-2</v>
      </c>
      <c r="N1466">
        <v>800</v>
      </c>
      <c r="O1466">
        <v>720</v>
      </c>
      <c r="P1466" t="s">
        <v>25</v>
      </c>
      <c r="Q1466" t="s">
        <v>26</v>
      </c>
      <c r="R1466" t="str">
        <f>IF(COUNTIF(Sheet2!B:B, A1466) &gt; 0, "Yes", "No")</f>
        <v>No</v>
      </c>
    </row>
    <row r="1467" spans="1:18" x14ac:dyDescent="0.25">
      <c r="A1467" s="3">
        <v>45313</v>
      </c>
      <c r="B1467" t="s">
        <v>434</v>
      </c>
      <c r="C1467" t="s">
        <v>19</v>
      </c>
      <c r="D1467" t="s">
        <v>20</v>
      </c>
      <c r="E1467" t="s">
        <v>21</v>
      </c>
      <c r="F1467" t="s">
        <v>40</v>
      </c>
      <c r="G1467" t="s">
        <v>402</v>
      </c>
      <c r="H1467" t="s">
        <v>402</v>
      </c>
      <c r="I1467">
        <v>4.4999999999999998E-2</v>
      </c>
      <c r="J1467">
        <f t="shared" si="66"/>
        <v>32.4</v>
      </c>
      <c r="K1467">
        <v>3</v>
      </c>
      <c r="L1467">
        <f t="shared" si="67"/>
        <v>29.4</v>
      </c>
      <c r="M1467" s="4">
        <f t="shared" si="68"/>
        <v>3.6749999999999998E-2</v>
      </c>
      <c r="N1467">
        <v>800</v>
      </c>
      <c r="O1467">
        <v>720</v>
      </c>
      <c r="P1467" t="s">
        <v>25</v>
      </c>
      <c r="Q1467" t="s">
        <v>26</v>
      </c>
      <c r="R1467" t="str">
        <f>IF(COUNTIF(Sheet2!B:B, A1467) &gt; 0, "Yes", "No")</f>
        <v>No</v>
      </c>
    </row>
    <row r="1468" spans="1:18" x14ac:dyDescent="0.25">
      <c r="A1468" s="3">
        <v>45313</v>
      </c>
      <c r="B1468" t="s">
        <v>434</v>
      </c>
      <c r="C1468" t="s">
        <v>19</v>
      </c>
      <c r="D1468" t="s">
        <v>20</v>
      </c>
      <c r="E1468" t="s">
        <v>21</v>
      </c>
      <c r="F1468" t="s">
        <v>43</v>
      </c>
      <c r="G1468" t="s">
        <v>44</v>
      </c>
      <c r="H1468" t="s">
        <v>185</v>
      </c>
      <c r="I1468">
        <v>0.11</v>
      </c>
      <c r="J1468">
        <f t="shared" si="66"/>
        <v>79.2</v>
      </c>
      <c r="K1468">
        <v>3</v>
      </c>
      <c r="L1468">
        <f t="shared" si="67"/>
        <v>76.2</v>
      </c>
      <c r="M1468" s="4">
        <f t="shared" si="68"/>
        <v>9.5250000000000001E-2</v>
      </c>
      <c r="N1468">
        <v>800</v>
      </c>
      <c r="O1468">
        <v>720</v>
      </c>
      <c r="P1468" t="s">
        <v>25</v>
      </c>
      <c r="Q1468" t="s">
        <v>26</v>
      </c>
      <c r="R1468" t="str">
        <f>IF(COUNTIF(Sheet2!B:B, A1468) &gt; 0, "Yes", "No")</f>
        <v>No</v>
      </c>
    </row>
    <row r="1469" spans="1:18" x14ac:dyDescent="0.25">
      <c r="A1469" s="3">
        <v>45313</v>
      </c>
      <c r="B1469" t="s">
        <v>434</v>
      </c>
      <c r="C1469" t="s">
        <v>19</v>
      </c>
      <c r="D1469" t="s">
        <v>20</v>
      </c>
      <c r="E1469" t="s">
        <v>21</v>
      </c>
      <c r="F1469" t="s">
        <v>46</v>
      </c>
      <c r="G1469" t="s">
        <v>92</v>
      </c>
      <c r="H1469" t="s">
        <v>186</v>
      </c>
      <c r="I1469">
        <v>8.5000000000000006E-2</v>
      </c>
      <c r="J1469">
        <f t="shared" si="66"/>
        <v>61.2</v>
      </c>
      <c r="K1469">
        <v>4</v>
      </c>
      <c r="L1469">
        <f t="shared" si="67"/>
        <v>57.2</v>
      </c>
      <c r="M1469" s="4">
        <f t="shared" si="68"/>
        <v>7.1500000000000008E-2</v>
      </c>
      <c r="N1469">
        <v>800</v>
      </c>
      <c r="O1469">
        <v>720</v>
      </c>
      <c r="P1469" t="s">
        <v>25</v>
      </c>
      <c r="Q1469" t="s">
        <v>26</v>
      </c>
      <c r="R1469" t="str">
        <f>IF(COUNTIF(Sheet2!B:B, A1469) &gt; 0, "Yes", "No")</f>
        <v>No</v>
      </c>
    </row>
    <row r="1470" spans="1:18" x14ac:dyDescent="0.25">
      <c r="A1470" s="3">
        <v>45313</v>
      </c>
      <c r="B1470" t="s">
        <v>434</v>
      </c>
      <c r="C1470" t="s">
        <v>19</v>
      </c>
      <c r="D1470" t="s">
        <v>20</v>
      </c>
      <c r="E1470" t="s">
        <v>21</v>
      </c>
      <c r="F1470" t="s">
        <v>49</v>
      </c>
      <c r="G1470" t="s">
        <v>50</v>
      </c>
      <c r="H1470" t="s">
        <v>49</v>
      </c>
      <c r="I1470">
        <v>0.09</v>
      </c>
      <c r="J1470">
        <f t="shared" si="66"/>
        <v>64.8</v>
      </c>
      <c r="K1470">
        <v>4</v>
      </c>
      <c r="L1470">
        <f t="shared" si="67"/>
        <v>60.8</v>
      </c>
      <c r="M1470" s="4">
        <f t="shared" si="68"/>
        <v>7.5999999999999998E-2</v>
      </c>
      <c r="N1470">
        <v>800</v>
      </c>
      <c r="O1470">
        <v>720</v>
      </c>
      <c r="P1470" t="s">
        <v>25</v>
      </c>
      <c r="Q1470" t="s">
        <v>26</v>
      </c>
      <c r="R1470" t="str">
        <f>IF(COUNTIF(Sheet2!B:B, A1470) &gt; 0, "Yes", "No")</f>
        <v>No</v>
      </c>
    </row>
    <row r="1471" spans="1:18" x14ac:dyDescent="0.25">
      <c r="A1471" s="3">
        <v>45314</v>
      </c>
      <c r="B1471" t="s">
        <v>434</v>
      </c>
      <c r="C1471" t="s">
        <v>105</v>
      </c>
      <c r="D1471" t="s">
        <v>20</v>
      </c>
      <c r="E1471" t="s">
        <v>67</v>
      </c>
      <c r="F1471" t="s">
        <v>22</v>
      </c>
      <c r="G1471" t="s">
        <v>94</v>
      </c>
      <c r="H1471" t="s">
        <v>458</v>
      </c>
      <c r="I1471">
        <v>8.5000000000000006E-2</v>
      </c>
      <c r="J1471">
        <f t="shared" si="66"/>
        <v>57.800000000000004</v>
      </c>
      <c r="K1471">
        <v>0</v>
      </c>
      <c r="L1471">
        <f t="shared" si="67"/>
        <v>57.800000000000004</v>
      </c>
      <c r="M1471" s="4">
        <f t="shared" si="68"/>
        <v>7.7066666666666672E-2</v>
      </c>
      <c r="N1471">
        <v>750</v>
      </c>
      <c r="O1471">
        <v>680</v>
      </c>
      <c r="P1471" t="s">
        <v>25</v>
      </c>
      <c r="Q1471" t="s">
        <v>26</v>
      </c>
      <c r="R1471" t="str">
        <f>IF(COUNTIF(Sheet2!B:B, A1471) &gt; 0, "Yes", "No")</f>
        <v>No</v>
      </c>
    </row>
    <row r="1472" spans="1:18" x14ac:dyDescent="0.25">
      <c r="A1472" s="3">
        <v>45314</v>
      </c>
      <c r="B1472" t="s">
        <v>434</v>
      </c>
      <c r="C1472" t="s">
        <v>105</v>
      </c>
      <c r="D1472" t="s">
        <v>20</v>
      </c>
      <c r="E1472" t="s">
        <v>67</v>
      </c>
      <c r="F1472" t="s">
        <v>27</v>
      </c>
      <c r="G1472" t="s">
        <v>28</v>
      </c>
      <c r="H1472" t="s">
        <v>459</v>
      </c>
      <c r="I1472">
        <v>0.11</v>
      </c>
      <c r="J1472">
        <f t="shared" si="66"/>
        <v>74.8</v>
      </c>
      <c r="K1472">
        <v>2</v>
      </c>
      <c r="L1472">
        <f t="shared" si="67"/>
        <v>72.8</v>
      </c>
      <c r="M1472" s="4">
        <f t="shared" si="68"/>
        <v>9.7066666666666662E-2</v>
      </c>
      <c r="N1472">
        <v>750</v>
      </c>
      <c r="O1472">
        <v>680</v>
      </c>
      <c r="P1472" t="s">
        <v>25</v>
      </c>
      <c r="Q1472" t="s">
        <v>26</v>
      </c>
      <c r="R1472" t="str">
        <f>IF(COUNTIF(Sheet2!B:B, A1472) &gt; 0, "Yes", "No")</f>
        <v>No</v>
      </c>
    </row>
    <row r="1473" spans="1:18" x14ac:dyDescent="0.25">
      <c r="A1473" s="3">
        <v>45314</v>
      </c>
      <c r="B1473" t="s">
        <v>434</v>
      </c>
      <c r="C1473" t="s">
        <v>105</v>
      </c>
      <c r="D1473" t="s">
        <v>20</v>
      </c>
      <c r="E1473" t="s">
        <v>67</v>
      </c>
      <c r="F1473" t="s">
        <v>30</v>
      </c>
      <c r="G1473" t="s">
        <v>31</v>
      </c>
      <c r="H1473" t="s">
        <v>31</v>
      </c>
      <c r="I1473">
        <v>0.09</v>
      </c>
      <c r="J1473">
        <f t="shared" si="66"/>
        <v>61.199999999999996</v>
      </c>
      <c r="K1473">
        <v>0</v>
      </c>
      <c r="L1473">
        <f t="shared" si="67"/>
        <v>61.199999999999996</v>
      </c>
      <c r="M1473" s="4">
        <f t="shared" si="68"/>
        <v>8.1599999999999992E-2</v>
      </c>
      <c r="N1473">
        <v>750</v>
      </c>
      <c r="O1473">
        <v>680</v>
      </c>
      <c r="P1473" t="s">
        <v>25</v>
      </c>
      <c r="Q1473" t="s">
        <v>26</v>
      </c>
      <c r="R1473" t="str">
        <f>IF(COUNTIF(Sheet2!B:B, A1473) &gt; 0, "Yes", "No")</f>
        <v>No</v>
      </c>
    </row>
    <row r="1474" spans="1:18" x14ac:dyDescent="0.25">
      <c r="A1474" s="3">
        <v>45314</v>
      </c>
      <c r="B1474" t="s">
        <v>434</v>
      </c>
      <c r="C1474" t="s">
        <v>105</v>
      </c>
      <c r="D1474" t="s">
        <v>20</v>
      </c>
      <c r="E1474" t="s">
        <v>67</v>
      </c>
      <c r="F1474" t="s">
        <v>37</v>
      </c>
      <c r="G1474" t="s">
        <v>117</v>
      </c>
      <c r="H1474" t="s">
        <v>118</v>
      </c>
      <c r="I1474">
        <v>3.5000000000000003E-2</v>
      </c>
      <c r="J1474">
        <f t="shared" si="66"/>
        <v>23.8</v>
      </c>
      <c r="K1474">
        <v>2</v>
      </c>
      <c r="L1474">
        <f t="shared" si="67"/>
        <v>21.8</v>
      </c>
      <c r="M1474" s="4">
        <f t="shared" si="68"/>
        <v>2.9066666666666668E-2</v>
      </c>
      <c r="N1474">
        <v>750</v>
      </c>
      <c r="O1474">
        <v>680</v>
      </c>
      <c r="P1474" t="s">
        <v>25</v>
      </c>
      <c r="Q1474" t="s">
        <v>26</v>
      </c>
      <c r="R1474" t="str">
        <f>IF(COUNTIF(Sheet2!B:B, A1474) &gt; 0, "Yes", "No")</f>
        <v>No</v>
      </c>
    </row>
    <row r="1475" spans="1:18" x14ac:dyDescent="0.25">
      <c r="A1475" s="3">
        <v>45314</v>
      </c>
      <c r="B1475" t="s">
        <v>434</v>
      </c>
      <c r="C1475" t="s">
        <v>105</v>
      </c>
      <c r="D1475" t="s">
        <v>20</v>
      </c>
      <c r="E1475" t="s">
        <v>67</v>
      </c>
      <c r="F1475" t="s">
        <v>40</v>
      </c>
      <c r="G1475" t="s">
        <v>137</v>
      </c>
      <c r="H1475" t="s">
        <v>138</v>
      </c>
      <c r="I1475">
        <v>0.05</v>
      </c>
      <c r="J1475">
        <f t="shared" ref="J1475:J1538" si="69">I1475*O1475</f>
        <v>34</v>
      </c>
      <c r="K1475">
        <v>2</v>
      </c>
      <c r="L1475">
        <f t="shared" ref="L1475:L1538" si="70">J1475-K1475</f>
        <v>32</v>
      </c>
      <c r="M1475" s="4">
        <f t="shared" ref="M1475:M1538" si="71">((I1475*O1475)-K1475)/N1475</f>
        <v>4.2666666666666665E-2</v>
      </c>
      <c r="N1475">
        <v>750</v>
      </c>
      <c r="O1475">
        <v>680</v>
      </c>
      <c r="P1475" t="s">
        <v>25</v>
      </c>
      <c r="Q1475" t="s">
        <v>26</v>
      </c>
      <c r="R1475" t="str">
        <f>IF(COUNTIF(Sheet2!B:B, A1475) &gt; 0, "Yes", "No")</f>
        <v>No</v>
      </c>
    </row>
    <row r="1476" spans="1:18" x14ac:dyDescent="0.25">
      <c r="A1476" s="3">
        <v>45314</v>
      </c>
      <c r="B1476" t="s">
        <v>434</v>
      </c>
      <c r="C1476" t="s">
        <v>105</v>
      </c>
      <c r="D1476" t="s">
        <v>20</v>
      </c>
      <c r="E1476" t="s">
        <v>67</v>
      </c>
      <c r="F1476" t="s">
        <v>43</v>
      </c>
      <c r="G1476" t="s">
        <v>75</v>
      </c>
      <c r="H1476" t="s">
        <v>76</v>
      </c>
      <c r="I1476">
        <v>0.11</v>
      </c>
      <c r="J1476">
        <f t="shared" si="69"/>
        <v>74.8</v>
      </c>
      <c r="K1476">
        <v>0</v>
      </c>
      <c r="L1476">
        <f t="shared" si="70"/>
        <v>74.8</v>
      </c>
      <c r="M1476" s="4">
        <f t="shared" si="71"/>
        <v>9.9733333333333327E-2</v>
      </c>
      <c r="N1476">
        <v>750</v>
      </c>
      <c r="O1476">
        <v>680</v>
      </c>
      <c r="P1476" t="s">
        <v>25</v>
      </c>
      <c r="Q1476" t="s">
        <v>26</v>
      </c>
      <c r="R1476" t="str">
        <f>IF(COUNTIF(Sheet2!B:B, A1476) &gt; 0, "Yes", "No")</f>
        <v>No</v>
      </c>
    </row>
    <row r="1477" spans="1:18" x14ac:dyDescent="0.25">
      <c r="A1477" s="3">
        <v>45314</v>
      </c>
      <c r="B1477" t="s">
        <v>434</v>
      </c>
      <c r="C1477" t="s">
        <v>105</v>
      </c>
      <c r="D1477" t="s">
        <v>20</v>
      </c>
      <c r="E1477" t="s">
        <v>67</v>
      </c>
      <c r="F1477" t="s">
        <v>46</v>
      </c>
      <c r="G1477" t="s">
        <v>47</v>
      </c>
      <c r="H1477" t="s">
        <v>460</v>
      </c>
      <c r="I1477">
        <v>8.5000000000000006E-2</v>
      </c>
      <c r="J1477">
        <f t="shared" si="69"/>
        <v>57.800000000000004</v>
      </c>
      <c r="K1477">
        <v>1</v>
      </c>
      <c r="L1477">
        <f t="shared" si="70"/>
        <v>56.800000000000004</v>
      </c>
      <c r="M1477" s="4">
        <f t="shared" si="71"/>
        <v>7.5733333333333333E-2</v>
      </c>
      <c r="N1477">
        <v>750</v>
      </c>
      <c r="O1477">
        <v>680</v>
      </c>
      <c r="P1477" t="s">
        <v>25</v>
      </c>
      <c r="Q1477" t="s">
        <v>26</v>
      </c>
      <c r="R1477" t="str">
        <f>IF(COUNTIF(Sheet2!B:B, A1477) &gt; 0, "Yes", "No")</f>
        <v>No</v>
      </c>
    </row>
    <row r="1478" spans="1:18" x14ac:dyDescent="0.25">
      <c r="A1478" s="3">
        <v>45314</v>
      </c>
      <c r="B1478" t="s">
        <v>434</v>
      </c>
      <c r="C1478" t="s">
        <v>105</v>
      </c>
      <c r="D1478" t="s">
        <v>20</v>
      </c>
      <c r="E1478" t="s">
        <v>67</v>
      </c>
      <c r="F1478" t="s">
        <v>49</v>
      </c>
      <c r="G1478" t="s">
        <v>50</v>
      </c>
      <c r="H1478" t="s">
        <v>49</v>
      </c>
      <c r="I1478">
        <v>0.09</v>
      </c>
      <c r="J1478">
        <f t="shared" si="69"/>
        <v>61.199999999999996</v>
      </c>
      <c r="K1478">
        <v>0</v>
      </c>
      <c r="L1478">
        <f t="shared" si="70"/>
        <v>61.199999999999996</v>
      </c>
      <c r="M1478" s="4">
        <f t="shared" si="71"/>
        <v>8.1599999999999992E-2</v>
      </c>
      <c r="N1478">
        <v>750</v>
      </c>
      <c r="O1478">
        <v>680</v>
      </c>
      <c r="P1478" t="s">
        <v>25</v>
      </c>
      <c r="Q1478" t="s">
        <v>26</v>
      </c>
      <c r="R1478" t="str">
        <f>IF(COUNTIF(Sheet2!B:B, A1478) &gt; 0, "Yes", "No")</f>
        <v>No</v>
      </c>
    </row>
    <row r="1479" spans="1:18" x14ac:dyDescent="0.25">
      <c r="A1479" s="3">
        <v>45315</v>
      </c>
      <c r="B1479" t="s">
        <v>434</v>
      </c>
      <c r="C1479" t="s">
        <v>51</v>
      </c>
      <c r="D1479" t="s">
        <v>20</v>
      </c>
      <c r="E1479" t="s">
        <v>21</v>
      </c>
      <c r="F1479" t="s">
        <v>22</v>
      </c>
      <c r="G1479" t="s">
        <v>94</v>
      </c>
      <c r="H1479" t="s">
        <v>143</v>
      </c>
      <c r="I1479">
        <v>8.5000000000000006E-2</v>
      </c>
      <c r="J1479">
        <f t="shared" si="69"/>
        <v>65.45</v>
      </c>
      <c r="K1479">
        <v>2</v>
      </c>
      <c r="L1479">
        <f t="shared" si="70"/>
        <v>63.45</v>
      </c>
      <c r="M1479" s="4">
        <f t="shared" si="71"/>
        <v>7.4647058823529414E-2</v>
      </c>
      <c r="N1479">
        <v>850</v>
      </c>
      <c r="O1479">
        <v>770</v>
      </c>
      <c r="P1479" t="s">
        <v>25</v>
      </c>
      <c r="Q1479" t="s">
        <v>26</v>
      </c>
      <c r="R1479" t="str">
        <f>IF(COUNTIF(Sheet2!B:B, A1479) &gt; 0, "Yes", "No")</f>
        <v>No</v>
      </c>
    </row>
    <row r="1480" spans="1:18" x14ac:dyDescent="0.25">
      <c r="A1480" s="3">
        <v>45315</v>
      </c>
      <c r="B1480" t="s">
        <v>434</v>
      </c>
      <c r="C1480" t="s">
        <v>51</v>
      </c>
      <c r="D1480" t="s">
        <v>20</v>
      </c>
      <c r="E1480" t="s">
        <v>21</v>
      </c>
      <c r="F1480" t="s">
        <v>27</v>
      </c>
      <c r="G1480" t="s">
        <v>28</v>
      </c>
      <c r="H1480" t="s">
        <v>461</v>
      </c>
      <c r="I1480">
        <v>0.11</v>
      </c>
      <c r="J1480">
        <f t="shared" si="69"/>
        <v>84.7</v>
      </c>
      <c r="K1480">
        <v>0</v>
      </c>
      <c r="L1480">
        <f t="shared" si="70"/>
        <v>84.7</v>
      </c>
      <c r="M1480" s="4">
        <f t="shared" si="71"/>
        <v>9.9647058823529422E-2</v>
      </c>
      <c r="N1480">
        <v>850</v>
      </c>
      <c r="O1480">
        <v>770</v>
      </c>
      <c r="P1480" t="s">
        <v>25</v>
      </c>
      <c r="Q1480" t="s">
        <v>26</v>
      </c>
      <c r="R1480" t="str">
        <f>IF(COUNTIF(Sheet2!B:B, A1480) &gt; 0, "Yes", "No")</f>
        <v>No</v>
      </c>
    </row>
    <row r="1481" spans="1:18" x14ac:dyDescent="0.25">
      <c r="A1481" s="3">
        <v>45315</v>
      </c>
      <c r="B1481" t="s">
        <v>434</v>
      </c>
      <c r="C1481" t="s">
        <v>51</v>
      </c>
      <c r="D1481" t="s">
        <v>20</v>
      </c>
      <c r="E1481" t="s">
        <v>21</v>
      </c>
      <c r="F1481" t="s">
        <v>30</v>
      </c>
      <c r="G1481" t="s">
        <v>31</v>
      </c>
      <c r="H1481" t="s">
        <v>70</v>
      </c>
      <c r="I1481">
        <v>0.09</v>
      </c>
      <c r="J1481">
        <f t="shared" si="69"/>
        <v>69.3</v>
      </c>
      <c r="K1481">
        <v>0.5</v>
      </c>
      <c r="L1481">
        <f t="shared" si="70"/>
        <v>68.8</v>
      </c>
      <c r="M1481" s="4">
        <f t="shared" si="71"/>
        <v>8.0941176470588239E-2</v>
      </c>
      <c r="N1481">
        <v>850</v>
      </c>
      <c r="O1481">
        <v>770</v>
      </c>
      <c r="P1481" t="s">
        <v>25</v>
      </c>
      <c r="Q1481" t="s">
        <v>26</v>
      </c>
      <c r="R1481" t="str">
        <f>IF(COUNTIF(Sheet2!B:B, A1481) &gt; 0, "Yes", "No")</f>
        <v>No</v>
      </c>
    </row>
    <row r="1482" spans="1:18" x14ac:dyDescent="0.25">
      <c r="A1482" s="3">
        <v>45315</v>
      </c>
      <c r="B1482" t="s">
        <v>434</v>
      </c>
      <c r="C1482" t="s">
        <v>51</v>
      </c>
      <c r="D1482" t="s">
        <v>33</v>
      </c>
      <c r="E1482" t="s">
        <v>21</v>
      </c>
      <c r="F1482" t="s">
        <v>34</v>
      </c>
      <c r="G1482" t="s">
        <v>57</v>
      </c>
      <c r="H1482" t="s">
        <v>462</v>
      </c>
      <c r="I1482">
        <v>0.15</v>
      </c>
      <c r="J1482">
        <f t="shared" si="69"/>
        <v>80.849999999999994</v>
      </c>
      <c r="K1482">
        <v>1</v>
      </c>
      <c r="L1482">
        <f t="shared" si="70"/>
        <v>79.849999999999994</v>
      </c>
      <c r="M1482" s="4">
        <f t="shared" si="71"/>
        <v>0.1342016806722689</v>
      </c>
      <c r="N1482">
        <v>595</v>
      </c>
      <c r="O1482">
        <v>539</v>
      </c>
      <c r="P1482" t="s">
        <v>25</v>
      </c>
      <c r="Q1482" t="s">
        <v>26</v>
      </c>
      <c r="R1482" t="str">
        <f>IF(COUNTIF(Sheet2!B:B, A1482) &gt; 0, "Yes", "No")</f>
        <v>No</v>
      </c>
    </row>
    <row r="1483" spans="1:18" x14ac:dyDescent="0.25">
      <c r="A1483" s="3">
        <v>45315</v>
      </c>
      <c r="B1483" t="s">
        <v>434</v>
      </c>
      <c r="C1483" t="s">
        <v>51</v>
      </c>
      <c r="D1483" t="s">
        <v>20</v>
      </c>
      <c r="E1483" t="s">
        <v>21</v>
      </c>
      <c r="F1483" t="s">
        <v>37</v>
      </c>
      <c r="G1483" t="s">
        <v>38</v>
      </c>
      <c r="H1483" t="s">
        <v>39</v>
      </c>
      <c r="I1483">
        <v>0.03</v>
      </c>
      <c r="J1483">
        <f t="shared" si="69"/>
        <v>23.099999999999998</v>
      </c>
      <c r="K1483">
        <v>1</v>
      </c>
      <c r="L1483">
        <f t="shared" si="70"/>
        <v>22.099999999999998</v>
      </c>
      <c r="M1483" s="4">
        <f t="shared" si="71"/>
        <v>2.5999999999999999E-2</v>
      </c>
      <c r="N1483">
        <v>850</v>
      </c>
      <c r="O1483">
        <v>770</v>
      </c>
      <c r="P1483" t="s">
        <v>25</v>
      </c>
      <c r="Q1483" t="s">
        <v>26</v>
      </c>
      <c r="R1483" t="str">
        <f>IF(COUNTIF(Sheet2!B:B, A1483) &gt; 0, "Yes", "No")</f>
        <v>No</v>
      </c>
    </row>
    <row r="1484" spans="1:18" x14ac:dyDescent="0.25">
      <c r="A1484" s="3">
        <v>45315</v>
      </c>
      <c r="B1484" t="s">
        <v>434</v>
      </c>
      <c r="C1484" t="s">
        <v>51</v>
      </c>
      <c r="D1484" t="s">
        <v>20</v>
      </c>
      <c r="E1484" t="s">
        <v>21</v>
      </c>
      <c r="F1484" t="s">
        <v>40</v>
      </c>
      <c r="G1484" t="s">
        <v>127</v>
      </c>
      <c r="H1484" t="s">
        <v>463</v>
      </c>
      <c r="I1484">
        <v>4.4999999999999998E-2</v>
      </c>
      <c r="J1484">
        <f t="shared" si="69"/>
        <v>34.65</v>
      </c>
      <c r="K1484">
        <v>1</v>
      </c>
      <c r="L1484">
        <f t="shared" si="70"/>
        <v>33.65</v>
      </c>
      <c r="M1484" s="4">
        <f t="shared" si="71"/>
        <v>3.9588235294117646E-2</v>
      </c>
      <c r="N1484">
        <v>850</v>
      </c>
      <c r="O1484">
        <v>770</v>
      </c>
      <c r="P1484" t="s">
        <v>25</v>
      </c>
      <c r="Q1484" t="s">
        <v>26</v>
      </c>
      <c r="R1484" t="str">
        <f>IF(COUNTIF(Sheet2!B:B, A1484) &gt; 0, "Yes", "No")</f>
        <v>No</v>
      </c>
    </row>
    <row r="1485" spans="1:18" x14ac:dyDescent="0.25">
      <c r="A1485" s="3">
        <v>45315</v>
      </c>
      <c r="B1485" t="s">
        <v>434</v>
      </c>
      <c r="C1485" t="s">
        <v>51</v>
      </c>
      <c r="D1485" t="s">
        <v>20</v>
      </c>
      <c r="E1485" t="s">
        <v>21</v>
      </c>
      <c r="F1485" t="s">
        <v>43</v>
      </c>
      <c r="G1485" t="s">
        <v>414</v>
      </c>
      <c r="H1485" t="s">
        <v>464</v>
      </c>
      <c r="I1485">
        <v>0.11</v>
      </c>
      <c r="J1485">
        <f t="shared" si="69"/>
        <v>84.7</v>
      </c>
      <c r="K1485">
        <v>2.5</v>
      </c>
      <c r="L1485">
        <f t="shared" si="70"/>
        <v>82.2</v>
      </c>
      <c r="M1485" s="4">
        <f t="shared" si="71"/>
        <v>9.6705882352941183E-2</v>
      </c>
      <c r="N1485">
        <v>850</v>
      </c>
      <c r="O1485">
        <v>770</v>
      </c>
      <c r="P1485" t="s">
        <v>25</v>
      </c>
      <c r="Q1485" t="s">
        <v>26</v>
      </c>
      <c r="R1485" t="str">
        <f>IF(COUNTIF(Sheet2!B:B, A1485) &gt; 0, "Yes", "No")</f>
        <v>No</v>
      </c>
    </row>
    <row r="1486" spans="1:18" x14ac:dyDescent="0.25">
      <c r="A1486" s="3">
        <v>45315</v>
      </c>
      <c r="B1486" t="s">
        <v>434</v>
      </c>
      <c r="C1486" t="s">
        <v>51</v>
      </c>
      <c r="D1486" t="s">
        <v>20</v>
      </c>
      <c r="E1486" t="s">
        <v>21</v>
      </c>
      <c r="F1486" t="s">
        <v>46</v>
      </c>
      <c r="G1486" t="s">
        <v>77</v>
      </c>
      <c r="H1486" t="s">
        <v>245</v>
      </c>
      <c r="I1486">
        <v>8.5000000000000006E-2</v>
      </c>
      <c r="J1486">
        <f t="shared" si="69"/>
        <v>65.45</v>
      </c>
      <c r="K1486">
        <v>2.5</v>
      </c>
      <c r="L1486">
        <f t="shared" si="70"/>
        <v>62.95</v>
      </c>
      <c r="M1486" s="4">
        <f t="shared" si="71"/>
        <v>7.4058823529411774E-2</v>
      </c>
      <c r="N1486">
        <v>850</v>
      </c>
      <c r="O1486">
        <v>770</v>
      </c>
      <c r="P1486" t="s">
        <v>25</v>
      </c>
      <c r="Q1486" t="s">
        <v>26</v>
      </c>
      <c r="R1486" t="str">
        <f>IF(COUNTIF(Sheet2!B:B, A1486) &gt; 0, "Yes", "No")</f>
        <v>No</v>
      </c>
    </row>
    <row r="1487" spans="1:18" x14ac:dyDescent="0.25">
      <c r="A1487" s="3">
        <v>45315</v>
      </c>
      <c r="B1487" t="s">
        <v>434</v>
      </c>
      <c r="C1487" t="s">
        <v>51</v>
      </c>
      <c r="D1487" t="s">
        <v>20</v>
      </c>
      <c r="E1487" t="s">
        <v>21</v>
      </c>
      <c r="F1487" t="s">
        <v>49</v>
      </c>
      <c r="G1487" t="s">
        <v>50</v>
      </c>
      <c r="H1487" t="s">
        <v>49</v>
      </c>
      <c r="I1487">
        <v>0.09</v>
      </c>
      <c r="J1487">
        <f t="shared" si="69"/>
        <v>69.3</v>
      </c>
      <c r="K1487">
        <v>2</v>
      </c>
      <c r="L1487">
        <f t="shared" si="70"/>
        <v>67.3</v>
      </c>
      <c r="M1487" s="4">
        <f t="shared" si="71"/>
        <v>7.9176470588235293E-2</v>
      </c>
      <c r="N1487">
        <v>850</v>
      </c>
      <c r="O1487">
        <v>770</v>
      </c>
      <c r="P1487" t="s">
        <v>25</v>
      </c>
      <c r="Q1487" t="s">
        <v>26</v>
      </c>
      <c r="R1487" t="str">
        <f>IF(COUNTIF(Sheet2!B:B, A1487) &gt; 0, "Yes", "No")</f>
        <v>No</v>
      </c>
    </row>
    <row r="1488" spans="1:18" x14ac:dyDescent="0.25">
      <c r="A1488" s="3">
        <v>45316</v>
      </c>
      <c r="B1488" t="s">
        <v>434</v>
      </c>
      <c r="C1488" t="s">
        <v>66</v>
      </c>
      <c r="D1488" t="s">
        <v>20</v>
      </c>
      <c r="E1488" t="s">
        <v>67</v>
      </c>
      <c r="F1488" t="s">
        <v>22</v>
      </c>
      <c r="G1488" t="s">
        <v>94</v>
      </c>
      <c r="H1488" t="s">
        <v>294</v>
      </c>
      <c r="I1488">
        <v>8.5000000000000006E-2</v>
      </c>
      <c r="J1488">
        <f t="shared" si="69"/>
        <v>46.75</v>
      </c>
      <c r="K1488">
        <v>0.25</v>
      </c>
      <c r="L1488">
        <f t="shared" si="70"/>
        <v>46.5</v>
      </c>
      <c r="M1488" s="4">
        <f t="shared" si="71"/>
        <v>7.7499999999999999E-2</v>
      </c>
      <c r="N1488">
        <v>600</v>
      </c>
      <c r="O1488">
        <v>550</v>
      </c>
      <c r="P1488" t="s">
        <v>283</v>
      </c>
      <c r="Q1488" t="s">
        <v>333</v>
      </c>
      <c r="R1488" t="str">
        <f>IF(COUNTIF(Sheet2!B:B, A1488) &gt; 0, "Yes", "No")</f>
        <v>No</v>
      </c>
    </row>
    <row r="1489" spans="1:18" x14ac:dyDescent="0.25">
      <c r="A1489" s="3">
        <v>45316</v>
      </c>
      <c r="B1489" t="s">
        <v>434</v>
      </c>
      <c r="C1489" t="s">
        <v>66</v>
      </c>
      <c r="D1489" t="s">
        <v>20</v>
      </c>
      <c r="E1489" t="s">
        <v>67</v>
      </c>
      <c r="F1489" t="s">
        <v>27</v>
      </c>
      <c r="G1489" t="s">
        <v>780</v>
      </c>
      <c r="H1489" t="s">
        <v>465</v>
      </c>
      <c r="I1489">
        <v>0.11</v>
      </c>
      <c r="J1489">
        <f t="shared" si="69"/>
        <v>60.5</v>
      </c>
      <c r="K1489">
        <v>0</v>
      </c>
      <c r="L1489">
        <f t="shared" si="70"/>
        <v>60.5</v>
      </c>
      <c r="M1489" s="4">
        <f t="shared" si="71"/>
        <v>0.10083333333333333</v>
      </c>
      <c r="N1489">
        <v>600</v>
      </c>
      <c r="O1489">
        <v>550</v>
      </c>
      <c r="P1489" t="s">
        <v>283</v>
      </c>
      <c r="Q1489" t="s">
        <v>333</v>
      </c>
      <c r="R1489" t="str">
        <f>IF(COUNTIF(Sheet2!B:B, A1489) &gt; 0, "Yes", "No")</f>
        <v>No</v>
      </c>
    </row>
    <row r="1490" spans="1:18" x14ac:dyDescent="0.25">
      <c r="A1490" s="3">
        <v>45316</v>
      </c>
      <c r="B1490" t="s">
        <v>434</v>
      </c>
      <c r="C1490" t="s">
        <v>66</v>
      </c>
      <c r="D1490" t="s">
        <v>20</v>
      </c>
      <c r="E1490" t="s">
        <v>67</v>
      </c>
      <c r="F1490" t="s">
        <v>30</v>
      </c>
      <c r="G1490" t="s">
        <v>31</v>
      </c>
      <c r="H1490" t="s">
        <v>389</v>
      </c>
      <c r="I1490">
        <v>0.09</v>
      </c>
      <c r="J1490">
        <f t="shared" si="69"/>
        <v>49.5</v>
      </c>
      <c r="K1490">
        <v>0.25</v>
      </c>
      <c r="L1490">
        <f t="shared" si="70"/>
        <v>49.25</v>
      </c>
      <c r="M1490" s="4">
        <f t="shared" si="71"/>
        <v>8.2083333333333328E-2</v>
      </c>
      <c r="N1490">
        <v>600</v>
      </c>
      <c r="O1490">
        <v>550</v>
      </c>
      <c r="P1490" t="s">
        <v>283</v>
      </c>
      <c r="Q1490" t="s">
        <v>333</v>
      </c>
      <c r="R1490" t="str">
        <f>IF(COUNTIF(Sheet2!B:B, A1490) &gt; 0, "Yes", "No")</f>
        <v>No</v>
      </c>
    </row>
    <row r="1491" spans="1:18" x14ac:dyDescent="0.25">
      <c r="A1491" s="3">
        <v>45316</v>
      </c>
      <c r="B1491" t="s">
        <v>434</v>
      </c>
      <c r="C1491" t="s">
        <v>66</v>
      </c>
      <c r="D1491" t="s">
        <v>20</v>
      </c>
      <c r="E1491" t="s">
        <v>67</v>
      </c>
      <c r="F1491" t="s">
        <v>37</v>
      </c>
      <c r="G1491" t="s">
        <v>108</v>
      </c>
      <c r="H1491" t="s">
        <v>466</v>
      </c>
      <c r="I1491">
        <v>3.5000000000000003E-2</v>
      </c>
      <c r="J1491">
        <f t="shared" si="69"/>
        <v>19.250000000000004</v>
      </c>
      <c r="K1491">
        <v>1</v>
      </c>
      <c r="L1491">
        <f t="shared" si="70"/>
        <v>18.250000000000004</v>
      </c>
      <c r="M1491" s="4">
        <f t="shared" si="71"/>
        <v>3.0416666666666672E-2</v>
      </c>
      <c r="N1491">
        <v>600</v>
      </c>
      <c r="O1491">
        <v>550</v>
      </c>
      <c r="P1491" t="s">
        <v>283</v>
      </c>
      <c r="Q1491" t="s">
        <v>333</v>
      </c>
      <c r="R1491" t="str">
        <f>IF(COUNTIF(Sheet2!B:B, A1491) &gt; 0, "Yes", "No")</f>
        <v>No</v>
      </c>
    </row>
    <row r="1492" spans="1:18" x14ac:dyDescent="0.25">
      <c r="A1492" s="3">
        <v>45316</v>
      </c>
      <c r="B1492" t="s">
        <v>434</v>
      </c>
      <c r="C1492" t="s">
        <v>66</v>
      </c>
      <c r="D1492" t="s">
        <v>20</v>
      </c>
      <c r="E1492" t="s">
        <v>67</v>
      </c>
      <c r="F1492" t="s">
        <v>40</v>
      </c>
      <c r="G1492" t="s">
        <v>164</v>
      </c>
      <c r="H1492" t="s">
        <v>467</v>
      </c>
      <c r="I1492">
        <v>0.05</v>
      </c>
      <c r="J1492">
        <f t="shared" si="69"/>
        <v>27.5</v>
      </c>
      <c r="K1492">
        <v>0.25</v>
      </c>
      <c r="L1492">
        <f t="shared" si="70"/>
        <v>27.25</v>
      </c>
      <c r="M1492" s="4">
        <f t="shared" si="71"/>
        <v>4.5416666666666668E-2</v>
      </c>
      <c r="N1492">
        <v>600</v>
      </c>
      <c r="O1492">
        <v>550</v>
      </c>
      <c r="P1492" t="s">
        <v>283</v>
      </c>
      <c r="Q1492" t="s">
        <v>333</v>
      </c>
      <c r="R1492" t="str">
        <f>IF(COUNTIF(Sheet2!B:B, A1492) &gt; 0, "Yes", "No")</f>
        <v>No</v>
      </c>
    </row>
    <row r="1493" spans="1:18" x14ac:dyDescent="0.25">
      <c r="A1493" s="3">
        <v>45316</v>
      </c>
      <c r="B1493" t="s">
        <v>434</v>
      </c>
      <c r="C1493" t="s">
        <v>66</v>
      </c>
      <c r="D1493" t="s">
        <v>20</v>
      </c>
      <c r="E1493" t="s">
        <v>67</v>
      </c>
      <c r="F1493" t="s">
        <v>43</v>
      </c>
      <c r="G1493" t="s">
        <v>44</v>
      </c>
      <c r="H1493" t="s">
        <v>352</v>
      </c>
      <c r="I1493">
        <v>0.11</v>
      </c>
      <c r="J1493">
        <f t="shared" si="69"/>
        <v>60.5</v>
      </c>
      <c r="K1493">
        <v>0</v>
      </c>
      <c r="L1493">
        <f t="shared" si="70"/>
        <v>60.5</v>
      </c>
      <c r="M1493" s="4">
        <f t="shared" si="71"/>
        <v>0.10083333333333333</v>
      </c>
      <c r="N1493">
        <v>600</v>
      </c>
      <c r="O1493">
        <v>550</v>
      </c>
      <c r="P1493" t="s">
        <v>283</v>
      </c>
      <c r="Q1493" t="s">
        <v>333</v>
      </c>
      <c r="R1493" t="str">
        <f>IF(COUNTIF(Sheet2!B:B, A1493) &gt; 0, "Yes", "No")</f>
        <v>No</v>
      </c>
    </row>
    <row r="1494" spans="1:18" x14ac:dyDescent="0.25">
      <c r="A1494" s="3">
        <v>45316</v>
      </c>
      <c r="B1494" t="s">
        <v>434</v>
      </c>
      <c r="C1494" t="s">
        <v>66</v>
      </c>
      <c r="D1494" t="s">
        <v>20</v>
      </c>
      <c r="E1494" t="s">
        <v>67</v>
      </c>
      <c r="F1494" t="s">
        <v>46</v>
      </c>
      <c r="G1494" t="s">
        <v>47</v>
      </c>
      <c r="H1494" t="s">
        <v>174</v>
      </c>
      <c r="I1494">
        <v>8.5000000000000006E-2</v>
      </c>
      <c r="J1494">
        <f t="shared" si="69"/>
        <v>46.75</v>
      </c>
      <c r="K1494">
        <v>0.5</v>
      </c>
      <c r="L1494">
        <f t="shared" si="70"/>
        <v>46.25</v>
      </c>
      <c r="M1494" s="4">
        <f t="shared" si="71"/>
        <v>7.7083333333333337E-2</v>
      </c>
      <c r="N1494">
        <v>600</v>
      </c>
      <c r="O1494">
        <v>550</v>
      </c>
      <c r="P1494" t="s">
        <v>283</v>
      </c>
      <c r="Q1494" t="s">
        <v>333</v>
      </c>
      <c r="R1494" t="str">
        <f>IF(COUNTIF(Sheet2!B:B, A1494) &gt; 0, "Yes", "No")</f>
        <v>No</v>
      </c>
    </row>
    <row r="1495" spans="1:18" x14ac:dyDescent="0.25">
      <c r="A1495" s="3">
        <v>45316</v>
      </c>
      <c r="B1495" t="s">
        <v>434</v>
      </c>
      <c r="C1495" t="s">
        <v>66</v>
      </c>
      <c r="D1495" t="s">
        <v>20</v>
      </c>
      <c r="E1495" t="s">
        <v>67</v>
      </c>
      <c r="F1495" t="s">
        <v>49</v>
      </c>
      <c r="G1495" t="s">
        <v>50</v>
      </c>
      <c r="H1495" t="s">
        <v>49</v>
      </c>
      <c r="I1495">
        <v>0.09</v>
      </c>
      <c r="J1495">
        <f t="shared" si="69"/>
        <v>49.5</v>
      </c>
      <c r="K1495">
        <v>1.5</v>
      </c>
      <c r="L1495">
        <f t="shared" si="70"/>
        <v>48</v>
      </c>
      <c r="M1495" s="4">
        <f t="shared" si="71"/>
        <v>0.08</v>
      </c>
      <c r="N1495">
        <v>600</v>
      </c>
      <c r="O1495">
        <v>550</v>
      </c>
      <c r="P1495" t="s">
        <v>283</v>
      </c>
      <c r="Q1495" t="s">
        <v>333</v>
      </c>
      <c r="R1495" t="str">
        <f>IF(COUNTIF(Sheet2!B:B, A1495) &gt; 0, "Yes", "No")</f>
        <v>No</v>
      </c>
    </row>
    <row r="1496" spans="1:18" x14ac:dyDescent="0.25">
      <c r="A1496" s="3">
        <v>45320</v>
      </c>
      <c r="B1496" t="s">
        <v>434</v>
      </c>
      <c r="C1496" t="s">
        <v>19</v>
      </c>
      <c r="D1496" t="s">
        <v>20</v>
      </c>
      <c r="E1496" t="s">
        <v>21</v>
      </c>
      <c r="F1496" t="s">
        <v>22</v>
      </c>
      <c r="G1496" t="s">
        <v>94</v>
      </c>
      <c r="H1496" t="s">
        <v>468</v>
      </c>
      <c r="I1496">
        <v>8.5000000000000006E-2</v>
      </c>
      <c r="J1496">
        <f t="shared" si="69"/>
        <v>59.500000000000007</v>
      </c>
      <c r="K1496">
        <v>2</v>
      </c>
      <c r="L1496">
        <f t="shared" si="70"/>
        <v>57.500000000000007</v>
      </c>
      <c r="M1496" s="4">
        <f t="shared" si="71"/>
        <v>7.1875000000000008E-2</v>
      </c>
      <c r="N1496">
        <v>800</v>
      </c>
      <c r="O1496">
        <v>700</v>
      </c>
      <c r="P1496" t="s">
        <v>25</v>
      </c>
      <c r="Q1496" t="s">
        <v>26</v>
      </c>
      <c r="R1496" t="str">
        <f>IF(COUNTIF(Sheet2!B:B, A1496) &gt; 0, "Yes", "No")</f>
        <v>No</v>
      </c>
    </row>
    <row r="1497" spans="1:18" x14ac:dyDescent="0.25">
      <c r="A1497" s="3">
        <v>45320</v>
      </c>
      <c r="B1497" t="s">
        <v>434</v>
      </c>
      <c r="C1497" t="s">
        <v>19</v>
      </c>
      <c r="D1497" t="s">
        <v>20</v>
      </c>
      <c r="E1497" t="s">
        <v>21</v>
      </c>
      <c r="F1497" t="s">
        <v>27</v>
      </c>
      <c r="G1497" t="s">
        <v>28</v>
      </c>
      <c r="H1497" t="s">
        <v>204</v>
      </c>
      <c r="I1497">
        <v>0.11</v>
      </c>
      <c r="J1497">
        <f t="shared" si="69"/>
        <v>77</v>
      </c>
      <c r="K1497">
        <v>2</v>
      </c>
      <c r="L1497">
        <f t="shared" si="70"/>
        <v>75</v>
      </c>
      <c r="M1497" s="4">
        <f t="shared" si="71"/>
        <v>9.375E-2</v>
      </c>
      <c r="N1497">
        <v>800</v>
      </c>
      <c r="O1497">
        <v>700</v>
      </c>
      <c r="P1497" t="s">
        <v>25</v>
      </c>
      <c r="Q1497" t="s">
        <v>26</v>
      </c>
      <c r="R1497" t="str">
        <f>IF(COUNTIF(Sheet2!B:B, A1497) &gt; 0, "Yes", "No")</f>
        <v>No</v>
      </c>
    </row>
    <row r="1498" spans="1:18" x14ac:dyDescent="0.25">
      <c r="A1498" s="3">
        <v>45320</v>
      </c>
      <c r="B1498" t="s">
        <v>434</v>
      </c>
      <c r="C1498" t="s">
        <v>19</v>
      </c>
      <c r="D1498" t="s">
        <v>20</v>
      </c>
      <c r="E1498" t="s">
        <v>21</v>
      </c>
      <c r="F1498" t="s">
        <v>30</v>
      </c>
      <c r="G1498" t="s">
        <v>55</v>
      </c>
      <c r="H1498" t="s">
        <v>134</v>
      </c>
      <c r="I1498">
        <v>0.09</v>
      </c>
      <c r="J1498">
        <f t="shared" si="69"/>
        <v>63</v>
      </c>
      <c r="K1498">
        <v>2</v>
      </c>
      <c r="L1498">
        <f t="shared" si="70"/>
        <v>61</v>
      </c>
      <c r="M1498" s="4">
        <f t="shared" si="71"/>
        <v>7.6249999999999998E-2</v>
      </c>
      <c r="N1498">
        <v>800</v>
      </c>
      <c r="O1498">
        <v>700</v>
      </c>
      <c r="P1498" t="s">
        <v>25</v>
      </c>
      <c r="Q1498" t="s">
        <v>26</v>
      </c>
      <c r="R1498" t="str">
        <f>IF(COUNTIF(Sheet2!B:B, A1498) &gt; 0, "Yes", "No")</f>
        <v>No</v>
      </c>
    </row>
    <row r="1499" spans="1:18" x14ac:dyDescent="0.25">
      <c r="A1499" s="3">
        <v>45320</v>
      </c>
      <c r="B1499" t="s">
        <v>434</v>
      </c>
      <c r="C1499" t="s">
        <v>19</v>
      </c>
      <c r="D1499" t="s">
        <v>33</v>
      </c>
      <c r="E1499" t="s">
        <v>21</v>
      </c>
      <c r="F1499" t="s">
        <v>34</v>
      </c>
      <c r="G1499" t="s">
        <v>57</v>
      </c>
      <c r="H1499" t="s">
        <v>98</v>
      </c>
      <c r="I1499">
        <v>0.15</v>
      </c>
      <c r="J1499">
        <f t="shared" si="69"/>
        <v>73.5</v>
      </c>
      <c r="K1499">
        <v>1</v>
      </c>
      <c r="L1499">
        <f t="shared" si="70"/>
        <v>72.5</v>
      </c>
      <c r="M1499" s="4">
        <f t="shared" si="71"/>
        <v>0.12946428571428573</v>
      </c>
      <c r="N1499">
        <v>560</v>
      </c>
      <c r="O1499">
        <v>490</v>
      </c>
      <c r="P1499" t="s">
        <v>25</v>
      </c>
      <c r="Q1499" t="s">
        <v>26</v>
      </c>
      <c r="R1499" t="str">
        <f>IF(COUNTIF(Sheet2!B:B, A1499) &gt; 0, "Yes", "No")</f>
        <v>No</v>
      </c>
    </row>
    <row r="1500" spans="1:18" x14ac:dyDescent="0.25">
      <c r="A1500" s="3">
        <v>45320</v>
      </c>
      <c r="B1500" t="s">
        <v>434</v>
      </c>
      <c r="C1500" t="s">
        <v>19</v>
      </c>
      <c r="D1500" t="s">
        <v>20</v>
      </c>
      <c r="E1500" t="s">
        <v>21</v>
      </c>
      <c r="F1500" t="s">
        <v>37</v>
      </c>
      <c r="G1500" t="s">
        <v>87</v>
      </c>
      <c r="H1500" t="s">
        <v>88</v>
      </c>
      <c r="I1500">
        <v>0.03</v>
      </c>
      <c r="J1500">
        <f t="shared" si="69"/>
        <v>21</v>
      </c>
      <c r="K1500">
        <v>3</v>
      </c>
      <c r="L1500">
        <f t="shared" si="70"/>
        <v>18</v>
      </c>
      <c r="M1500" s="4">
        <f t="shared" si="71"/>
        <v>2.2499999999999999E-2</v>
      </c>
      <c r="N1500">
        <v>800</v>
      </c>
      <c r="O1500">
        <v>700</v>
      </c>
      <c r="P1500" t="s">
        <v>25</v>
      </c>
      <c r="Q1500" t="s">
        <v>26</v>
      </c>
      <c r="R1500" t="str">
        <f>IF(COUNTIF(Sheet2!B:B, A1500) &gt; 0, "Yes", "No")</f>
        <v>No</v>
      </c>
    </row>
    <row r="1501" spans="1:18" x14ac:dyDescent="0.25">
      <c r="A1501" s="3">
        <v>45320</v>
      </c>
      <c r="B1501" t="s">
        <v>434</v>
      </c>
      <c r="C1501" t="s">
        <v>19</v>
      </c>
      <c r="D1501" t="s">
        <v>20</v>
      </c>
      <c r="E1501" t="s">
        <v>21</v>
      </c>
      <c r="F1501" t="s">
        <v>40</v>
      </c>
      <c r="G1501" t="s">
        <v>41</v>
      </c>
      <c r="H1501" t="s">
        <v>42</v>
      </c>
      <c r="I1501">
        <v>4.4999999999999998E-2</v>
      </c>
      <c r="J1501">
        <f t="shared" si="69"/>
        <v>31.5</v>
      </c>
      <c r="K1501">
        <v>3</v>
      </c>
      <c r="L1501">
        <f t="shared" si="70"/>
        <v>28.5</v>
      </c>
      <c r="M1501" s="4">
        <f t="shared" si="71"/>
        <v>3.5624999999999997E-2</v>
      </c>
      <c r="N1501">
        <v>800</v>
      </c>
      <c r="O1501">
        <v>700</v>
      </c>
      <c r="P1501" t="s">
        <v>25</v>
      </c>
      <c r="Q1501" t="s">
        <v>26</v>
      </c>
      <c r="R1501" t="str">
        <f>IF(COUNTIF(Sheet2!B:B, A1501) &gt; 0, "Yes", "No")</f>
        <v>No</v>
      </c>
    </row>
    <row r="1502" spans="1:18" x14ac:dyDescent="0.25">
      <c r="A1502" s="3">
        <v>45320</v>
      </c>
      <c r="B1502" t="s">
        <v>434</v>
      </c>
      <c r="C1502" t="s">
        <v>19</v>
      </c>
      <c r="D1502" t="s">
        <v>20</v>
      </c>
      <c r="E1502" t="s">
        <v>21</v>
      </c>
      <c r="F1502" t="s">
        <v>43</v>
      </c>
      <c r="G1502" t="s">
        <v>75</v>
      </c>
      <c r="H1502" t="s">
        <v>411</v>
      </c>
      <c r="I1502">
        <v>0.11</v>
      </c>
      <c r="J1502">
        <f t="shared" si="69"/>
        <v>77</v>
      </c>
      <c r="K1502">
        <v>2</v>
      </c>
      <c r="L1502">
        <f t="shared" si="70"/>
        <v>75</v>
      </c>
      <c r="M1502" s="4">
        <f t="shared" si="71"/>
        <v>9.375E-2</v>
      </c>
      <c r="N1502">
        <v>800</v>
      </c>
      <c r="O1502">
        <v>700</v>
      </c>
      <c r="P1502" t="s">
        <v>25</v>
      </c>
      <c r="Q1502" t="s">
        <v>26</v>
      </c>
      <c r="R1502" t="str">
        <f>IF(COUNTIF(Sheet2!B:B, A1502) &gt; 0, "Yes", "No")</f>
        <v>No</v>
      </c>
    </row>
    <row r="1503" spans="1:18" x14ac:dyDescent="0.25">
      <c r="A1503" s="3">
        <v>45320</v>
      </c>
      <c r="B1503" t="s">
        <v>434</v>
      </c>
      <c r="C1503" t="s">
        <v>19</v>
      </c>
      <c r="D1503" t="s">
        <v>20</v>
      </c>
      <c r="E1503" t="s">
        <v>21</v>
      </c>
      <c r="F1503" t="s">
        <v>46</v>
      </c>
      <c r="G1503" t="s">
        <v>412</v>
      </c>
      <c r="H1503" t="s">
        <v>418</v>
      </c>
      <c r="I1503">
        <v>8.5000000000000006E-2</v>
      </c>
      <c r="J1503">
        <f t="shared" si="69"/>
        <v>59.500000000000007</v>
      </c>
      <c r="K1503">
        <v>1</v>
      </c>
      <c r="L1503">
        <f t="shared" si="70"/>
        <v>58.500000000000007</v>
      </c>
      <c r="M1503" s="4">
        <f t="shared" si="71"/>
        <v>7.3125000000000009E-2</v>
      </c>
      <c r="N1503">
        <v>800</v>
      </c>
      <c r="O1503">
        <v>700</v>
      </c>
      <c r="P1503" t="s">
        <v>25</v>
      </c>
      <c r="Q1503" t="s">
        <v>26</v>
      </c>
      <c r="R1503" t="str">
        <f>IF(COUNTIF(Sheet2!B:B, A1503) &gt; 0, "Yes", "No")</f>
        <v>No</v>
      </c>
    </row>
    <row r="1504" spans="1:18" x14ac:dyDescent="0.25">
      <c r="A1504" s="3">
        <v>45320</v>
      </c>
      <c r="B1504" t="s">
        <v>434</v>
      </c>
      <c r="C1504" t="s">
        <v>19</v>
      </c>
      <c r="D1504" t="s">
        <v>20</v>
      </c>
      <c r="E1504" t="s">
        <v>21</v>
      </c>
      <c r="F1504" t="s">
        <v>49</v>
      </c>
      <c r="G1504" t="s">
        <v>50</v>
      </c>
      <c r="H1504" t="s">
        <v>49</v>
      </c>
      <c r="I1504">
        <v>0.09</v>
      </c>
      <c r="J1504">
        <f t="shared" si="69"/>
        <v>63</v>
      </c>
      <c r="K1504">
        <v>3</v>
      </c>
      <c r="L1504">
        <f t="shared" si="70"/>
        <v>60</v>
      </c>
      <c r="M1504" s="4">
        <f t="shared" si="71"/>
        <v>7.4999999999999997E-2</v>
      </c>
      <c r="N1504">
        <v>800</v>
      </c>
      <c r="O1504">
        <v>700</v>
      </c>
      <c r="P1504" t="s">
        <v>25</v>
      </c>
      <c r="Q1504" t="s">
        <v>26</v>
      </c>
      <c r="R1504" t="str">
        <f>IF(COUNTIF(Sheet2!B:B, A1504) &gt; 0, "Yes", "No")</f>
        <v>No</v>
      </c>
    </row>
    <row r="1505" spans="1:18" x14ac:dyDescent="0.25">
      <c r="A1505" s="3">
        <v>45321</v>
      </c>
      <c r="B1505" t="s">
        <v>434</v>
      </c>
      <c r="C1505" t="s">
        <v>105</v>
      </c>
      <c r="D1505" t="s">
        <v>20</v>
      </c>
      <c r="E1505" t="s">
        <v>67</v>
      </c>
      <c r="F1505" t="s">
        <v>22</v>
      </c>
      <c r="G1505" t="s">
        <v>122</v>
      </c>
      <c r="H1505" t="s">
        <v>132</v>
      </c>
      <c r="I1505">
        <v>8.5000000000000006E-2</v>
      </c>
      <c r="J1505">
        <f t="shared" si="69"/>
        <v>59.500000000000007</v>
      </c>
      <c r="K1505">
        <v>1</v>
      </c>
      <c r="L1505">
        <f t="shared" si="70"/>
        <v>58.500000000000007</v>
      </c>
      <c r="M1505" s="4">
        <f t="shared" si="71"/>
        <v>7.5000000000000011E-2</v>
      </c>
      <c r="N1505">
        <v>780</v>
      </c>
      <c r="O1505">
        <v>700</v>
      </c>
      <c r="P1505" t="s">
        <v>25</v>
      </c>
      <c r="Q1505" t="s">
        <v>26</v>
      </c>
      <c r="R1505" t="str">
        <f>IF(COUNTIF(Sheet2!B:B, A1505) &gt; 0, "Yes", "No")</f>
        <v>No</v>
      </c>
    </row>
    <row r="1506" spans="1:18" x14ac:dyDescent="0.25">
      <c r="A1506" s="3">
        <v>45321</v>
      </c>
      <c r="B1506" t="s">
        <v>434</v>
      </c>
      <c r="C1506" t="s">
        <v>105</v>
      </c>
      <c r="D1506" t="s">
        <v>20</v>
      </c>
      <c r="E1506" t="s">
        <v>67</v>
      </c>
      <c r="F1506" t="s">
        <v>27</v>
      </c>
      <c r="G1506" t="s">
        <v>28</v>
      </c>
      <c r="H1506" t="s">
        <v>313</v>
      </c>
      <c r="I1506">
        <v>0.11</v>
      </c>
      <c r="J1506">
        <f t="shared" si="69"/>
        <v>77</v>
      </c>
      <c r="K1506">
        <v>3</v>
      </c>
      <c r="L1506">
        <f t="shared" si="70"/>
        <v>74</v>
      </c>
      <c r="M1506" s="4">
        <f t="shared" si="71"/>
        <v>9.4871794871794868E-2</v>
      </c>
      <c r="N1506">
        <v>780</v>
      </c>
      <c r="O1506">
        <v>700</v>
      </c>
      <c r="P1506" t="s">
        <v>25</v>
      </c>
      <c r="Q1506" t="s">
        <v>26</v>
      </c>
      <c r="R1506" t="str">
        <f>IF(COUNTIF(Sheet2!B:B, A1506) &gt; 0, "Yes", "No")</f>
        <v>No</v>
      </c>
    </row>
    <row r="1507" spans="1:18" x14ac:dyDescent="0.25">
      <c r="A1507" s="3">
        <v>45321</v>
      </c>
      <c r="B1507" t="s">
        <v>434</v>
      </c>
      <c r="C1507" t="s">
        <v>105</v>
      </c>
      <c r="D1507" t="s">
        <v>20</v>
      </c>
      <c r="E1507" t="s">
        <v>67</v>
      </c>
      <c r="F1507" t="s">
        <v>30</v>
      </c>
      <c r="G1507" t="s">
        <v>31</v>
      </c>
      <c r="H1507" t="s">
        <v>31</v>
      </c>
      <c r="I1507">
        <v>0.09</v>
      </c>
      <c r="J1507">
        <f t="shared" si="69"/>
        <v>63</v>
      </c>
      <c r="K1507">
        <v>1</v>
      </c>
      <c r="L1507">
        <f t="shared" si="70"/>
        <v>62</v>
      </c>
      <c r="M1507" s="4">
        <f t="shared" si="71"/>
        <v>7.9487179487179482E-2</v>
      </c>
      <c r="N1507">
        <v>780</v>
      </c>
      <c r="O1507">
        <v>700</v>
      </c>
      <c r="P1507" t="s">
        <v>25</v>
      </c>
      <c r="Q1507" t="s">
        <v>26</v>
      </c>
      <c r="R1507" t="str">
        <f>IF(COUNTIF(Sheet2!B:B, A1507) &gt; 0, "Yes", "No")</f>
        <v>No</v>
      </c>
    </row>
    <row r="1508" spans="1:18" x14ac:dyDescent="0.25">
      <c r="A1508" s="3">
        <v>45321</v>
      </c>
      <c r="B1508" t="s">
        <v>434</v>
      </c>
      <c r="C1508" t="s">
        <v>105</v>
      </c>
      <c r="D1508" t="s">
        <v>20</v>
      </c>
      <c r="E1508" t="s">
        <v>67</v>
      </c>
      <c r="F1508" t="s">
        <v>37</v>
      </c>
      <c r="G1508" t="s">
        <v>117</v>
      </c>
      <c r="H1508" t="s">
        <v>118</v>
      </c>
      <c r="I1508">
        <v>3.5000000000000003E-2</v>
      </c>
      <c r="J1508">
        <f t="shared" si="69"/>
        <v>24.500000000000004</v>
      </c>
      <c r="K1508">
        <v>1</v>
      </c>
      <c r="L1508">
        <f t="shared" si="70"/>
        <v>23.500000000000004</v>
      </c>
      <c r="M1508" s="4">
        <f t="shared" si="71"/>
        <v>3.0128205128205132E-2</v>
      </c>
      <c r="N1508">
        <v>780</v>
      </c>
      <c r="O1508">
        <v>700</v>
      </c>
      <c r="P1508" t="s">
        <v>25</v>
      </c>
      <c r="Q1508" t="s">
        <v>26</v>
      </c>
      <c r="R1508" t="str">
        <f>IF(COUNTIF(Sheet2!B:B, A1508) &gt; 0, "Yes", "No")</f>
        <v>No</v>
      </c>
    </row>
    <row r="1509" spans="1:18" x14ac:dyDescent="0.25">
      <c r="A1509" s="3">
        <v>45321</v>
      </c>
      <c r="B1509" t="s">
        <v>434</v>
      </c>
      <c r="C1509" t="s">
        <v>105</v>
      </c>
      <c r="D1509" t="s">
        <v>20</v>
      </c>
      <c r="E1509" t="s">
        <v>67</v>
      </c>
      <c r="F1509" t="s">
        <v>40</v>
      </c>
      <c r="G1509" t="s">
        <v>73</v>
      </c>
      <c r="H1509" t="s">
        <v>74</v>
      </c>
      <c r="I1509">
        <v>0.05</v>
      </c>
      <c r="J1509">
        <f t="shared" si="69"/>
        <v>35</v>
      </c>
      <c r="K1509">
        <v>1</v>
      </c>
      <c r="L1509">
        <f t="shared" si="70"/>
        <v>34</v>
      </c>
      <c r="M1509" s="4">
        <f t="shared" si="71"/>
        <v>4.3589743589743588E-2</v>
      </c>
      <c r="N1509">
        <v>780</v>
      </c>
      <c r="O1509">
        <v>700</v>
      </c>
      <c r="P1509" t="s">
        <v>25</v>
      </c>
      <c r="Q1509" t="s">
        <v>26</v>
      </c>
      <c r="R1509" t="str">
        <f>IF(COUNTIF(Sheet2!B:B, A1509) &gt; 0, "Yes", "No")</f>
        <v>No</v>
      </c>
    </row>
    <row r="1510" spans="1:18" x14ac:dyDescent="0.25">
      <c r="A1510" s="3">
        <v>45321</v>
      </c>
      <c r="B1510" t="s">
        <v>434</v>
      </c>
      <c r="C1510" t="s">
        <v>105</v>
      </c>
      <c r="D1510" t="s">
        <v>20</v>
      </c>
      <c r="E1510" t="s">
        <v>67</v>
      </c>
      <c r="F1510" t="s">
        <v>43</v>
      </c>
      <c r="G1510" t="s">
        <v>90</v>
      </c>
      <c r="H1510" t="s">
        <v>208</v>
      </c>
      <c r="I1510">
        <v>0.11</v>
      </c>
      <c r="J1510">
        <f t="shared" si="69"/>
        <v>77</v>
      </c>
      <c r="K1510">
        <v>1</v>
      </c>
      <c r="L1510">
        <f t="shared" si="70"/>
        <v>76</v>
      </c>
      <c r="M1510" s="4">
        <f t="shared" si="71"/>
        <v>9.7435897435897437E-2</v>
      </c>
      <c r="N1510">
        <v>780</v>
      </c>
      <c r="O1510">
        <v>700</v>
      </c>
      <c r="P1510" t="s">
        <v>25</v>
      </c>
      <c r="Q1510" t="s">
        <v>26</v>
      </c>
      <c r="R1510" t="str">
        <f>IF(COUNTIF(Sheet2!B:B, A1510) &gt; 0, "Yes", "No")</f>
        <v>No</v>
      </c>
    </row>
    <row r="1511" spans="1:18" x14ac:dyDescent="0.25">
      <c r="A1511" s="3">
        <v>45321</v>
      </c>
      <c r="B1511" t="s">
        <v>434</v>
      </c>
      <c r="C1511" t="s">
        <v>105</v>
      </c>
      <c r="D1511" t="s">
        <v>20</v>
      </c>
      <c r="E1511" t="s">
        <v>67</v>
      </c>
      <c r="F1511" t="s">
        <v>46</v>
      </c>
      <c r="G1511" t="s">
        <v>130</v>
      </c>
      <c r="H1511" t="s">
        <v>209</v>
      </c>
      <c r="I1511">
        <v>8.5000000000000006E-2</v>
      </c>
      <c r="J1511">
        <f t="shared" si="69"/>
        <v>59.500000000000007</v>
      </c>
      <c r="K1511">
        <v>0</v>
      </c>
      <c r="L1511">
        <f t="shared" si="70"/>
        <v>59.500000000000007</v>
      </c>
      <c r="M1511" s="4">
        <f t="shared" si="71"/>
        <v>7.6282051282051289E-2</v>
      </c>
      <c r="N1511">
        <v>780</v>
      </c>
      <c r="O1511">
        <v>700</v>
      </c>
      <c r="P1511" t="s">
        <v>25</v>
      </c>
      <c r="Q1511" t="s">
        <v>26</v>
      </c>
      <c r="R1511" t="str">
        <f>IF(COUNTIF(Sheet2!B:B, A1511) &gt; 0, "Yes", "No")</f>
        <v>No</v>
      </c>
    </row>
    <row r="1512" spans="1:18" x14ac:dyDescent="0.25">
      <c r="A1512" s="3">
        <v>45321</v>
      </c>
      <c r="B1512" t="s">
        <v>434</v>
      </c>
      <c r="C1512" t="s">
        <v>105</v>
      </c>
      <c r="D1512" t="s">
        <v>20</v>
      </c>
      <c r="E1512" t="s">
        <v>67</v>
      </c>
      <c r="F1512" t="s">
        <v>49</v>
      </c>
      <c r="G1512" t="s">
        <v>50</v>
      </c>
      <c r="H1512" t="s">
        <v>49</v>
      </c>
      <c r="I1512">
        <v>0.09</v>
      </c>
      <c r="J1512">
        <f t="shared" si="69"/>
        <v>63</v>
      </c>
      <c r="K1512">
        <v>2</v>
      </c>
      <c r="L1512">
        <f t="shared" si="70"/>
        <v>61</v>
      </c>
      <c r="M1512" s="4">
        <f t="shared" si="71"/>
        <v>7.8205128205128205E-2</v>
      </c>
      <c r="N1512">
        <v>780</v>
      </c>
      <c r="O1512">
        <v>700</v>
      </c>
      <c r="P1512" t="s">
        <v>25</v>
      </c>
      <c r="Q1512" t="s">
        <v>26</v>
      </c>
      <c r="R1512" t="str">
        <f>IF(COUNTIF(Sheet2!B:B, A1512) &gt; 0, "Yes", "No")</f>
        <v>No</v>
      </c>
    </row>
    <row r="1513" spans="1:18" x14ac:dyDescent="0.25">
      <c r="A1513" s="3">
        <v>45322</v>
      </c>
      <c r="B1513" t="s">
        <v>434</v>
      </c>
      <c r="C1513" t="s">
        <v>51</v>
      </c>
      <c r="D1513" t="s">
        <v>20</v>
      </c>
      <c r="E1513" t="s">
        <v>21</v>
      </c>
      <c r="F1513" t="s">
        <v>22</v>
      </c>
      <c r="G1513" t="s">
        <v>94</v>
      </c>
      <c r="H1513" t="s">
        <v>95</v>
      </c>
      <c r="I1513">
        <v>8.5000000000000006E-2</v>
      </c>
      <c r="J1513">
        <f t="shared" si="69"/>
        <v>62.900000000000006</v>
      </c>
      <c r="K1513">
        <v>0</v>
      </c>
      <c r="L1513">
        <f t="shared" si="70"/>
        <v>62.900000000000006</v>
      </c>
      <c r="M1513" s="4">
        <f t="shared" si="71"/>
        <v>7.6707317073170744E-2</v>
      </c>
      <c r="N1513">
        <v>820</v>
      </c>
      <c r="O1513">
        <v>740</v>
      </c>
      <c r="P1513" t="s">
        <v>25</v>
      </c>
      <c r="Q1513" t="s">
        <v>26</v>
      </c>
      <c r="R1513" t="str">
        <f>IF(COUNTIF(Sheet2!B:B, A1513) &gt; 0, "Yes", "No")</f>
        <v>No</v>
      </c>
    </row>
    <row r="1514" spans="1:18" x14ac:dyDescent="0.25">
      <c r="A1514" s="3">
        <v>45322</v>
      </c>
      <c r="B1514" t="s">
        <v>434</v>
      </c>
      <c r="C1514" t="s">
        <v>51</v>
      </c>
      <c r="D1514" t="s">
        <v>20</v>
      </c>
      <c r="E1514" t="s">
        <v>21</v>
      </c>
      <c r="F1514" t="s">
        <v>27</v>
      </c>
      <c r="G1514" t="s">
        <v>780</v>
      </c>
      <c r="H1514" t="s">
        <v>149</v>
      </c>
      <c r="I1514">
        <v>0.11</v>
      </c>
      <c r="J1514">
        <f t="shared" si="69"/>
        <v>81.400000000000006</v>
      </c>
      <c r="K1514">
        <v>3</v>
      </c>
      <c r="L1514">
        <f t="shared" si="70"/>
        <v>78.400000000000006</v>
      </c>
      <c r="M1514" s="4">
        <f t="shared" si="71"/>
        <v>9.5609756097560977E-2</v>
      </c>
      <c r="N1514">
        <v>820</v>
      </c>
      <c r="O1514">
        <v>740</v>
      </c>
      <c r="P1514" t="s">
        <v>25</v>
      </c>
      <c r="Q1514" t="s">
        <v>26</v>
      </c>
      <c r="R1514" t="str">
        <f>IF(COUNTIF(Sheet2!B:B, A1514) &gt; 0, "Yes", "No")</f>
        <v>No</v>
      </c>
    </row>
    <row r="1515" spans="1:18" x14ac:dyDescent="0.25">
      <c r="A1515" s="3">
        <v>45322</v>
      </c>
      <c r="B1515" t="s">
        <v>434</v>
      </c>
      <c r="C1515" t="s">
        <v>51</v>
      </c>
      <c r="D1515" t="s">
        <v>20</v>
      </c>
      <c r="E1515" t="s">
        <v>21</v>
      </c>
      <c r="F1515" t="s">
        <v>30</v>
      </c>
      <c r="G1515" t="s">
        <v>31</v>
      </c>
      <c r="H1515" t="s">
        <v>70</v>
      </c>
      <c r="I1515">
        <v>0.09</v>
      </c>
      <c r="J1515">
        <f t="shared" si="69"/>
        <v>66.599999999999994</v>
      </c>
      <c r="K1515">
        <v>0</v>
      </c>
      <c r="L1515">
        <f t="shared" si="70"/>
        <v>66.599999999999994</v>
      </c>
      <c r="M1515" s="4">
        <f t="shared" si="71"/>
        <v>8.121951219512194E-2</v>
      </c>
      <c r="N1515">
        <v>820</v>
      </c>
      <c r="O1515">
        <v>740</v>
      </c>
      <c r="P1515" t="s">
        <v>25</v>
      </c>
      <c r="Q1515" t="s">
        <v>26</v>
      </c>
      <c r="R1515" t="str">
        <f>IF(COUNTIF(Sheet2!B:B, A1515) &gt; 0, "Yes", "No")</f>
        <v>No</v>
      </c>
    </row>
    <row r="1516" spans="1:18" x14ac:dyDescent="0.25">
      <c r="A1516" s="3">
        <v>45322</v>
      </c>
      <c r="B1516" t="s">
        <v>434</v>
      </c>
      <c r="C1516" t="s">
        <v>51</v>
      </c>
      <c r="D1516" t="s">
        <v>33</v>
      </c>
      <c r="E1516" t="s">
        <v>21</v>
      </c>
      <c r="F1516" t="s">
        <v>34</v>
      </c>
      <c r="G1516" t="s">
        <v>57</v>
      </c>
      <c r="H1516" t="s">
        <v>211</v>
      </c>
      <c r="I1516">
        <v>0.15</v>
      </c>
      <c r="J1516">
        <f t="shared" si="69"/>
        <v>77.7</v>
      </c>
      <c r="K1516">
        <v>0</v>
      </c>
      <c r="L1516">
        <f t="shared" si="70"/>
        <v>77.7</v>
      </c>
      <c r="M1516" s="4">
        <f t="shared" si="71"/>
        <v>0.13536585365853659</v>
      </c>
      <c r="N1516">
        <v>574</v>
      </c>
      <c r="O1516">
        <v>518</v>
      </c>
      <c r="P1516" t="s">
        <v>25</v>
      </c>
      <c r="Q1516" t="s">
        <v>26</v>
      </c>
      <c r="R1516" t="str">
        <f>IF(COUNTIF(Sheet2!B:B, A1516) &gt; 0, "Yes", "No")</f>
        <v>No</v>
      </c>
    </row>
    <row r="1517" spans="1:18" x14ac:dyDescent="0.25">
      <c r="A1517" s="3">
        <v>45322</v>
      </c>
      <c r="B1517" t="s">
        <v>434</v>
      </c>
      <c r="C1517" t="s">
        <v>51</v>
      </c>
      <c r="D1517" t="s">
        <v>20</v>
      </c>
      <c r="E1517" t="s">
        <v>21</v>
      </c>
      <c r="F1517" t="s">
        <v>37</v>
      </c>
      <c r="G1517" t="s">
        <v>59</v>
      </c>
      <c r="H1517" t="s">
        <v>60</v>
      </c>
      <c r="I1517">
        <v>0.03</v>
      </c>
      <c r="J1517">
        <f t="shared" si="69"/>
        <v>22.2</v>
      </c>
      <c r="K1517">
        <v>1</v>
      </c>
      <c r="L1517">
        <f t="shared" si="70"/>
        <v>21.2</v>
      </c>
      <c r="M1517" s="4">
        <f t="shared" si="71"/>
        <v>2.5853658536585365E-2</v>
      </c>
      <c r="N1517">
        <v>820</v>
      </c>
      <c r="O1517">
        <v>740</v>
      </c>
      <c r="P1517" t="s">
        <v>25</v>
      </c>
      <c r="Q1517" t="s">
        <v>26</v>
      </c>
      <c r="R1517" t="str">
        <f>IF(COUNTIF(Sheet2!B:B, A1517) &gt; 0, "Yes", "No")</f>
        <v>No</v>
      </c>
    </row>
    <row r="1518" spans="1:18" x14ac:dyDescent="0.25">
      <c r="A1518" s="3">
        <v>45322</v>
      </c>
      <c r="B1518" t="s">
        <v>434</v>
      </c>
      <c r="C1518" t="s">
        <v>51</v>
      </c>
      <c r="D1518" t="s">
        <v>20</v>
      </c>
      <c r="E1518" t="s">
        <v>21</v>
      </c>
      <c r="F1518" t="s">
        <v>40</v>
      </c>
      <c r="G1518" t="s">
        <v>137</v>
      </c>
      <c r="H1518" t="s">
        <v>197</v>
      </c>
      <c r="I1518">
        <v>4.4999999999999998E-2</v>
      </c>
      <c r="J1518">
        <f t="shared" si="69"/>
        <v>33.299999999999997</v>
      </c>
      <c r="K1518">
        <v>1</v>
      </c>
      <c r="L1518">
        <f t="shared" si="70"/>
        <v>32.299999999999997</v>
      </c>
      <c r="M1518" s="4">
        <f t="shared" si="71"/>
        <v>3.9390243902439018E-2</v>
      </c>
      <c r="N1518">
        <v>820</v>
      </c>
      <c r="O1518">
        <v>740</v>
      </c>
      <c r="P1518" t="s">
        <v>25</v>
      </c>
      <c r="Q1518" t="s">
        <v>26</v>
      </c>
      <c r="R1518" t="str">
        <f>IF(COUNTIF(Sheet2!B:B, A1518) &gt; 0, "Yes", "No")</f>
        <v>No</v>
      </c>
    </row>
    <row r="1519" spans="1:18" x14ac:dyDescent="0.25">
      <c r="A1519" s="3">
        <v>45322</v>
      </c>
      <c r="B1519" t="s">
        <v>434</v>
      </c>
      <c r="C1519" t="s">
        <v>51</v>
      </c>
      <c r="D1519" t="s">
        <v>20</v>
      </c>
      <c r="E1519" t="s">
        <v>21</v>
      </c>
      <c r="F1519" t="s">
        <v>43</v>
      </c>
      <c r="G1519" t="s">
        <v>44</v>
      </c>
      <c r="H1519" t="s">
        <v>153</v>
      </c>
      <c r="I1519">
        <v>0.11</v>
      </c>
      <c r="J1519">
        <f t="shared" si="69"/>
        <v>81.400000000000006</v>
      </c>
      <c r="K1519">
        <v>0</v>
      </c>
      <c r="L1519">
        <f t="shared" si="70"/>
        <v>81.400000000000006</v>
      </c>
      <c r="M1519" s="4">
        <f t="shared" si="71"/>
        <v>9.9268292682926834E-2</v>
      </c>
      <c r="N1519">
        <v>820</v>
      </c>
      <c r="O1519">
        <v>740</v>
      </c>
      <c r="P1519" t="s">
        <v>25</v>
      </c>
      <c r="Q1519" t="s">
        <v>26</v>
      </c>
      <c r="R1519" t="str">
        <f>IF(COUNTIF(Sheet2!B:B, A1519) &gt; 0, "Yes", "No")</f>
        <v>No</v>
      </c>
    </row>
    <row r="1520" spans="1:18" x14ac:dyDescent="0.25">
      <c r="A1520" s="3">
        <v>45322</v>
      </c>
      <c r="B1520" t="s">
        <v>434</v>
      </c>
      <c r="C1520" t="s">
        <v>51</v>
      </c>
      <c r="D1520" t="s">
        <v>20</v>
      </c>
      <c r="E1520" t="s">
        <v>21</v>
      </c>
      <c r="F1520" t="s">
        <v>46</v>
      </c>
      <c r="G1520" t="s">
        <v>92</v>
      </c>
      <c r="H1520" t="s">
        <v>469</v>
      </c>
      <c r="I1520">
        <v>8.5000000000000006E-2</v>
      </c>
      <c r="J1520">
        <f t="shared" si="69"/>
        <v>62.900000000000006</v>
      </c>
      <c r="K1520">
        <v>3</v>
      </c>
      <c r="L1520">
        <f t="shared" si="70"/>
        <v>59.900000000000006</v>
      </c>
      <c r="M1520" s="4">
        <f t="shared" si="71"/>
        <v>7.3048780487804887E-2</v>
      </c>
      <c r="N1520">
        <v>820</v>
      </c>
      <c r="O1520">
        <v>740</v>
      </c>
      <c r="P1520" t="s">
        <v>25</v>
      </c>
      <c r="Q1520" t="s">
        <v>26</v>
      </c>
      <c r="R1520" t="str">
        <f>IF(COUNTIF(Sheet2!B:B, A1520) &gt; 0, "Yes", "No")</f>
        <v>No</v>
      </c>
    </row>
    <row r="1521" spans="1:18" x14ac:dyDescent="0.25">
      <c r="A1521" s="3">
        <v>45322</v>
      </c>
      <c r="B1521" t="s">
        <v>434</v>
      </c>
      <c r="C1521" t="s">
        <v>51</v>
      </c>
      <c r="D1521" t="s">
        <v>20</v>
      </c>
      <c r="E1521" t="s">
        <v>21</v>
      </c>
      <c r="F1521" t="s">
        <v>49</v>
      </c>
      <c r="G1521" t="s">
        <v>50</v>
      </c>
      <c r="H1521" t="s">
        <v>49</v>
      </c>
      <c r="I1521">
        <v>0.09</v>
      </c>
      <c r="J1521">
        <f t="shared" si="69"/>
        <v>66.599999999999994</v>
      </c>
      <c r="K1521">
        <v>3</v>
      </c>
      <c r="L1521">
        <f t="shared" si="70"/>
        <v>63.599999999999994</v>
      </c>
      <c r="M1521" s="4">
        <f t="shared" si="71"/>
        <v>7.7560975609756097E-2</v>
      </c>
      <c r="N1521">
        <v>820</v>
      </c>
      <c r="O1521">
        <v>740</v>
      </c>
      <c r="P1521" t="s">
        <v>25</v>
      </c>
      <c r="Q1521" t="s">
        <v>26</v>
      </c>
      <c r="R1521" t="str">
        <f>IF(COUNTIF(Sheet2!B:B, A1521) &gt; 0, "Yes", "No")</f>
        <v>No</v>
      </c>
    </row>
    <row r="1522" spans="1:18" x14ac:dyDescent="0.25">
      <c r="A1522" s="3">
        <v>45323</v>
      </c>
      <c r="B1522" t="s">
        <v>470</v>
      </c>
      <c r="C1522" t="s">
        <v>66</v>
      </c>
      <c r="D1522" t="s">
        <v>20</v>
      </c>
      <c r="E1522" t="s">
        <v>67</v>
      </c>
      <c r="F1522" t="s">
        <v>22</v>
      </c>
      <c r="G1522" t="s">
        <v>94</v>
      </c>
      <c r="H1522" t="s">
        <v>168</v>
      </c>
      <c r="I1522">
        <v>8.5000000000000006E-2</v>
      </c>
      <c r="J1522">
        <f t="shared" si="69"/>
        <v>56.95</v>
      </c>
      <c r="K1522">
        <v>0</v>
      </c>
      <c r="L1522">
        <f t="shared" si="70"/>
        <v>56.95</v>
      </c>
      <c r="M1522" s="4">
        <f t="shared" si="71"/>
        <v>7.5933333333333339E-2</v>
      </c>
      <c r="N1522">
        <v>750</v>
      </c>
      <c r="O1522">
        <v>670</v>
      </c>
      <c r="P1522" t="s">
        <v>25</v>
      </c>
      <c r="Q1522" t="s">
        <v>26</v>
      </c>
      <c r="R1522" t="str">
        <f>IF(COUNTIF(Sheet2!B:B, A1522) &gt; 0, "Yes", "No")</f>
        <v>No</v>
      </c>
    </row>
    <row r="1523" spans="1:18" x14ac:dyDescent="0.25">
      <c r="A1523" s="3">
        <v>45323</v>
      </c>
      <c r="B1523" t="s">
        <v>470</v>
      </c>
      <c r="C1523" t="s">
        <v>66</v>
      </c>
      <c r="D1523" t="s">
        <v>20</v>
      </c>
      <c r="E1523" t="s">
        <v>67</v>
      </c>
      <c r="F1523" t="s">
        <v>27</v>
      </c>
      <c r="G1523" t="s">
        <v>235</v>
      </c>
      <c r="H1523" t="s">
        <v>236</v>
      </c>
      <c r="I1523">
        <v>0.12</v>
      </c>
      <c r="J1523">
        <f t="shared" si="69"/>
        <v>80.399999999999991</v>
      </c>
      <c r="K1523">
        <v>0</v>
      </c>
      <c r="L1523">
        <f t="shared" si="70"/>
        <v>80.399999999999991</v>
      </c>
      <c r="M1523" s="4">
        <f t="shared" si="71"/>
        <v>0.10719999999999999</v>
      </c>
      <c r="N1523">
        <v>750</v>
      </c>
      <c r="O1523">
        <v>670</v>
      </c>
      <c r="P1523" t="s">
        <v>25</v>
      </c>
      <c r="Q1523" t="s">
        <v>26</v>
      </c>
      <c r="R1523" t="str">
        <f>IF(COUNTIF(Sheet2!B:B, A1523) &gt; 0, "Yes", "No")</f>
        <v>No</v>
      </c>
    </row>
    <row r="1524" spans="1:18" x14ac:dyDescent="0.25">
      <c r="A1524" s="3">
        <v>45323</v>
      </c>
      <c r="B1524" t="s">
        <v>470</v>
      </c>
      <c r="C1524" t="s">
        <v>66</v>
      </c>
      <c r="D1524" t="s">
        <v>20</v>
      </c>
      <c r="E1524" t="s">
        <v>67</v>
      </c>
      <c r="F1524" t="s">
        <v>30</v>
      </c>
      <c r="G1524" t="s">
        <v>31</v>
      </c>
      <c r="H1524" t="s">
        <v>172</v>
      </c>
      <c r="I1524">
        <v>0.09</v>
      </c>
      <c r="J1524">
        <f t="shared" si="69"/>
        <v>60.3</v>
      </c>
      <c r="K1524">
        <v>0</v>
      </c>
      <c r="L1524">
        <f t="shared" si="70"/>
        <v>60.3</v>
      </c>
      <c r="M1524" s="4">
        <f t="shared" si="71"/>
        <v>8.0399999999999999E-2</v>
      </c>
      <c r="N1524">
        <v>750</v>
      </c>
      <c r="O1524">
        <v>670</v>
      </c>
      <c r="P1524" t="s">
        <v>25</v>
      </c>
      <c r="Q1524" t="s">
        <v>26</v>
      </c>
      <c r="R1524" t="str">
        <f>IF(COUNTIF(Sheet2!B:B, A1524) &gt; 0, "Yes", "No")</f>
        <v>No</v>
      </c>
    </row>
    <row r="1525" spans="1:18" x14ac:dyDescent="0.25">
      <c r="A1525" s="3">
        <v>45323</v>
      </c>
      <c r="B1525" t="s">
        <v>470</v>
      </c>
      <c r="C1525" t="s">
        <v>66</v>
      </c>
      <c r="D1525" t="s">
        <v>20</v>
      </c>
      <c r="E1525" t="s">
        <v>67</v>
      </c>
      <c r="F1525" t="s">
        <v>37</v>
      </c>
      <c r="G1525" t="s">
        <v>87</v>
      </c>
      <c r="H1525" t="s">
        <v>136</v>
      </c>
      <c r="I1525">
        <v>3.5000000000000003E-2</v>
      </c>
      <c r="J1525">
        <f t="shared" si="69"/>
        <v>23.450000000000003</v>
      </c>
      <c r="K1525">
        <v>1</v>
      </c>
      <c r="L1525">
        <f t="shared" si="70"/>
        <v>22.450000000000003</v>
      </c>
      <c r="M1525" s="4">
        <f t="shared" si="71"/>
        <v>2.9933333333333336E-2</v>
      </c>
      <c r="N1525">
        <v>750</v>
      </c>
      <c r="O1525">
        <v>670</v>
      </c>
      <c r="P1525" t="s">
        <v>25</v>
      </c>
      <c r="Q1525" t="s">
        <v>26</v>
      </c>
      <c r="R1525" t="str">
        <f>IF(COUNTIF(Sheet2!B:B, A1525) &gt; 0, "Yes", "No")</f>
        <v>No</v>
      </c>
    </row>
    <row r="1526" spans="1:18" x14ac:dyDescent="0.25">
      <c r="A1526" s="3">
        <v>45323</v>
      </c>
      <c r="B1526" t="s">
        <v>470</v>
      </c>
      <c r="C1526" t="s">
        <v>66</v>
      </c>
      <c r="D1526" t="s">
        <v>20</v>
      </c>
      <c r="E1526" t="s">
        <v>67</v>
      </c>
      <c r="F1526" t="s">
        <v>40</v>
      </c>
      <c r="G1526" t="s">
        <v>137</v>
      </c>
      <c r="H1526" t="s">
        <v>138</v>
      </c>
      <c r="I1526">
        <v>0.05</v>
      </c>
      <c r="J1526">
        <f t="shared" si="69"/>
        <v>33.5</v>
      </c>
      <c r="K1526">
        <v>1</v>
      </c>
      <c r="L1526">
        <f t="shared" si="70"/>
        <v>32.5</v>
      </c>
      <c r="M1526" s="4">
        <f t="shared" si="71"/>
        <v>4.3333333333333335E-2</v>
      </c>
      <c r="N1526">
        <v>750</v>
      </c>
      <c r="O1526">
        <v>670</v>
      </c>
      <c r="P1526" t="s">
        <v>25</v>
      </c>
      <c r="Q1526" t="s">
        <v>26</v>
      </c>
      <c r="R1526" t="str">
        <f>IF(COUNTIF(Sheet2!B:B, A1526) &gt; 0, "Yes", "No")</f>
        <v>No</v>
      </c>
    </row>
    <row r="1527" spans="1:18" x14ac:dyDescent="0.25">
      <c r="A1527" s="3">
        <v>45323</v>
      </c>
      <c r="B1527" t="s">
        <v>470</v>
      </c>
      <c r="C1527" t="s">
        <v>66</v>
      </c>
      <c r="D1527" t="s">
        <v>20</v>
      </c>
      <c r="E1527" t="s">
        <v>67</v>
      </c>
      <c r="F1527" t="s">
        <v>43</v>
      </c>
      <c r="G1527" t="s">
        <v>215</v>
      </c>
      <c r="H1527" t="s">
        <v>471</v>
      </c>
      <c r="I1527">
        <v>0.11</v>
      </c>
      <c r="J1527">
        <f t="shared" si="69"/>
        <v>73.7</v>
      </c>
      <c r="K1527">
        <v>2</v>
      </c>
      <c r="L1527">
        <f t="shared" si="70"/>
        <v>71.7</v>
      </c>
      <c r="M1527" s="4">
        <f t="shared" si="71"/>
        <v>9.5600000000000004E-2</v>
      </c>
      <c r="N1527">
        <v>750</v>
      </c>
      <c r="O1527">
        <v>670</v>
      </c>
      <c r="P1527" t="s">
        <v>25</v>
      </c>
      <c r="Q1527" t="s">
        <v>26</v>
      </c>
      <c r="R1527" t="str">
        <f>IF(COUNTIF(Sheet2!B:B, A1527) &gt; 0, "Yes", "No")</f>
        <v>No</v>
      </c>
    </row>
    <row r="1528" spans="1:18" x14ac:dyDescent="0.25">
      <c r="A1528" s="3">
        <v>45323</v>
      </c>
      <c r="B1528" t="s">
        <v>470</v>
      </c>
      <c r="C1528" t="s">
        <v>66</v>
      </c>
      <c r="D1528" t="s">
        <v>20</v>
      </c>
      <c r="E1528" t="s">
        <v>67</v>
      </c>
      <c r="F1528" t="s">
        <v>46</v>
      </c>
      <c r="G1528" t="s">
        <v>77</v>
      </c>
      <c r="H1528" t="s">
        <v>203</v>
      </c>
      <c r="I1528">
        <v>8.5000000000000006E-2</v>
      </c>
      <c r="J1528">
        <f t="shared" si="69"/>
        <v>56.95</v>
      </c>
      <c r="K1528">
        <v>1</v>
      </c>
      <c r="L1528">
        <f t="shared" si="70"/>
        <v>55.95</v>
      </c>
      <c r="M1528" s="4">
        <f t="shared" si="71"/>
        <v>7.46E-2</v>
      </c>
      <c r="N1528">
        <v>750</v>
      </c>
      <c r="O1528">
        <v>670</v>
      </c>
      <c r="P1528" t="s">
        <v>25</v>
      </c>
      <c r="Q1528" t="s">
        <v>26</v>
      </c>
      <c r="R1528" t="str">
        <f>IF(COUNTIF(Sheet2!B:B, A1528) &gt; 0, "Yes", "No")</f>
        <v>No</v>
      </c>
    </row>
    <row r="1529" spans="1:18" x14ac:dyDescent="0.25">
      <c r="A1529" s="3">
        <v>45323</v>
      </c>
      <c r="B1529" t="s">
        <v>470</v>
      </c>
      <c r="C1529" t="s">
        <v>66</v>
      </c>
      <c r="D1529" t="s">
        <v>20</v>
      </c>
      <c r="E1529" t="s">
        <v>67</v>
      </c>
      <c r="F1529" t="s">
        <v>49</v>
      </c>
      <c r="G1529" t="s">
        <v>50</v>
      </c>
      <c r="H1529" t="s">
        <v>49</v>
      </c>
      <c r="I1529">
        <v>0.09</v>
      </c>
      <c r="J1529">
        <f t="shared" si="69"/>
        <v>60.3</v>
      </c>
      <c r="K1529">
        <v>0</v>
      </c>
      <c r="L1529">
        <f t="shared" si="70"/>
        <v>60.3</v>
      </c>
      <c r="M1529" s="4">
        <f t="shared" si="71"/>
        <v>8.0399999999999999E-2</v>
      </c>
      <c r="N1529">
        <v>750</v>
      </c>
      <c r="O1529">
        <v>670</v>
      </c>
      <c r="P1529" t="s">
        <v>25</v>
      </c>
      <c r="Q1529" t="s">
        <v>26</v>
      </c>
      <c r="R1529" t="str">
        <f>IF(COUNTIF(Sheet2!B:B, A1529) &gt; 0, "Yes", "No")</f>
        <v>No</v>
      </c>
    </row>
    <row r="1530" spans="1:18" x14ac:dyDescent="0.25">
      <c r="A1530" s="3">
        <v>45324</v>
      </c>
      <c r="B1530" t="s">
        <v>470</v>
      </c>
      <c r="C1530" t="s">
        <v>79</v>
      </c>
      <c r="D1530" t="s">
        <v>20</v>
      </c>
      <c r="E1530" t="s">
        <v>21</v>
      </c>
      <c r="F1530" t="s">
        <v>22</v>
      </c>
      <c r="G1530" t="s">
        <v>94</v>
      </c>
      <c r="H1530" t="s">
        <v>472</v>
      </c>
      <c r="I1530" s="5">
        <v>0.06</v>
      </c>
      <c r="J1530">
        <f t="shared" si="69"/>
        <v>36</v>
      </c>
      <c r="K1530">
        <v>2</v>
      </c>
      <c r="L1530">
        <f t="shared" si="70"/>
        <v>34</v>
      </c>
      <c r="M1530" s="4">
        <f t="shared" si="71"/>
        <v>5.2307692307692305E-2</v>
      </c>
      <c r="N1530">
        <v>650</v>
      </c>
      <c r="O1530">
        <v>600</v>
      </c>
      <c r="P1530" t="s">
        <v>25</v>
      </c>
      <c r="Q1530" t="s">
        <v>26</v>
      </c>
      <c r="R1530" t="str">
        <f>IF(COUNTIF(Sheet2!B:B, A1530) &gt; 0, "Yes", "No")</f>
        <v>Yes</v>
      </c>
    </row>
    <row r="1531" spans="1:18" x14ac:dyDescent="0.25">
      <c r="A1531" s="3">
        <v>45324</v>
      </c>
      <c r="B1531" t="s">
        <v>470</v>
      </c>
      <c r="C1531" t="s">
        <v>79</v>
      </c>
      <c r="D1531" t="s">
        <v>20</v>
      </c>
      <c r="E1531" t="s">
        <v>21</v>
      </c>
      <c r="F1531" t="s">
        <v>27</v>
      </c>
      <c r="G1531" t="s">
        <v>81</v>
      </c>
      <c r="H1531" t="s">
        <v>219</v>
      </c>
      <c r="I1531" s="5">
        <v>0.1</v>
      </c>
      <c r="J1531">
        <f t="shared" si="69"/>
        <v>60</v>
      </c>
      <c r="K1531">
        <v>1</v>
      </c>
      <c r="L1531">
        <f t="shared" si="70"/>
        <v>59</v>
      </c>
      <c r="M1531" s="4">
        <f t="shared" si="71"/>
        <v>9.0769230769230769E-2</v>
      </c>
      <c r="N1531">
        <v>650</v>
      </c>
      <c r="O1531">
        <v>600</v>
      </c>
      <c r="P1531" t="s">
        <v>25</v>
      </c>
      <c r="Q1531" t="s">
        <v>26</v>
      </c>
      <c r="R1531" t="str">
        <f>IF(COUNTIF(Sheet2!B:B, A1531) &gt; 0, "Yes", "No")</f>
        <v>Yes</v>
      </c>
    </row>
    <row r="1532" spans="1:18" x14ac:dyDescent="0.25">
      <c r="A1532" s="3">
        <v>45324</v>
      </c>
      <c r="B1532" t="s">
        <v>470</v>
      </c>
      <c r="C1532" t="s">
        <v>79</v>
      </c>
      <c r="D1532" t="s">
        <v>20</v>
      </c>
      <c r="E1532" t="s">
        <v>21</v>
      </c>
      <c r="F1532" t="s">
        <v>30</v>
      </c>
      <c r="G1532" t="s">
        <v>55</v>
      </c>
      <c r="H1532" t="s">
        <v>125</v>
      </c>
      <c r="I1532" s="5">
        <v>0.06</v>
      </c>
      <c r="J1532">
        <f t="shared" si="69"/>
        <v>36</v>
      </c>
      <c r="K1532">
        <v>2</v>
      </c>
      <c r="L1532">
        <f t="shared" si="70"/>
        <v>34</v>
      </c>
      <c r="M1532" s="4">
        <f t="shared" si="71"/>
        <v>5.2307692307692305E-2</v>
      </c>
      <c r="N1532">
        <v>650</v>
      </c>
      <c r="O1532">
        <v>600</v>
      </c>
      <c r="P1532" t="s">
        <v>25</v>
      </c>
      <c r="Q1532" t="s">
        <v>26</v>
      </c>
      <c r="R1532" t="str">
        <f>IF(COUNTIF(Sheet2!B:B, A1532) &gt; 0, "Yes", "No")</f>
        <v>Yes</v>
      </c>
    </row>
    <row r="1533" spans="1:18" x14ac:dyDescent="0.25">
      <c r="A1533" s="3">
        <v>45324</v>
      </c>
      <c r="B1533" t="s">
        <v>470</v>
      </c>
      <c r="C1533" t="s">
        <v>79</v>
      </c>
      <c r="D1533" t="s">
        <v>33</v>
      </c>
      <c r="E1533" t="s">
        <v>21</v>
      </c>
      <c r="F1533" t="s">
        <v>84</v>
      </c>
      <c r="G1533" t="s">
        <v>177</v>
      </c>
      <c r="H1533" t="s">
        <v>220</v>
      </c>
      <c r="I1533" s="5">
        <v>0.3</v>
      </c>
      <c r="J1533">
        <f t="shared" si="69"/>
        <v>126</v>
      </c>
      <c r="K1533">
        <v>0</v>
      </c>
      <c r="L1533">
        <f t="shared" si="70"/>
        <v>126</v>
      </c>
      <c r="M1533" s="4">
        <f t="shared" si="71"/>
        <v>0.27692307692307694</v>
      </c>
      <c r="N1533">
        <v>455</v>
      </c>
      <c r="O1533">
        <v>420</v>
      </c>
      <c r="P1533" t="s">
        <v>25</v>
      </c>
      <c r="Q1533" t="s">
        <v>26</v>
      </c>
      <c r="R1533" t="str">
        <f>IF(COUNTIF(Sheet2!B:B, A1533) &gt; 0, "Yes", "No")</f>
        <v>Yes</v>
      </c>
    </row>
    <row r="1534" spans="1:18" x14ac:dyDescent="0.25">
      <c r="A1534" s="3">
        <v>45324</v>
      </c>
      <c r="B1534" t="s">
        <v>470</v>
      </c>
      <c r="C1534" t="s">
        <v>79</v>
      </c>
      <c r="D1534" t="s">
        <v>20</v>
      </c>
      <c r="E1534" t="s">
        <v>21</v>
      </c>
      <c r="F1534" t="s">
        <v>37</v>
      </c>
      <c r="G1534" t="s">
        <v>38</v>
      </c>
      <c r="H1534" t="s">
        <v>39</v>
      </c>
      <c r="I1534" s="5">
        <v>2.5000000000000001E-2</v>
      </c>
      <c r="J1534">
        <f t="shared" si="69"/>
        <v>15</v>
      </c>
      <c r="K1534">
        <v>2</v>
      </c>
      <c r="L1534">
        <f t="shared" si="70"/>
        <v>13</v>
      </c>
      <c r="M1534" s="4">
        <f t="shared" si="71"/>
        <v>0.02</v>
      </c>
      <c r="N1534">
        <v>650</v>
      </c>
      <c r="O1534">
        <v>600</v>
      </c>
      <c r="P1534" t="s">
        <v>25</v>
      </c>
      <c r="Q1534" t="s">
        <v>26</v>
      </c>
      <c r="R1534" t="str">
        <f>IF(COUNTIF(Sheet2!B:B, A1534) &gt; 0, "Yes", "No")</f>
        <v>Yes</v>
      </c>
    </row>
    <row r="1535" spans="1:18" x14ac:dyDescent="0.25">
      <c r="A1535" s="3">
        <v>45324</v>
      </c>
      <c r="B1535" t="s">
        <v>470</v>
      </c>
      <c r="C1535" t="s">
        <v>79</v>
      </c>
      <c r="D1535" t="s">
        <v>20</v>
      </c>
      <c r="E1535" t="s">
        <v>21</v>
      </c>
      <c r="F1535" t="s">
        <v>40</v>
      </c>
      <c r="G1535" t="s">
        <v>61</v>
      </c>
      <c r="H1535" t="s">
        <v>62</v>
      </c>
      <c r="I1535" s="5">
        <v>0.04</v>
      </c>
      <c r="J1535">
        <f t="shared" si="69"/>
        <v>24</v>
      </c>
      <c r="K1535">
        <v>2.5</v>
      </c>
      <c r="L1535">
        <f t="shared" si="70"/>
        <v>21.5</v>
      </c>
      <c r="M1535" s="4">
        <f t="shared" si="71"/>
        <v>3.307692307692308E-2</v>
      </c>
      <c r="N1535">
        <v>650</v>
      </c>
      <c r="O1535">
        <v>600</v>
      </c>
      <c r="P1535" t="s">
        <v>25</v>
      </c>
      <c r="Q1535" t="s">
        <v>26</v>
      </c>
      <c r="R1535" t="str">
        <f>IF(COUNTIF(Sheet2!B:B, A1535) &gt; 0, "Yes", "No")</f>
        <v>Yes</v>
      </c>
    </row>
    <row r="1536" spans="1:18" x14ac:dyDescent="0.25">
      <c r="A1536" s="3">
        <v>45324</v>
      </c>
      <c r="B1536" t="s">
        <v>470</v>
      </c>
      <c r="C1536" t="s">
        <v>79</v>
      </c>
      <c r="D1536" t="s">
        <v>20</v>
      </c>
      <c r="E1536" t="s">
        <v>21</v>
      </c>
      <c r="F1536" t="s">
        <v>43</v>
      </c>
      <c r="G1536" t="s">
        <v>44</v>
      </c>
      <c r="H1536" t="s">
        <v>293</v>
      </c>
      <c r="I1536" s="5">
        <v>0.08</v>
      </c>
      <c r="J1536">
        <f t="shared" si="69"/>
        <v>48</v>
      </c>
      <c r="K1536">
        <v>2.5</v>
      </c>
      <c r="L1536">
        <f t="shared" si="70"/>
        <v>45.5</v>
      </c>
      <c r="M1536" s="4">
        <f t="shared" si="71"/>
        <v>7.0000000000000007E-2</v>
      </c>
      <c r="N1536">
        <v>650</v>
      </c>
      <c r="O1536">
        <v>600</v>
      </c>
      <c r="P1536" t="s">
        <v>25</v>
      </c>
      <c r="Q1536" t="s">
        <v>26</v>
      </c>
      <c r="R1536" t="str">
        <f>IF(COUNTIF(Sheet2!B:B, A1536) &gt; 0, "Yes", "No")</f>
        <v>Yes</v>
      </c>
    </row>
    <row r="1537" spans="1:18" x14ac:dyDescent="0.25">
      <c r="A1537" s="3">
        <v>45324</v>
      </c>
      <c r="B1537" t="s">
        <v>470</v>
      </c>
      <c r="C1537" t="s">
        <v>79</v>
      </c>
      <c r="D1537" t="s">
        <v>20</v>
      </c>
      <c r="E1537" t="s">
        <v>21</v>
      </c>
      <c r="F1537" t="s">
        <v>46</v>
      </c>
      <c r="G1537" t="s">
        <v>169</v>
      </c>
      <c r="H1537" t="s">
        <v>223</v>
      </c>
      <c r="I1537" s="5">
        <v>0.06</v>
      </c>
      <c r="J1537">
        <f t="shared" si="69"/>
        <v>36</v>
      </c>
      <c r="K1537">
        <v>1</v>
      </c>
      <c r="L1537">
        <f t="shared" si="70"/>
        <v>35</v>
      </c>
      <c r="M1537" s="4">
        <f t="shared" si="71"/>
        <v>5.3846153846153849E-2</v>
      </c>
      <c r="N1537">
        <v>650</v>
      </c>
      <c r="O1537">
        <v>600</v>
      </c>
      <c r="P1537" t="s">
        <v>25</v>
      </c>
      <c r="Q1537" t="s">
        <v>26</v>
      </c>
      <c r="R1537" t="str">
        <f>IF(COUNTIF(Sheet2!B:B, A1537) &gt; 0, "Yes", "No")</f>
        <v>Yes</v>
      </c>
    </row>
    <row r="1538" spans="1:18" x14ac:dyDescent="0.25">
      <c r="A1538" s="3">
        <v>45324</v>
      </c>
      <c r="B1538" t="s">
        <v>470</v>
      </c>
      <c r="C1538" t="s">
        <v>79</v>
      </c>
      <c r="D1538" t="s">
        <v>20</v>
      </c>
      <c r="E1538" t="s">
        <v>21</v>
      </c>
      <c r="F1538" t="s">
        <v>49</v>
      </c>
      <c r="G1538" t="s">
        <v>50</v>
      </c>
      <c r="H1538" t="s">
        <v>49</v>
      </c>
      <c r="I1538" s="5">
        <v>0.04</v>
      </c>
      <c r="J1538">
        <f t="shared" si="69"/>
        <v>24</v>
      </c>
      <c r="K1538">
        <v>2</v>
      </c>
      <c r="L1538">
        <f t="shared" si="70"/>
        <v>22</v>
      </c>
      <c r="M1538" s="4">
        <f t="shared" si="71"/>
        <v>3.3846153846153845E-2</v>
      </c>
      <c r="N1538">
        <v>650</v>
      </c>
      <c r="O1538">
        <v>600</v>
      </c>
      <c r="P1538" t="s">
        <v>25</v>
      </c>
      <c r="Q1538" t="s">
        <v>26</v>
      </c>
      <c r="R1538" t="str">
        <f>IF(COUNTIF(Sheet2!B:B, A1538) &gt; 0, "Yes", "No")</f>
        <v>Yes</v>
      </c>
    </row>
    <row r="1539" spans="1:18" x14ac:dyDescent="0.25">
      <c r="A1539" s="3">
        <v>45327</v>
      </c>
      <c r="B1539" t="s">
        <v>470</v>
      </c>
      <c r="C1539" t="s">
        <v>19</v>
      </c>
      <c r="D1539" t="s">
        <v>20</v>
      </c>
      <c r="E1539" t="s">
        <v>21</v>
      </c>
      <c r="F1539" t="s">
        <v>22</v>
      </c>
      <c r="G1539" t="s">
        <v>52</v>
      </c>
      <c r="H1539" t="s">
        <v>370</v>
      </c>
      <c r="I1539">
        <v>8.5000000000000006E-2</v>
      </c>
      <c r="J1539">
        <f t="shared" ref="J1539:J1602" si="72">I1539*O1539</f>
        <v>61.2</v>
      </c>
      <c r="K1539">
        <v>2</v>
      </c>
      <c r="L1539">
        <f t="shared" ref="L1539:L1602" si="73">J1539-K1539</f>
        <v>59.2</v>
      </c>
      <c r="M1539" s="4">
        <f t="shared" ref="M1539:M1602" si="74">((I1539*O1539)-K1539)/N1539</f>
        <v>7.400000000000001E-2</v>
      </c>
      <c r="N1539">
        <v>800</v>
      </c>
      <c r="O1539">
        <v>720</v>
      </c>
      <c r="P1539" t="s">
        <v>25</v>
      </c>
      <c r="Q1539" t="s">
        <v>26</v>
      </c>
      <c r="R1539" t="str">
        <f>IF(COUNTIF(Sheet2!B:B, A1539) &gt; 0, "Yes", "No")</f>
        <v>No</v>
      </c>
    </row>
    <row r="1540" spans="1:18" x14ac:dyDescent="0.25">
      <c r="A1540" s="3">
        <v>45327</v>
      </c>
      <c r="B1540" t="s">
        <v>470</v>
      </c>
      <c r="C1540" t="s">
        <v>19</v>
      </c>
      <c r="D1540" t="s">
        <v>20</v>
      </c>
      <c r="E1540" t="s">
        <v>21</v>
      </c>
      <c r="F1540" t="s">
        <v>27</v>
      </c>
      <c r="G1540" t="s">
        <v>115</v>
      </c>
      <c r="H1540" t="s">
        <v>115</v>
      </c>
      <c r="I1540">
        <v>0.11</v>
      </c>
      <c r="J1540">
        <f t="shared" si="72"/>
        <v>79.2</v>
      </c>
      <c r="K1540">
        <v>0</v>
      </c>
      <c r="L1540">
        <f t="shared" si="73"/>
        <v>79.2</v>
      </c>
      <c r="M1540" s="4">
        <f t="shared" si="74"/>
        <v>9.9000000000000005E-2</v>
      </c>
      <c r="N1540">
        <v>800</v>
      </c>
      <c r="O1540">
        <v>720</v>
      </c>
      <c r="P1540" t="s">
        <v>25</v>
      </c>
      <c r="Q1540" t="s">
        <v>26</v>
      </c>
      <c r="R1540" t="str">
        <f>IF(COUNTIF(Sheet2!B:B, A1540) &gt; 0, "Yes", "No")</f>
        <v>No</v>
      </c>
    </row>
    <row r="1541" spans="1:18" x14ac:dyDescent="0.25">
      <c r="A1541" s="3">
        <v>45327</v>
      </c>
      <c r="B1541" t="s">
        <v>470</v>
      </c>
      <c r="C1541" t="s">
        <v>19</v>
      </c>
      <c r="D1541" t="s">
        <v>20</v>
      </c>
      <c r="E1541" t="s">
        <v>21</v>
      </c>
      <c r="F1541" t="s">
        <v>30</v>
      </c>
      <c r="G1541" t="s">
        <v>31</v>
      </c>
      <c r="H1541" t="s">
        <v>32</v>
      </c>
      <c r="I1541">
        <v>0.09</v>
      </c>
      <c r="J1541">
        <f t="shared" si="72"/>
        <v>64.8</v>
      </c>
      <c r="K1541">
        <v>1</v>
      </c>
      <c r="L1541">
        <f t="shared" si="73"/>
        <v>63.8</v>
      </c>
      <c r="M1541" s="4">
        <f t="shared" si="74"/>
        <v>7.9750000000000001E-2</v>
      </c>
      <c r="N1541">
        <v>800</v>
      </c>
      <c r="O1541">
        <v>720</v>
      </c>
      <c r="P1541" t="s">
        <v>25</v>
      </c>
      <c r="Q1541" t="s">
        <v>26</v>
      </c>
      <c r="R1541" t="str">
        <f>IF(COUNTIF(Sheet2!B:B, A1541) &gt; 0, "Yes", "No")</f>
        <v>No</v>
      </c>
    </row>
    <row r="1542" spans="1:18" x14ac:dyDescent="0.25">
      <c r="A1542" s="3">
        <v>45327</v>
      </c>
      <c r="B1542" t="s">
        <v>470</v>
      </c>
      <c r="C1542" t="s">
        <v>19</v>
      </c>
      <c r="D1542" t="s">
        <v>33</v>
      </c>
      <c r="E1542" t="s">
        <v>21</v>
      </c>
      <c r="F1542" t="s">
        <v>34</v>
      </c>
      <c r="G1542" t="s">
        <v>35</v>
      </c>
      <c r="H1542" t="s">
        <v>36</v>
      </c>
      <c r="I1542">
        <v>0.15</v>
      </c>
      <c r="J1542">
        <f t="shared" si="72"/>
        <v>75</v>
      </c>
      <c r="K1542">
        <v>5</v>
      </c>
      <c r="L1542">
        <f t="shared" si="73"/>
        <v>70</v>
      </c>
      <c r="M1542" s="4">
        <f t="shared" si="74"/>
        <v>0.125</v>
      </c>
      <c r="N1542">
        <v>560</v>
      </c>
      <c r="O1542">
        <v>500</v>
      </c>
      <c r="P1542" t="s">
        <v>25</v>
      </c>
      <c r="Q1542" t="s">
        <v>26</v>
      </c>
      <c r="R1542" t="str">
        <f>IF(COUNTIF(Sheet2!B:B, A1542) &gt; 0, "Yes", "No")</f>
        <v>No</v>
      </c>
    </row>
    <row r="1543" spans="1:18" x14ac:dyDescent="0.25">
      <c r="A1543" s="3">
        <v>45327</v>
      </c>
      <c r="B1543" t="s">
        <v>470</v>
      </c>
      <c r="C1543" t="s">
        <v>19</v>
      </c>
      <c r="D1543" t="s">
        <v>20</v>
      </c>
      <c r="E1543" t="s">
        <v>21</v>
      </c>
      <c r="F1543" t="s">
        <v>37</v>
      </c>
      <c r="G1543" t="s">
        <v>38</v>
      </c>
      <c r="H1543" t="s">
        <v>39</v>
      </c>
      <c r="I1543">
        <v>0.03</v>
      </c>
      <c r="J1543">
        <f t="shared" si="72"/>
        <v>21.599999999999998</v>
      </c>
      <c r="K1543">
        <v>1</v>
      </c>
      <c r="L1543">
        <f t="shared" si="73"/>
        <v>20.599999999999998</v>
      </c>
      <c r="M1543" s="4">
        <f t="shared" si="74"/>
        <v>2.5749999999999999E-2</v>
      </c>
      <c r="N1543">
        <v>800</v>
      </c>
      <c r="O1543">
        <v>720</v>
      </c>
      <c r="P1543" t="s">
        <v>25</v>
      </c>
      <c r="Q1543" t="s">
        <v>26</v>
      </c>
      <c r="R1543" t="str">
        <f>IF(COUNTIF(Sheet2!B:B, A1543) &gt; 0, "Yes", "No")</f>
        <v>No</v>
      </c>
    </row>
    <row r="1544" spans="1:18" x14ac:dyDescent="0.25">
      <c r="A1544" s="3">
        <v>45327</v>
      </c>
      <c r="B1544" t="s">
        <v>470</v>
      </c>
      <c r="C1544" t="s">
        <v>19</v>
      </c>
      <c r="D1544" t="s">
        <v>20</v>
      </c>
      <c r="E1544" t="s">
        <v>21</v>
      </c>
      <c r="F1544" t="s">
        <v>40</v>
      </c>
      <c r="G1544" t="s">
        <v>41</v>
      </c>
      <c r="H1544" t="s">
        <v>42</v>
      </c>
      <c r="I1544">
        <v>4.4999999999999998E-2</v>
      </c>
      <c r="J1544">
        <f t="shared" si="72"/>
        <v>32.4</v>
      </c>
      <c r="K1544">
        <v>1</v>
      </c>
      <c r="L1544">
        <f t="shared" si="73"/>
        <v>31.4</v>
      </c>
      <c r="M1544" s="4">
        <f t="shared" si="74"/>
        <v>3.925E-2</v>
      </c>
      <c r="N1544">
        <v>800</v>
      </c>
      <c r="O1544">
        <v>720</v>
      </c>
      <c r="P1544" t="s">
        <v>25</v>
      </c>
      <c r="Q1544" t="s">
        <v>26</v>
      </c>
      <c r="R1544" t="str">
        <f>IF(COUNTIF(Sheet2!B:B, A1544) &gt; 0, "Yes", "No")</f>
        <v>No</v>
      </c>
    </row>
    <row r="1545" spans="1:18" x14ac:dyDescent="0.25">
      <c r="A1545" s="3">
        <v>45327</v>
      </c>
      <c r="B1545" t="s">
        <v>470</v>
      </c>
      <c r="C1545" t="s">
        <v>19</v>
      </c>
      <c r="D1545" t="s">
        <v>20</v>
      </c>
      <c r="E1545" t="s">
        <v>21</v>
      </c>
      <c r="F1545" t="s">
        <v>43</v>
      </c>
      <c r="G1545" t="s">
        <v>288</v>
      </c>
      <c r="H1545" t="s">
        <v>289</v>
      </c>
      <c r="I1545">
        <v>0.11</v>
      </c>
      <c r="J1545">
        <f t="shared" si="72"/>
        <v>79.2</v>
      </c>
      <c r="K1545">
        <v>2</v>
      </c>
      <c r="L1545">
        <f t="shared" si="73"/>
        <v>77.2</v>
      </c>
      <c r="M1545" s="4">
        <f t="shared" si="74"/>
        <v>9.6500000000000002E-2</v>
      </c>
      <c r="N1545">
        <v>800</v>
      </c>
      <c r="O1545">
        <v>720</v>
      </c>
      <c r="P1545" t="s">
        <v>25</v>
      </c>
      <c r="Q1545" t="s">
        <v>26</v>
      </c>
      <c r="R1545" t="str">
        <f>IF(COUNTIF(Sheet2!B:B, A1545) &gt; 0, "Yes", "No")</f>
        <v>No</v>
      </c>
    </row>
    <row r="1546" spans="1:18" x14ac:dyDescent="0.25">
      <c r="A1546" s="3">
        <v>45327</v>
      </c>
      <c r="B1546" t="s">
        <v>470</v>
      </c>
      <c r="C1546" t="s">
        <v>19</v>
      </c>
      <c r="D1546" t="s">
        <v>20</v>
      </c>
      <c r="E1546" t="s">
        <v>21</v>
      </c>
      <c r="F1546" t="s">
        <v>46</v>
      </c>
      <c r="G1546" t="s">
        <v>92</v>
      </c>
      <c r="H1546" t="s">
        <v>473</v>
      </c>
      <c r="I1546">
        <v>8.5000000000000006E-2</v>
      </c>
      <c r="J1546">
        <f t="shared" si="72"/>
        <v>61.2</v>
      </c>
      <c r="K1546">
        <v>2</v>
      </c>
      <c r="L1546">
        <f t="shared" si="73"/>
        <v>59.2</v>
      </c>
      <c r="M1546" s="4">
        <f t="shared" si="74"/>
        <v>7.400000000000001E-2</v>
      </c>
      <c r="N1546">
        <v>800</v>
      </c>
      <c r="O1546">
        <v>720</v>
      </c>
      <c r="P1546" t="s">
        <v>25</v>
      </c>
      <c r="Q1546" t="s">
        <v>26</v>
      </c>
      <c r="R1546" t="str">
        <f>IF(COUNTIF(Sheet2!B:B, A1546) &gt; 0, "Yes", "No")</f>
        <v>No</v>
      </c>
    </row>
    <row r="1547" spans="1:18" x14ac:dyDescent="0.25">
      <c r="A1547" s="3">
        <v>45327</v>
      </c>
      <c r="B1547" t="s">
        <v>470</v>
      </c>
      <c r="C1547" t="s">
        <v>19</v>
      </c>
      <c r="D1547" t="s">
        <v>20</v>
      </c>
      <c r="E1547" t="s">
        <v>21</v>
      </c>
      <c r="F1547" t="s">
        <v>49</v>
      </c>
      <c r="G1547" t="s">
        <v>50</v>
      </c>
      <c r="H1547" t="s">
        <v>49</v>
      </c>
      <c r="I1547">
        <v>0.09</v>
      </c>
      <c r="J1547">
        <f t="shared" si="72"/>
        <v>64.8</v>
      </c>
      <c r="K1547">
        <v>1</v>
      </c>
      <c r="L1547">
        <f t="shared" si="73"/>
        <v>63.8</v>
      </c>
      <c r="M1547" s="4">
        <f t="shared" si="74"/>
        <v>7.9750000000000001E-2</v>
      </c>
      <c r="N1547">
        <v>800</v>
      </c>
      <c r="O1547">
        <v>720</v>
      </c>
      <c r="P1547" t="s">
        <v>25</v>
      </c>
      <c r="Q1547" t="s">
        <v>26</v>
      </c>
      <c r="R1547" t="str">
        <f>IF(COUNTIF(Sheet2!B:B, A1547) &gt; 0, "Yes", "No")</f>
        <v>No</v>
      </c>
    </row>
    <row r="1548" spans="1:18" x14ac:dyDescent="0.25">
      <c r="A1548" s="3">
        <v>45328</v>
      </c>
      <c r="B1548" t="s">
        <v>470</v>
      </c>
      <c r="C1548" t="s">
        <v>105</v>
      </c>
      <c r="D1548" t="s">
        <v>20</v>
      </c>
      <c r="E1548" t="s">
        <v>67</v>
      </c>
      <c r="F1548" t="s">
        <v>22</v>
      </c>
      <c r="G1548" t="s">
        <v>52</v>
      </c>
      <c r="H1548" t="s">
        <v>68</v>
      </c>
      <c r="I1548">
        <v>8.5000000000000006E-2</v>
      </c>
      <c r="J1548">
        <f t="shared" si="72"/>
        <v>56.95</v>
      </c>
      <c r="K1548">
        <v>0</v>
      </c>
      <c r="L1548">
        <f t="shared" si="73"/>
        <v>56.95</v>
      </c>
      <c r="M1548" s="4">
        <f t="shared" si="74"/>
        <v>7.5933333333333339E-2</v>
      </c>
      <c r="N1548">
        <v>750</v>
      </c>
      <c r="O1548">
        <v>670</v>
      </c>
      <c r="P1548" t="s">
        <v>25</v>
      </c>
      <c r="Q1548" t="s">
        <v>26</v>
      </c>
      <c r="R1548" t="str">
        <f>IF(COUNTIF(Sheet2!B:B, A1548) &gt; 0, "Yes", "No")</f>
        <v>No</v>
      </c>
    </row>
    <row r="1549" spans="1:18" x14ac:dyDescent="0.25">
      <c r="A1549" s="3">
        <v>45328</v>
      </c>
      <c r="B1549" t="s">
        <v>470</v>
      </c>
      <c r="C1549" t="s">
        <v>105</v>
      </c>
      <c r="D1549" t="s">
        <v>20</v>
      </c>
      <c r="E1549" t="s">
        <v>67</v>
      </c>
      <c r="F1549" t="s">
        <v>27</v>
      </c>
      <c r="G1549" t="s">
        <v>28</v>
      </c>
      <c r="H1549" t="s">
        <v>474</v>
      </c>
      <c r="I1549">
        <v>0.11</v>
      </c>
      <c r="J1549">
        <f t="shared" si="72"/>
        <v>73.7</v>
      </c>
      <c r="K1549">
        <v>0</v>
      </c>
      <c r="L1549">
        <f t="shared" si="73"/>
        <v>73.7</v>
      </c>
      <c r="M1549" s="4">
        <f t="shared" si="74"/>
        <v>9.8266666666666669E-2</v>
      </c>
      <c r="N1549">
        <v>750</v>
      </c>
      <c r="O1549">
        <v>670</v>
      </c>
      <c r="P1549" t="s">
        <v>25</v>
      </c>
      <c r="Q1549" t="s">
        <v>26</v>
      </c>
      <c r="R1549" t="str">
        <f>IF(COUNTIF(Sheet2!B:B, A1549) &gt; 0, "Yes", "No")</f>
        <v>No</v>
      </c>
    </row>
    <row r="1550" spans="1:18" x14ac:dyDescent="0.25">
      <c r="A1550" s="3">
        <v>45328</v>
      </c>
      <c r="B1550" t="s">
        <v>470</v>
      </c>
      <c r="C1550" t="s">
        <v>105</v>
      </c>
      <c r="D1550" t="s">
        <v>20</v>
      </c>
      <c r="E1550" t="s">
        <v>67</v>
      </c>
      <c r="F1550" t="s">
        <v>30</v>
      </c>
      <c r="G1550" t="s">
        <v>31</v>
      </c>
      <c r="H1550" t="s">
        <v>172</v>
      </c>
      <c r="I1550">
        <v>0.09</v>
      </c>
      <c r="J1550">
        <f t="shared" si="72"/>
        <v>60.3</v>
      </c>
      <c r="K1550">
        <v>0</v>
      </c>
      <c r="L1550">
        <f t="shared" si="73"/>
        <v>60.3</v>
      </c>
      <c r="M1550" s="4">
        <f t="shared" si="74"/>
        <v>8.0399999999999999E-2</v>
      </c>
      <c r="N1550">
        <v>750</v>
      </c>
      <c r="O1550">
        <v>670</v>
      </c>
      <c r="P1550" t="s">
        <v>25</v>
      </c>
      <c r="Q1550" t="s">
        <v>26</v>
      </c>
      <c r="R1550" t="str">
        <f>IF(COUNTIF(Sheet2!B:B, A1550) &gt; 0, "Yes", "No")</f>
        <v>No</v>
      </c>
    </row>
    <row r="1551" spans="1:18" x14ac:dyDescent="0.25">
      <c r="A1551" s="3">
        <v>45328</v>
      </c>
      <c r="B1551" t="s">
        <v>470</v>
      </c>
      <c r="C1551" t="s">
        <v>105</v>
      </c>
      <c r="D1551" t="s">
        <v>20</v>
      </c>
      <c r="E1551" t="s">
        <v>67</v>
      </c>
      <c r="F1551" t="s">
        <v>37</v>
      </c>
      <c r="G1551" t="s">
        <v>87</v>
      </c>
      <c r="H1551" t="s">
        <v>99</v>
      </c>
      <c r="I1551">
        <v>3.5000000000000003E-2</v>
      </c>
      <c r="J1551">
        <f t="shared" si="72"/>
        <v>23.450000000000003</v>
      </c>
      <c r="K1551">
        <v>1</v>
      </c>
      <c r="L1551">
        <f t="shared" si="73"/>
        <v>22.450000000000003</v>
      </c>
      <c r="M1551" s="4">
        <f t="shared" si="74"/>
        <v>2.9933333333333336E-2</v>
      </c>
      <c r="N1551">
        <v>750</v>
      </c>
      <c r="O1551">
        <v>670</v>
      </c>
      <c r="P1551" t="s">
        <v>25</v>
      </c>
      <c r="Q1551" t="s">
        <v>26</v>
      </c>
      <c r="R1551" t="str">
        <f>IF(COUNTIF(Sheet2!B:B, A1551) &gt; 0, "Yes", "No")</f>
        <v>No</v>
      </c>
    </row>
    <row r="1552" spans="1:18" x14ac:dyDescent="0.25">
      <c r="A1552" s="3">
        <v>45328</v>
      </c>
      <c r="B1552" t="s">
        <v>470</v>
      </c>
      <c r="C1552" t="s">
        <v>105</v>
      </c>
      <c r="D1552" t="s">
        <v>20</v>
      </c>
      <c r="E1552" t="s">
        <v>67</v>
      </c>
      <c r="F1552" t="s">
        <v>40</v>
      </c>
      <c r="G1552" t="s">
        <v>137</v>
      </c>
      <c r="H1552" t="s">
        <v>138</v>
      </c>
      <c r="I1552">
        <v>0.05</v>
      </c>
      <c r="J1552">
        <f t="shared" si="72"/>
        <v>33.5</v>
      </c>
      <c r="K1552">
        <v>1.5</v>
      </c>
      <c r="L1552">
        <f t="shared" si="73"/>
        <v>32</v>
      </c>
      <c r="M1552" s="4">
        <f t="shared" si="74"/>
        <v>4.2666666666666665E-2</v>
      </c>
      <c r="N1552">
        <v>750</v>
      </c>
      <c r="O1552">
        <v>670</v>
      </c>
      <c r="P1552" t="s">
        <v>25</v>
      </c>
      <c r="Q1552" t="s">
        <v>26</v>
      </c>
      <c r="R1552" t="str">
        <f>IF(COUNTIF(Sheet2!B:B, A1552) &gt; 0, "Yes", "No")</f>
        <v>No</v>
      </c>
    </row>
    <row r="1553" spans="1:18" x14ac:dyDescent="0.25">
      <c r="A1553" s="3">
        <v>45328</v>
      </c>
      <c r="B1553" t="s">
        <v>470</v>
      </c>
      <c r="C1553" t="s">
        <v>105</v>
      </c>
      <c r="D1553" t="s">
        <v>20</v>
      </c>
      <c r="E1553" t="s">
        <v>67</v>
      </c>
      <c r="F1553" t="s">
        <v>43</v>
      </c>
      <c r="G1553" t="s">
        <v>111</v>
      </c>
      <c r="H1553" t="s">
        <v>475</v>
      </c>
      <c r="I1553">
        <v>0.11</v>
      </c>
      <c r="J1553">
        <f t="shared" si="72"/>
        <v>73.7</v>
      </c>
      <c r="K1553">
        <v>0</v>
      </c>
      <c r="L1553">
        <f t="shared" si="73"/>
        <v>73.7</v>
      </c>
      <c r="M1553" s="4">
        <f t="shared" si="74"/>
        <v>9.8266666666666669E-2</v>
      </c>
      <c r="N1553">
        <v>750</v>
      </c>
      <c r="O1553">
        <v>670</v>
      </c>
      <c r="P1553" t="s">
        <v>25</v>
      </c>
      <c r="Q1553" t="s">
        <v>26</v>
      </c>
      <c r="R1553" t="str">
        <f>IF(COUNTIF(Sheet2!B:B, A1553) &gt; 0, "Yes", "No")</f>
        <v>No</v>
      </c>
    </row>
    <row r="1554" spans="1:18" x14ac:dyDescent="0.25">
      <c r="A1554" s="3">
        <v>45328</v>
      </c>
      <c r="B1554" t="s">
        <v>470</v>
      </c>
      <c r="C1554" t="s">
        <v>105</v>
      </c>
      <c r="D1554" t="s">
        <v>20</v>
      </c>
      <c r="E1554" t="s">
        <v>67</v>
      </c>
      <c r="F1554" t="s">
        <v>46</v>
      </c>
      <c r="G1554" t="s">
        <v>412</v>
      </c>
      <c r="H1554" t="s">
        <v>418</v>
      </c>
      <c r="I1554">
        <v>8.5000000000000006E-2</v>
      </c>
      <c r="J1554">
        <f t="shared" si="72"/>
        <v>56.95</v>
      </c>
      <c r="K1554">
        <v>0</v>
      </c>
      <c r="L1554">
        <f t="shared" si="73"/>
        <v>56.95</v>
      </c>
      <c r="M1554" s="4">
        <f t="shared" si="74"/>
        <v>7.5933333333333339E-2</v>
      </c>
      <c r="N1554">
        <v>750</v>
      </c>
      <c r="O1554">
        <v>670</v>
      </c>
      <c r="P1554" t="s">
        <v>25</v>
      </c>
      <c r="Q1554" t="s">
        <v>26</v>
      </c>
      <c r="R1554" t="str">
        <f>IF(COUNTIF(Sheet2!B:B, A1554) &gt; 0, "Yes", "No")</f>
        <v>No</v>
      </c>
    </row>
    <row r="1555" spans="1:18" x14ac:dyDescent="0.25">
      <c r="A1555" s="3">
        <v>45328</v>
      </c>
      <c r="B1555" t="s">
        <v>470</v>
      </c>
      <c r="C1555" t="s">
        <v>105</v>
      </c>
      <c r="D1555" t="s">
        <v>20</v>
      </c>
      <c r="E1555" t="s">
        <v>67</v>
      </c>
      <c r="F1555" t="s">
        <v>49</v>
      </c>
      <c r="G1555" t="s">
        <v>50</v>
      </c>
      <c r="H1555" t="s">
        <v>49</v>
      </c>
      <c r="I1555">
        <v>0.09</v>
      </c>
      <c r="J1555">
        <f t="shared" si="72"/>
        <v>60.3</v>
      </c>
      <c r="K1555">
        <v>2</v>
      </c>
      <c r="L1555">
        <f t="shared" si="73"/>
        <v>58.3</v>
      </c>
      <c r="M1555" s="4">
        <f t="shared" si="74"/>
        <v>7.7733333333333335E-2</v>
      </c>
      <c r="N1555">
        <v>750</v>
      </c>
      <c r="O1555">
        <v>670</v>
      </c>
      <c r="P1555" t="s">
        <v>25</v>
      </c>
      <c r="Q1555" t="s">
        <v>26</v>
      </c>
      <c r="R1555" t="str">
        <f>IF(COUNTIF(Sheet2!B:B, A1555) &gt; 0, "Yes", "No")</f>
        <v>No</v>
      </c>
    </row>
    <row r="1556" spans="1:18" x14ac:dyDescent="0.25">
      <c r="A1556" s="3">
        <v>45329</v>
      </c>
      <c r="B1556" t="s">
        <v>470</v>
      </c>
      <c r="C1556" t="s">
        <v>51</v>
      </c>
      <c r="D1556" t="s">
        <v>20</v>
      </c>
      <c r="E1556" t="s">
        <v>21</v>
      </c>
      <c r="F1556" t="s">
        <v>22</v>
      </c>
      <c r="G1556" t="s">
        <v>52</v>
      </c>
      <c r="H1556" t="s">
        <v>53</v>
      </c>
      <c r="I1556">
        <v>8.5000000000000006E-2</v>
      </c>
      <c r="J1556">
        <f t="shared" si="72"/>
        <v>65.45</v>
      </c>
      <c r="K1556">
        <v>2</v>
      </c>
      <c r="L1556">
        <f t="shared" si="73"/>
        <v>63.45</v>
      </c>
      <c r="M1556" s="4">
        <f t="shared" si="74"/>
        <v>7.4647058823529414E-2</v>
      </c>
      <c r="N1556">
        <v>850</v>
      </c>
      <c r="O1556">
        <v>770</v>
      </c>
      <c r="P1556" t="s">
        <v>25</v>
      </c>
      <c r="Q1556" t="s">
        <v>26</v>
      </c>
      <c r="R1556" t="str">
        <f>IF(COUNTIF(Sheet2!B:B, A1556) &gt; 0, "Yes", "No")</f>
        <v>No</v>
      </c>
    </row>
    <row r="1557" spans="1:18" x14ac:dyDescent="0.25">
      <c r="A1557" s="3">
        <v>45329</v>
      </c>
      <c r="B1557" t="s">
        <v>470</v>
      </c>
      <c r="C1557" t="s">
        <v>51</v>
      </c>
      <c r="D1557" t="s">
        <v>20</v>
      </c>
      <c r="E1557" t="s">
        <v>21</v>
      </c>
      <c r="F1557" t="s">
        <v>27</v>
      </c>
      <c r="G1557" t="s">
        <v>28</v>
      </c>
      <c r="H1557" t="s">
        <v>54</v>
      </c>
      <c r="I1557">
        <v>0.11</v>
      </c>
      <c r="J1557">
        <f t="shared" si="72"/>
        <v>84.7</v>
      </c>
      <c r="K1557">
        <v>3</v>
      </c>
      <c r="L1557">
        <f t="shared" si="73"/>
        <v>81.7</v>
      </c>
      <c r="M1557" s="4">
        <f t="shared" si="74"/>
        <v>9.611764705882353E-2</v>
      </c>
      <c r="N1557">
        <v>850</v>
      </c>
      <c r="O1557">
        <v>770</v>
      </c>
      <c r="P1557" t="s">
        <v>25</v>
      </c>
      <c r="Q1557" t="s">
        <v>26</v>
      </c>
      <c r="R1557" t="str">
        <f>IF(COUNTIF(Sheet2!B:B, A1557) &gt; 0, "Yes", "No")</f>
        <v>No</v>
      </c>
    </row>
    <row r="1558" spans="1:18" x14ac:dyDescent="0.25">
      <c r="A1558" s="3">
        <v>45329</v>
      </c>
      <c r="B1558" t="s">
        <v>470</v>
      </c>
      <c r="C1558" t="s">
        <v>51</v>
      </c>
      <c r="D1558" t="s">
        <v>20</v>
      </c>
      <c r="E1558" t="s">
        <v>21</v>
      </c>
      <c r="F1558" t="s">
        <v>30</v>
      </c>
      <c r="G1558" t="s">
        <v>55</v>
      </c>
      <c r="H1558" t="s">
        <v>56</v>
      </c>
      <c r="I1558">
        <v>0.09</v>
      </c>
      <c r="J1558">
        <f t="shared" si="72"/>
        <v>69.3</v>
      </c>
      <c r="K1558">
        <v>2</v>
      </c>
      <c r="L1558">
        <f t="shared" si="73"/>
        <v>67.3</v>
      </c>
      <c r="M1558" s="4">
        <f t="shared" si="74"/>
        <v>7.9176470588235293E-2</v>
      </c>
      <c r="N1558">
        <v>850</v>
      </c>
      <c r="O1558">
        <v>770</v>
      </c>
      <c r="P1558" t="s">
        <v>25</v>
      </c>
      <c r="Q1558" t="s">
        <v>26</v>
      </c>
      <c r="R1558" t="str">
        <f>IF(COUNTIF(Sheet2!B:B, A1558) &gt; 0, "Yes", "No")</f>
        <v>No</v>
      </c>
    </row>
    <row r="1559" spans="1:18" x14ac:dyDescent="0.25">
      <c r="A1559" s="3">
        <v>45329</v>
      </c>
      <c r="B1559" t="s">
        <v>470</v>
      </c>
      <c r="C1559" t="s">
        <v>51</v>
      </c>
      <c r="D1559" t="s">
        <v>33</v>
      </c>
      <c r="E1559" t="s">
        <v>21</v>
      </c>
      <c r="F1559" t="s">
        <v>34</v>
      </c>
      <c r="G1559" t="s">
        <v>57</v>
      </c>
      <c r="H1559" t="s">
        <v>58</v>
      </c>
      <c r="I1559">
        <v>0.15</v>
      </c>
      <c r="J1559">
        <f t="shared" si="72"/>
        <v>79.5</v>
      </c>
      <c r="K1559">
        <v>2</v>
      </c>
      <c r="L1559">
        <f t="shared" si="73"/>
        <v>77.5</v>
      </c>
      <c r="M1559" s="4">
        <f t="shared" si="74"/>
        <v>0.13025210084033614</v>
      </c>
      <c r="N1559">
        <v>595</v>
      </c>
      <c r="O1559">
        <v>530</v>
      </c>
      <c r="P1559" t="s">
        <v>25</v>
      </c>
      <c r="Q1559" t="s">
        <v>26</v>
      </c>
      <c r="R1559" t="str">
        <f>IF(COUNTIF(Sheet2!B:B, A1559) &gt; 0, "Yes", "No")</f>
        <v>No</v>
      </c>
    </row>
    <row r="1560" spans="1:18" x14ac:dyDescent="0.25">
      <c r="A1560" s="3">
        <v>45329</v>
      </c>
      <c r="B1560" t="s">
        <v>470</v>
      </c>
      <c r="C1560" t="s">
        <v>51</v>
      </c>
      <c r="D1560" t="s">
        <v>20</v>
      </c>
      <c r="E1560" t="s">
        <v>21</v>
      </c>
      <c r="F1560" t="s">
        <v>37</v>
      </c>
      <c r="G1560" t="s">
        <v>117</v>
      </c>
      <c r="H1560" t="s">
        <v>476</v>
      </c>
      <c r="I1560">
        <v>0.03</v>
      </c>
      <c r="J1560">
        <f t="shared" si="72"/>
        <v>23.099999999999998</v>
      </c>
      <c r="K1560">
        <v>2</v>
      </c>
      <c r="L1560">
        <f t="shared" si="73"/>
        <v>21.099999999999998</v>
      </c>
      <c r="M1560" s="4">
        <f t="shared" si="74"/>
        <v>2.4823529411764703E-2</v>
      </c>
      <c r="N1560">
        <v>850</v>
      </c>
      <c r="O1560">
        <v>770</v>
      </c>
      <c r="P1560" t="s">
        <v>25</v>
      </c>
      <c r="Q1560" t="s">
        <v>26</v>
      </c>
      <c r="R1560" t="str">
        <f>IF(COUNTIF(Sheet2!B:B, A1560) &gt; 0, "Yes", "No")</f>
        <v>No</v>
      </c>
    </row>
    <row r="1561" spans="1:18" x14ac:dyDescent="0.25">
      <c r="A1561" s="3">
        <v>45329</v>
      </c>
      <c r="B1561" t="s">
        <v>470</v>
      </c>
      <c r="C1561" t="s">
        <v>51</v>
      </c>
      <c r="D1561" t="s">
        <v>20</v>
      </c>
      <c r="E1561" t="s">
        <v>21</v>
      </c>
      <c r="F1561" t="s">
        <v>40</v>
      </c>
      <c r="G1561" t="s">
        <v>61</v>
      </c>
      <c r="H1561" t="s">
        <v>62</v>
      </c>
      <c r="I1561">
        <v>4.4999999999999998E-2</v>
      </c>
      <c r="J1561">
        <f t="shared" si="72"/>
        <v>34.65</v>
      </c>
      <c r="K1561">
        <v>2</v>
      </c>
      <c r="L1561">
        <f t="shared" si="73"/>
        <v>32.65</v>
      </c>
      <c r="M1561" s="4">
        <f t="shared" si="74"/>
        <v>3.8411764705882354E-2</v>
      </c>
      <c r="N1561">
        <v>850</v>
      </c>
      <c r="O1561">
        <v>770</v>
      </c>
      <c r="P1561" t="s">
        <v>25</v>
      </c>
      <c r="Q1561" t="s">
        <v>26</v>
      </c>
      <c r="R1561" t="str">
        <f>IF(COUNTIF(Sheet2!B:B, A1561) &gt; 0, "Yes", "No")</f>
        <v>No</v>
      </c>
    </row>
    <row r="1562" spans="1:18" x14ac:dyDescent="0.25">
      <c r="A1562" s="3">
        <v>45329</v>
      </c>
      <c r="B1562" t="s">
        <v>470</v>
      </c>
      <c r="C1562" t="s">
        <v>51</v>
      </c>
      <c r="D1562" t="s">
        <v>20</v>
      </c>
      <c r="E1562" t="s">
        <v>21</v>
      </c>
      <c r="F1562" t="s">
        <v>43</v>
      </c>
      <c r="G1562" t="s">
        <v>44</v>
      </c>
      <c r="H1562" t="s">
        <v>45</v>
      </c>
      <c r="I1562">
        <v>0.11</v>
      </c>
      <c r="J1562">
        <f t="shared" si="72"/>
        <v>84.7</v>
      </c>
      <c r="K1562">
        <v>0</v>
      </c>
      <c r="L1562">
        <f t="shared" si="73"/>
        <v>84.7</v>
      </c>
      <c r="M1562" s="4">
        <f t="shared" si="74"/>
        <v>9.9647058823529422E-2</v>
      </c>
      <c r="N1562">
        <v>850</v>
      </c>
      <c r="O1562">
        <v>770</v>
      </c>
      <c r="P1562" t="s">
        <v>25</v>
      </c>
      <c r="Q1562" t="s">
        <v>26</v>
      </c>
      <c r="R1562" t="str">
        <f>IF(COUNTIF(Sheet2!B:B, A1562) &gt; 0, "Yes", "No")</f>
        <v>No</v>
      </c>
    </row>
    <row r="1563" spans="1:18" x14ac:dyDescent="0.25">
      <c r="A1563" s="3">
        <v>45329</v>
      </c>
      <c r="B1563" t="s">
        <v>470</v>
      </c>
      <c r="C1563" t="s">
        <v>51</v>
      </c>
      <c r="D1563" t="s">
        <v>20</v>
      </c>
      <c r="E1563" t="s">
        <v>21</v>
      </c>
      <c r="F1563" t="s">
        <v>46</v>
      </c>
      <c r="G1563" t="s">
        <v>92</v>
      </c>
      <c r="H1563" t="s">
        <v>275</v>
      </c>
      <c r="I1563">
        <v>8.5000000000000006E-2</v>
      </c>
      <c r="J1563">
        <f t="shared" si="72"/>
        <v>65.45</v>
      </c>
      <c r="K1563">
        <v>2</v>
      </c>
      <c r="L1563">
        <f t="shared" si="73"/>
        <v>63.45</v>
      </c>
      <c r="M1563" s="4">
        <f t="shared" si="74"/>
        <v>7.4647058823529414E-2</v>
      </c>
      <c r="N1563">
        <v>850</v>
      </c>
      <c r="O1563">
        <v>770</v>
      </c>
      <c r="P1563" t="s">
        <v>25</v>
      </c>
      <c r="Q1563" t="s">
        <v>26</v>
      </c>
      <c r="R1563" t="str">
        <f>IF(COUNTIF(Sheet2!B:B, A1563) &gt; 0, "Yes", "No")</f>
        <v>No</v>
      </c>
    </row>
    <row r="1564" spans="1:18" x14ac:dyDescent="0.25">
      <c r="A1564" s="3">
        <v>45329</v>
      </c>
      <c r="B1564" t="s">
        <v>470</v>
      </c>
      <c r="C1564" t="s">
        <v>51</v>
      </c>
      <c r="D1564" t="s">
        <v>20</v>
      </c>
      <c r="E1564" t="s">
        <v>21</v>
      </c>
      <c r="F1564" t="s">
        <v>49</v>
      </c>
      <c r="G1564" t="s">
        <v>50</v>
      </c>
      <c r="H1564" t="s">
        <v>49</v>
      </c>
      <c r="I1564">
        <v>0.09</v>
      </c>
      <c r="J1564">
        <f t="shared" si="72"/>
        <v>69.3</v>
      </c>
      <c r="K1564">
        <v>1</v>
      </c>
      <c r="L1564">
        <f t="shared" si="73"/>
        <v>68.3</v>
      </c>
      <c r="M1564" s="4">
        <f t="shared" si="74"/>
        <v>8.0352941176470585E-2</v>
      </c>
      <c r="N1564">
        <v>850</v>
      </c>
      <c r="O1564">
        <v>770</v>
      </c>
      <c r="P1564" t="s">
        <v>25</v>
      </c>
      <c r="Q1564" t="s">
        <v>26</v>
      </c>
      <c r="R1564" t="str">
        <f>IF(COUNTIF(Sheet2!B:B, A1564) &gt; 0, "Yes", "No")</f>
        <v>No</v>
      </c>
    </row>
    <row r="1565" spans="1:18" x14ac:dyDescent="0.25">
      <c r="A1565" s="3">
        <v>45330</v>
      </c>
      <c r="B1565" t="s">
        <v>470</v>
      </c>
      <c r="C1565" t="s">
        <v>66</v>
      </c>
      <c r="D1565" t="s">
        <v>20</v>
      </c>
      <c r="E1565" t="s">
        <v>67</v>
      </c>
      <c r="F1565" t="s">
        <v>22</v>
      </c>
      <c r="G1565" t="s">
        <v>94</v>
      </c>
      <c r="H1565" t="s">
        <v>199</v>
      </c>
      <c r="I1565">
        <v>8.5000000000000006E-2</v>
      </c>
      <c r="J1565">
        <f t="shared" si="72"/>
        <v>56.95</v>
      </c>
      <c r="K1565">
        <v>0</v>
      </c>
      <c r="L1565">
        <f t="shared" si="73"/>
        <v>56.95</v>
      </c>
      <c r="M1565" s="4">
        <f t="shared" si="74"/>
        <v>7.5933333333333339E-2</v>
      </c>
      <c r="N1565">
        <v>750</v>
      </c>
      <c r="O1565">
        <v>670</v>
      </c>
      <c r="P1565" t="s">
        <v>25</v>
      </c>
      <c r="Q1565" t="s">
        <v>26</v>
      </c>
      <c r="R1565" t="str">
        <f>IF(COUNTIF(Sheet2!B:B, A1565) &gt; 0, "Yes", "No")</f>
        <v>No</v>
      </c>
    </row>
    <row r="1566" spans="1:18" x14ac:dyDescent="0.25">
      <c r="A1566" s="3">
        <v>45330</v>
      </c>
      <c r="B1566" t="s">
        <v>470</v>
      </c>
      <c r="C1566" t="s">
        <v>66</v>
      </c>
      <c r="D1566" t="s">
        <v>20</v>
      </c>
      <c r="E1566" t="s">
        <v>67</v>
      </c>
      <c r="F1566" t="s">
        <v>27</v>
      </c>
      <c r="G1566" t="s">
        <v>28</v>
      </c>
      <c r="H1566" t="s">
        <v>69</v>
      </c>
      <c r="I1566">
        <v>0.11</v>
      </c>
      <c r="J1566">
        <f t="shared" si="72"/>
        <v>73.7</v>
      </c>
      <c r="K1566">
        <v>1</v>
      </c>
      <c r="L1566">
        <f t="shared" si="73"/>
        <v>72.7</v>
      </c>
      <c r="M1566" s="4">
        <f t="shared" si="74"/>
        <v>9.6933333333333344E-2</v>
      </c>
      <c r="N1566">
        <v>750</v>
      </c>
      <c r="O1566">
        <v>670</v>
      </c>
      <c r="P1566" t="s">
        <v>25</v>
      </c>
      <c r="Q1566" t="s">
        <v>26</v>
      </c>
      <c r="R1566" t="str">
        <f>IF(COUNTIF(Sheet2!B:B, A1566) &gt; 0, "Yes", "No")</f>
        <v>No</v>
      </c>
    </row>
    <row r="1567" spans="1:18" x14ac:dyDescent="0.25">
      <c r="A1567" s="3">
        <v>45330</v>
      </c>
      <c r="B1567" t="s">
        <v>470</v>
      </c>
      <c r="C1567" t="s">
        <v>66</v>
      </c>
      <c r="D1567" t="s">
        <v>20</v>
      </c>
      <c r="E1567" t="s">
        <v>67</v>
      </c>
      <c r="F1567" t="s">
        <v>30</v>
      </c>
      <c r="G1567" t="s">
        <v>31</v>
      </c>
      <c r="H1567" t="s">
        <v>70</v>
      </c>
      <c r="I1567">
        <v>0.09</v>
      </c>
      <c r="J1567">
        <f t="shared" si="72"/>
        <v>60.3</v>
      </c>
      <c r="K1567">
        <v>1</v>
      </c>
      <c r="L1567">
        <f t="shared" si="73"/>
        <v>59.3</v>
      </c>
      <c r="M1567" s="4">
        <f t="shared" si="74"/>
        <v>7.906666666666666E-2</v>
      </c>
      <c r="N1567">
        <v>750</v>
      </c>
      <c r="O1567">
        <v>670</v>
      </c>
      <c r="P1567" t="s">
        <v>25</v>
      </c>
      <c r="Q1567" t="s">
        <v>26</v>
      </c>
      <c r="R1567" t="str">
        <f>IF(COUNTIF(Sheet2!B:B, A1567) &gt; 0, "Yes", "No")</f>
        <v>No</v>
      </c>
    </row>
    <row r="1568" spans="1:18" x14ac:dyDescent="0.25">
      <c r="A1568" s="3">
        <v>45330</v>
      </c>
      <c r="B1568" t="s">
        <v>470</v>
      </c>
      <c r="C1568" t="s">
        <v>66</v>
      </c>
      <c r="D1568" t="s">
        <v>20</v>
      </c>
      <c r="E1568" t="s">
        <v>67</v>
      </c>
      <c r="F1568" t="s">
        <v>37</v>
      </c>
      <c r="G1568" t="s">
        <v>117</v>
      </c>
      <c r="H1568" t="s">
        <v>118</v>
      </c>
      <c r="I1568">
        <v>3.5000000000000003E-2</v>
      </c>
      <c r="J1568">
        <f t="shared" si="72"/>
        <v>23.450000000000003</v>
      </c>
      <c r="K1568">
        <v>1</v>
      </c>
      <c r="L1568">
        <f t="shared" si="73"/>
        <v>22.450000000000003</v>
      </c>
      <c r="M1568" s="4">
        <f t="shared" si="74"/>
        <v>2.9933333333333336E-2</v>
      </c>
      <c r="N1568">
        <v>750</v>
      </c>
      <c r="O1568">
        <v>670</v>
      </c>
      <c r="P1568" t="s">
        <v>25</v>
      </c>
      <c r="Q1568" t="s">
        <v>26</v>
      </c>
      <c r="R1568" t="str">
        <f>IF(COUNTIF(Sheet2!B:B, A1568) &gt; 0, "Yes", "No")</f>
        <v>No</v>
      </c>
    </row>
    <row r="1569" spans="1:18" x14ac:dyDescent="0.25">
      <c r="A1569" s="3">
        <v>45330</v>
      </c>
      <c r="B1569" t="s">
        <v>470</v>
      </c>
      <c r="C1569" t="s">
        <v>66</v>
      </c>
      <c r="D1569" t="s">
        <v>20</v>
      </c>
      <c r="E1569" t="s">
        <v>67</v>
      </c>
      <c r="F1569" t="s">
        <v>40</v>
      </c>
      <c r="G1569" t="s">
        <v>73</v>
      </c>
      <c r="H1569" t="s">
        <v>74</v>
      </c>
      <c r="I1569">
        <v>0.05</v>
      </c>
      <c r="J1569">
        <f t="shared" si="72"/>
        <v>33.5</v>
      </c>
      <c r="K1569">
        <v>0</v>
      </c>
      <c r="L1569">
        <f t="shared" si="73"/>
        <v>33.5</v>
      </c>
      <c r="M1569" s="4">
        <f t="shared" si="74"/>
        <v>4.4666666666666667E-2</v>
      </c>
      <c r="N1569">
        <v>750</v>
      </c>
      <c r="O1569">
        <v>670</v>
      </c>
      <c r="P1569" t="s">
        <v>25</v>
      </c>
      <c r="Q1569" t="s">
        <v>26</v>
      </c>
      <c r="R1569" t="str">
        <f>IF(COUNTIF(Sheet2!B:B, A1569) &gt; 0, "Yes", "No")</f>
        <v>No</v>
      </c>
    </row>
    <row r="1570" spans="1:18" x14ac:dyDescent="0.25">
      <c r="A1570" s="3">
        <v>45330</v>
      </c>
      <c r="B1570" t="s">
        <v>470</v>
      </c>
      <c r="C1570" t="s">
        <v>66</v>
      </c>
      <c r="D1570" t="s">
        <v>20</v>
      </c>
      <c r="E1570" t="s">
        <v>67</v>
      </c>
      <c r="F1570" t="s">
        <v>43</v>
      </c>
      <c r="G1570" t="s">
        <v>90</v>
      </c>
      <c r="H1570" t="s">
        <v>477</v>
      </c>
      <c r="I1570">
        <v>0.11</v>
      </c>
      <c r="J1570">
        <f t="shared" si="72"/>
        <v>73.7</v>
      </c>
      <c r="K1570">
        <v>2</v>
      </c>
      <c r="L1570">
        <f t="shared" si="73"/>
        <v>71.7</v>
      </c>
      <c r="M1570" s="4">
        <f t="shared" si="74"/>
        <v>9.5600000000000004E-2</v>
      </c>
      <c r="N1570">
        <v>750</v>
      </c>
      <c r="O1570">
        <v>670</v>
      </c>
      <c r="P1570" t="s">
        <v>25</v>
      </c>
      <c r="Q1570" t="s">
        <v>26</v>
      </c>
      <c r="R1570" t="str">
        <f>IF(COUNTIF(Sheet2!B:B, A1570) &gt; 0, "Yes", "No")</f>
        <v>No</v>
      </c>
    </row>
    <row r="1571" spans="1:18" x14ac:dyDescent="0.25">
      <c r="A1571" s="3">
        <v>45330</v>
      </c>
      <c r="B1571" t="s">
        <v>470</v>
      </c>
      <c r="C1571" t="s">
        <v>66</v>
      </c>
      <c r="D1571" t="s">
        <v>20</v>
      </c>
      <c r="E1571" t="s">
        <v>67</v>
      </c>
      <c r="F1571" t="s">
        <v>46</v>
      </c>
      <c r="G1571" t="s">
        <v>47</v>
      </c>
      <c r="H1571" t="s">
        <v>478</v>
      </c>
      <c r="I1571">
        <v>8.5000000000000006E-2</v>
      </c>
      <c r="J1571">
        <f t="shared" si="72"/>
        <v>56.95</v>
      </c>
      <c r="K1571">
        <v>2</v>
      </c>
      <c r="L1571">
        <f t="shared" si="73"/>
        <v>54.95</v>
      </c>
      <c r="M1571" s="4">
        <f t="shared" si="74"/>
        <v>7.3266666666666674E-2</v>
      </c>
      <c r="N1571">
        <v>750</v>
      </c>
      <c r="O1571">
        <v>670</v>
      </c>
      <c r="P1571" t="s">
        <v>25</v>
      </c>
      <c r="Q1571" t="s">
        <v>26</v>
      </c>
      <c r="R1571" t="str">
        <f>IF(COUNTIF(Sheet2!B:B, A1571) &gt; 0, "Yes", "No")</f>
        <v>No</v>
      </c>
    </row>
    <row r="1572" spans="1:18" x14ac:dyDescent="0.25">
      <c r="A1572" s="3">
        <v>45330</v>
      </c>
      <c r="B1572" t="s">
        <v>470</v>
      </c>
      <c r="C1572" t="s">
        <v>66</v>
      </c>
      <c r="D1572" t="s">
        <v>20</v>
      </c>
      <c r="E1572" t="s">
        <v>67</v>
      </c>
      <c r="F1572" t="s">
        <v>49</v>
      </c>
      <c r="G1572" t="s">
        <v>50</v>
      </c>
      <c r="H1572" t="s">
        <v>49</v>
      </c>
      <c r="I1572">
        <v>0.09</v>
      </c>
      <c r="J1572">
        <f t="shared" si="72"/>
        <v>60.3</v>
      </c>
      <c r="K1572">
        <v>0</v>
      </c>
      <c r="L1572">
        <f t="shared" si="73"/>
        <v>60.3</v>
      </c>
      <c r="M1572" s="4">
        <f t="shared" si="74"/>
        <v>8.0399999999999999E-2</v>
      </c>
      <c r="N1572">
        <v>750</v>
      </c>
      <c r="O1572">
        <v>670</v>
      </c>
      <c r="P1572" t="s">
        <v>25</v>
      </c>
      <c r="Q1572" t="s">
        <v>26</v>
      </c>
      <c r="R1572" t="str">
        <f>IF(COUNTIF(Sheet2!B:B, A1572) &gt; 0, "Yes", "No")</f>
        <v>No</v>
      </c>
    </row>
    <row r="1573" spans="1:18" x14ac:dyDescent="0.25">
      <c r="A1573" s="3">
        <v>45331</v>
      </c>
      <c r="B1573" t="s">
        <v>470</v>
      </c>
      <c r="C1573" t="s">
        <v>79</v>
      </c>
      <c r="D1573" t="s">
        <v>20</v>
      </c>
      <c r="E1573" t="s">
        <v>21</v>
      </c>
      <c r="F1573" t="s">
        <v>22</v>
      </c>
      <c r="G1573" t="s">
        <v>23</v>
      </c>
      <c r="H1573" t="s">
        <v>80</v>
      </c>
      <c r="I1573" s="5">
        <v>0.06</v>
      </c>
      <c r="J1573">
        <f t="shared" si="72"/>
        <v>36</v>
      </c>
      <c r="K1573">
        <v>2</v>
      </c>
      <c r="L1573">
        <f t="shared" si="73"/>
        <v>34</v>
      </c>
      <c r="M1573" s="4">
        <f t="shared" si="74"/>
        <v>5.2307692307692305E-2</v>
      </c>
      <c r="N1573">
        <v>650</v>
      </c>
      <c r="O1573">
        <v>600</v>
      </c>
      <c r="P1573" t="s">
        <v>25</v>
      </c>
      <c r="Q1573" t="s">
        <v>26</v>
      </c>
      <c r="R1573" t="str">
        <f>IF(COUNTIF(Sheet2!B:B, A1573) &gt; 0, "Yes", "No")</f>
        <v>Yes</v>
      </c>
    </row>
    <row r="1574" spans="1:18" x14ac:dyDescent="0.25">
      <c r="A1574" s="3">
        <v>45331</v>
      </c>
      <c r="B1574" t="s">
        <v>470</v>
      </c>
      <c r="C1574" t="s">
        <v>79</v>
      </c>
      <c r="D1574" t="s">
        <v>20</v>
      </c>
      <c r="E1574" t="s">
        <v>21</v>
      </c>
      <c r="F1574" t="s">
        <v>27</v>
      </c>
      <c r="G1574" t="s">
        <v>81</v>
      </c>
      <c r="H1574" t="s">
        <v>479</v>
      </c>
      <c r="I1574" s="5">
        <v>0.1</v>
      </c>
      <c r="J1574">
        <f t="shared" si="72"/>
        <v>60</v>
      </c>
      <c r="K1574">
        <v>1</v>
      </c>
      <c r="L1574">
        <f t="shared" si="73"/>
        <v>59</v>
      </c>
      <c r="M1574" s="4">
        <f t="shared" si="74"/>
        <v>9.0769230769230769E-2</v>
      </c>
      <c r="N1574">
        <v>650</v>
      </c>
      <c r="O1574">
        <v>600</v>
      </c>
      <c r="P1574" t="s">
        <v>25</v>
      </c>
      <c r="Q1574" t="s">
        <v>26</v>
      </c>
      <c r="R1574" t="str">
        <f>IF(COUNTIF(Sheet2!B:B, A1574) &gt; 0, "Yes", "No")</f>
        <v>Yes</v>
      </c>
    </row>
    <row r="1575" spans="1:18" x14ac:dyDescent="0.25">
      <c r="A1575" s="3">
        <v>45331</v>
      </c>
      <c r="B1575" t="s">
        <v>470</v>
      </c>
      <c r="C1575" t="s">
        <v>79</v>
      </c>
      <c r="D1575" t="s">
        <v>20</v>
      </c>
      <c r="E1575" t="s">
        <v>21</v>
      </c>
      <c r="F1575" t="s">
        <v>30</v>
      </c>
      <c r="G1575" t="s">
        <v>55</v>
      </c>
      <c r="H1575" t="s">
        <v>183</v>
      </c>
      <c r="I1575" s="5">
        <v>0.06</v>
      </c>
      <c r="J1575">
        <f t="shared" si="72"/>
        <v>36</v>
      </c>
      <c r="K1575">
        <v>2</v>
      </c>
      <c r="L1575">
        <f t="shared" si="73"/>
        <v>34</v>
      </c>
      <c r="M1575" s="4">
        <f t="shared" si="74"/>
        <v>5.2307692307692305E-2</v>
      </c>
      <c r="N1575">
        <v>650</v>
      </c>
      <c r="O1575">
        <v>600</v>
      </c>
      <c r="P1575" t="s">
        <v>25</v>
      </c>
      <c r="Q1575" t="s">
        <v>26</v>
      </c>
      <c r="R1575" t="str">
        <f>IF(COUNTIF(Sheet2!B:B, A1575) &gt; 0, "Yes", "No")</f>
        <v>Yes</v>
      </c>
    </row>
    <row r="1576" spans="1:18" x14ac:dyDescent="0.25">
      <c r="A1576" s="3">
        <v>45331</v>
      </c>
      <c r="B1576" t="s">
        <v>470</v>
      </c>
      <c r="C1576" t="s">
        <v>79</v>
      </c>
      <c r="D1576" t="s">
        <v>33</v>
      </c>
      <c r="E1576" t="s">
        <v>21</v>
      </c>
      <c r="F1576" t="s">
        <v>84</v>
      </c>
      <c r="G1576" t="s">
        <v>85</v>
      </c>
      <c r="H1576" t="s">
        <v>201</v>
      </c>
      <c r="I1576" s="5">
        <v>0.3</v>
      </c>
      <c r="J1576">
        <f t="shared" si="72"/>
        <v>126</v>
      </c>
      <c r="K1576">
        <v>0</v>
      </c>
      <c r="L1576">
        <f t="shared" si="73"/>
        <v>126</v>
      </c>
      <c r="M1576" s="4">
        <f t="shared" si="74"/>
        <v>0.27692307692307694</v>
      </c>
      <c r="N1576">
        <v>455</v>
      </c>
      <c r="O1576">
        <v>420</v>
      </c>
      <c r="P1576" t="s">
        <v>25</v>
      </c>
      <c r="Q1576" t="s">
        <v>26</v>
      </c>
      <c r="R1576" t="str">
        <f>IF(COUNTIF(Sheet2!B:B, A1576) &gt; 0, "Yes", "No")</f>
        <v>Yes</v>
      </c>
    </row>
    <row r="1577" spans="1:18" x14ac:dyDescent="0.25">
      <c r="A1577" s="3">
        <v>45331</v>
      </c>
      <c r="B1577" t="s">
        <v>470</v>
      </c>
      <c r="C1577" t="s">
        <v>79</v>
      </c>
      <c r="D1577" t="s">
        <v>20</v>
      </c>
      <c r="E1577" t="s">
        <v>21</v>
      </c>
      <c r="F1577" t="s">
        <v>37</v>
      </c>
      <c r="G1577" t="s">
        <v>87</v>
      </c>
      <c r="H1577" t="s">
        <v>88</v>
      </c>
      <c r="I1577" s="5">
        <v>2.5000000000000001E-2</v>
      </c>
      <c r="J1577">
        <f t="shared" si="72"/>
        <v>15</v>
      </c>
      <c r="K1577">
        <v>1</v>
      </c>
      <c r="L1577">
        <f t="shared" si="73"/>
        <v>14</v>
      </c>
      <c r="M1577" s="4">
        <f t="shared" si="74"/>
        <v>2.1538461538461538E-2</v>
      </c>
      <c r="N1577">
        <v>650</v>
      </c>
      <c r="O1577">
        <v>600</v>
      </c>
      <c r="P1577" t="s">
        <v>25</v>
      </c>
      <c r="Q1577" t="s">
        <v>26</v>
      </c>
      <c r="R1577" t="str">
        <f>IF(COUNTIF(Sheet2!B:B, A1577) &gt; 0, "Yes", "No")</f>
        <v>Yes</v>
      </c>
    </row>
    <row r="1578" spans="1:18" x14ac:dyDescent="0.25">
      <c r="A1578" s="3">
        <v>45331</v>
      </c>
      <c r="B1578" t="s">
        <v>470</v>
      </c>
      <c r="C1578" t="s">
        <v>79</v>
      </c>
      <c r="D1578" t="s">
        <v>20</v>
      </c>
      <c r="E1578" t="s">
        <v>21</v>
      </c>
      <c r="F1578" t="s">
        <v>40</v>
      </c>
      <c r="G1578" t="s">
        <v>127</v>
      </c>
      <c r="H1578" t="s">
        <v>127</v>
      </c>
      <c r="I1578" s="5">
        <v>0.04</v>
      </c>
      <c r="J1578">
        <f t="shared" si="72"/>
        <v>24</v>
      </c>
      <c r="K1578">
        <v>3</v>
      </c>
      <c r="L1578">
        <f t="shared" si="73"/>
        <v>21</v>
      </c>
      <c r="M1578" s="4">
        <f t="shared" si="74"/>
        <v>3.2307692307692308E-2</v>
      </c>
      <c r="N1578">
        <v>650</v>
      </c>
      <c r="O1578">
        <v>600</v>
      </c>
      <c r="P1578" t="s">
        <v>25</v>
      </c>
      <c r="Q1578" t="s">
        <v>26</v>
      </c>
      <c r="R1578" t="str">
        <f>IF(COUNTIF(Sheet2!B:B, A1578) &gt; 0, "Yes", "No")</f>
        <v>Yes</v>
      </c>
    </row>
    <row r="1579" spans="1:18" x14ac:dyDescent="0.25">
      <c r="A1579" s="3">
        <v>45331</v>
      </c>
      <c r="B1579" t="s">
        <v>470</v>
      </c>
      <c r="C1579" t="s">
        <v>79</v>
      </c>
      <c r="D1579" t="s">
        <v>20</v>
      </c>
      <c r="E1579" t="s">
        <v>21</v>
      </c>
      <c r="F1579" t="s">
        <v>43</v>
      </c>
      <c r="G1579" t="s">
        <v>75</v>
      </c>
      <c r="H1579" t="s">
        <v>456</v>
      </c>
      <c r="I1579" s="5">
        <v>7.0000000000000007E-2</v>
      </c>
      <c r="J1579">
        <f t="shared" si="72"/>
        <v>42.000000000000007</v>
      </c>
      <c r="K1579">
        <v>2</v>
      </c>
      <c r="L1579">
        <f t="shared" si="73"/>
        <v>40.000000000000007</v>
      </c>
      <c r="M1579" s="4">
        <f t="shared" si="74"/>
        <v>6.1538461538461549E-2</v>
      </c>
      <c r="N1579">
        <v>650</v>
      </c>
      <c r="O1579">
        <v>600</v>
      </c>
      <c r="P1579" t="s">
        <v>25</v>
      </c>
      <c r="Q1579" t="s">
        <v>26</v>
      </c>
      <c r="R1579" t="str">
        <f>IF(COUNTIF(Sheet2!B:B, A1579) &gt; 0, "Yes", "No")</f>
        <v>Yes</v>
      </c>
    </row>
    <row r="1580" spans="1:18" x14ac:dyDescent="0.25">
      <c r="A1580" s="3">
        <v>45331</v>
      </c>
      <c r="B1580" t="s">
        <v>470</v>
      </c>
      <c r="C1580" t="s">
        <v>79</v>
      </c>
      <c r="D1580" t="s">
        <v>20</v>
      </c>
      <c r="E1580" t="s">
        <v>21</v>
      </c>
      <c r="F1580" t="s">
        <v>46</v>
      </c>
      <c r="G1580" t="s">
        <v>47</v>
      </c>
      <c r="H1580" t="s">
        <v>480</v>
      </c>
      <c r="I1580" s="5">
        <v>0.06</v>
      </c>
      <c r="J1580">
        <f t="shared" si="72"/>
        <v>36</v>
      </c>
      <c r="K1580">
        <v>2</v>
      </c>
      <c r="L1580">
        <f t="shared" si="73"/>
        <v>34</v>
      </c>
      <c r="M1580" s="4">
        <f t="shared" si="74"/>
        <v>5.2307692307692305E-2</v>
      </c>
      <c r="N1580">
        <v>650</v>
      </c>
      <c r="O1580">
        <v>600</v>
      </c>
      <c r="P1580" t="s">
        <v>25</v>
      </c>
      <c r="Q1580" t="s">
        <v>26</v>
      </c>
      <c r="R1580" t="str">
        <f>IF(COUNTIF(Sheet2!B:B, A1580) &gt; 0, "Yes", "No")</f>
        <v>Yes</v>
      </c>
    </row>
    <row r="1581" spans="1:18" x14ac:dyDescent="0.25">
      <c r="A1581" s="3">
        <v>45331</v>
      </c>
      <c r="B1581" t="s">
        <v>470</v>
      </c>
      <c r="C1581" t="s">
        <v>79</v>
      </c>
      <c r="D1581" t="s">
        <v>20</v>
      </c>
      <c r="E1581" t="s">
        <v>21</v>
      </c>
      <c r="F1581" t="s">
        <v>49</v>
      </c>
      <c r="G1581" t="s">
        <v>50</v>
      </c>
      <c r="H1581" t="s">
        <v>49</v>
      </c>
      <c r="I1581" s="5">
        <v>0.04</v>
      </c>
      <c r="J1581">
        <f t="shared" si="72"/>
        <v>24</v>
      </c>
      <c r="K1581">
        <v>2</v>
      </c>
      <c r="L1581">
        <f t="shared" si="73"/>
        <v>22</v>
      </c>
      <c r="M1581" s="4">
        <f t="shared" si="74"/>
        <v>3.3846153846153845E-2</v>
      </c>
      <c r="N1581">
        <v>650</v>
      </c>
      <c r="O1581">
        <v>600</v>
      </c>
      <c r="P1581" t="s">
        <v>25</v>
      </c>
      <c r="Q1581" t="s">
        <v>26</v>
      </c>
      <c r="R1581" t="str">
        <f>IF(COUNTIF(Sheet2!B:B, A1581) &gt; 0, "Yes", "No")</f>
        <v>Yes</v>
      </c>
    </row>
    <row r="1582" spans="1:18" x14ac:dyDescent="0.25">
      <c r="A1582" s="3">
        <v>45334</v>
      </c>
      <c r="B1582" t="s">
        <v>470</v>
      </c>
      <c r="C1582" t="s">
        <v>19</v>
      </c>
      <c r="D1582" t="s">
        <v>20</v>
      </c>
      <c r="E1582" t="s">
        <v>21</v>
      </c>
      <c r="F1582" t="s">
        <v>22</v>
      </c>
      <c r="G1582" t="s">
        <v>94</v>
      </c>
      <c r="H1582" t="s">
        <v>168</v>
      </c>
      <c r="I1582">
        <v>8.5000000000000006E-2</v>
      </c>
      <c r="J1582">
        <f t="shared" si="72"/>
        <v>68</v>
      </c>
      <c r="K1582">
        <v>3</v>
      </c>
      <c r="L1582">
        <f t="shared" si="73"/>
        <v>65</v>
      </c>
      <c r="M1582" s="4">
        <f t="shared" si="74"/>
        <v>7.3863636363636367E-2</v>
      </c>
      <c r="N1582">
        <v>880</v>
      </c>
      <c r="O1582">
        <v>800</v>
      </c>
      <c r="P1582" t="s">
        <v>25</v>
      </c>
      <c r="Q1582" t="s">
        <v>26</v>
      </c>
      <c r="R1582" t="str">
        <f>IF(COUNTIF(Sheet2!B:B, A1582) &gt; 0, "Yes", "No")</f>
        <v>No</v>
      </c>
    </row>
    <row r="1583" spans="1:18" x14ac:dyDescent="0.25">
      <c r="A1583" s="3">
        <v>45334</v>
      </c>
      <c r="B1583" t="s">
        <v>470</v>
      </c>
      <c r="C1583" t="s">
        <v>19</v>
      </c>
      <c r="D1583" t="s">
        <v>20</v>
      </c>
      <c r="E1583" t="s">
        <v>21</v>
      </c>
      <c r="F1583" t="s">
        <v>27</v>
      </c>
      <c r="G1583" t="s">
        <v>304</v>
      </c>
      <c r="H1583" t="s">
        <v>481</v>
      </c>
      <c r="I1583">
        <v>0.12</v>
      </c>
      <c r="J1583">
        <f t="shared" si="72"/>
        <v>96</v>
      </c>
      <c r="K1583">
        <v>3</v>
      </c>
      <c r="L1583">
        <f t="shared" si="73"/>
        <v>93</v>
      </c>
      <c r="M1583" s="4">
        <f t="shared" si="74"/>
        <v>0.10568181818181818</v>
      </c>
      <c r="N1583">
        <v>880</v>
      </c>
      <c r="O1583">
        <v>800</v>
      </c>
      <c r="P1583" t="s">
        <v>25</v>
      </c>
      <c r="Q1583" t="s">
        <v>26</v>
      </c>
      <c r="R1583" t="str">
        <f>IF(COUNTIF(Sheet2!B:B, A1583) &gt; 0, "Yes", "No")</f>
        <v>No</v>
      </c>
    </row>
    <row r="1584" spans="1:18" x14ac:dyDescent="0.25">
      <c r="A1584" s="3">
        <v>45334</v>
      </c>
      <c r="B1584" t="s">
        <v>470</v>
      </c>
      <c r="C1584" t="s">
        <v>19</v>
      </c>
      <c r="D1584" t="s">
        <v>20</v>
      </c>
      <c r="E1584" t="s">
        <v>21</v>
      </c>
      <c r="F1584" t="s">
        <v>30</v>
      </c>
      <c r="G1584" t="s">
        <v>31</v>
      </c>
      <c r="H1584" t="s">
        <v>31</v>
      </c>
      <c r="I1584">
        <v>0.09</v>
      </c>
      <c r="J1584">
        <f t="shared" si="72"/>
        <v>72</v>
      </c>
      <c r="K1584">
        <v>2</v>
      </c>
      <c r="L1584">
        <f t="shared" si="73"/>
        <v>70</v>
      </c>
      <c r="M1584" s="4">
        <f t="shared" si="74"/>
        <v>7.9545454545454544E-2</v>
      </c>
      <c r="N1584">
        <v>880</v>
      </c>
      <c r="O1584">
        <v>800</v>
      </c>
      <c r="P1584" t="s">
        <v>25</v>
      </c>
      <c r="Q1584" t="s">
        <v>26</v>
      </c>
      <c r="R1584" t="str">
        <f>IF(COUNTIF(Sheet2!B:B, A1584) &gt; 0, "Yes", "No")</f>
        <v>No</v>
      </c>
    </row>
    <row r="1585" spans="1:18" x14ac:dyDescent="0.25">
      <c r="A1585" s="3">
        <v>45334</v>
      </c>
      <c r="B1585" t="s">
        <v>470</v>
      </c>
      <c r="C1585" t="s">
        <v>19</v>
      </c>
      <c r="D1585" t="s">
        <v>33</v>
      </c>
      <c r="E1585" t="s">
        <v>21</v>
      </c>
      <c r="F1585" t="s">
        <v>34</v>
      </c>
      <c r="G1585" t="s">
        <v>57</v>
      </c>
      <c r="H1585" t="s">
        <v>98</v>
      </c>
      <c r="I1585">
        <v>0.15</v>
      </c>
      <c r="J1585">
        <f t="shared" si="72"/>
        <v>84</v>
      </c>
      <c r="K1585">
        <v>5</v>
      </c>
      <c r="L1585">
        <f t="shared" si="73"/>
        <v>79</v>
      </c>
      <c r="M1585" s="4">
        <f t="shared" si="74"/>
        <v>0.12824675324675325</v>
      </c>
      <c r="N1585">
        <v>616</v>
      </c>
      <c r="O1585">
        <v>560</v>
      </c>
      <c r="P1585" t="s">
        <v>25</v>
      </c>
      <c r="Q1585" t="s">
        <v>26</v>
      </c>
      <c r="R1585" t="str">
        <f>IF(COUNTIF(Sheet2!B:B, A1585) &gt; 0, "Yes", "No")</f>
        <v>No</v>
      </c>
    </row>
    <row r="1586" spans="1:18" x14ac:dyDescent="0.25">
      <c r="A1586" s="3">
        <v>45334</v>
      </c>
      <c r="B1586" t="s">
        <v>470</v>
      </c>
      <c r="C1586" t="s">
        <v>19</v>
      </c>
      <c r="D1586" t="s">
        <v>20</v>
      </c>
      <c r="E1586" t="s">
        <v>21</v>
      </c>
      <c r="F1586" t="s">
        <v>37</v>
      </c>
      <c r="G1586" t="s">
        <v>87</v>
      </c>
      <c r="H1586" t="s">
        <v>99</v>
      </c>
      <c r="I1586">
        <v>0.03</v>
      </c>
      <c r="J1586">
        <f t="shared" si="72"/>
        <v>24</v>
      </c>
      <c r="K1586">
        <v>2</v>
      </c>
      <c r="L1586">
        <f t="shared" si="73"/>
        <v>22</v>
      </c>
      <c r="M1586" s="4">
        <f t="shared" si="74"/>
        <v>2.5000000000000001E-2</v>
      </c>
      <c r="N1586">
        <v>880</v>
      </c>
      <c r="O1586">
        <v>800</v>
      </c>
      <c r="P1586" t="s">
        <v>25</v>
      </c>
      <c r="Q1586" t="s">
        <v>26</v>
      </c>
      <c r="R1586" t="str">
        <f>IF(COUNTIF(Sheet2!B:B, A1586) &gt; 0, "Yes", "No")</f>
        <v>No</v>
      </c>
    </row>
    <row r="1587" spans="1:18" x14ac:dyDescent="0.25">
      <c r="A1587" s="3">
        <v>45334</v>
      </c>
      <c r="B1587" t="s">
        <v>470</v>
      </c>
      <c r="C1587" t="s">
        <v>19</v>
      </c>
      <c r="D1587" t="s">
        <v>20</v>
      </c>
      <c r="E1587" t="s">
        <v>21</v>
      </c>
      <c r="F1587" t="s">
        <v>40</v>
      </c>
      <c r="G1587" t="s">
        <v>164</v>
      </c>
      <c r="H1587" t="s">
        <v>328</v>
      </c>
      <c r="I1587">
        <v>4.4999999999999998E-2</v>
      </c>
      <c r="J1587">
        <f t="shared" si="72"/>
        <v>36</v>
      </c>
      <c r="K1587">
        <v>2</v>
      </c>
      <c r="L1587">
        <f t="shared" si="73"/>
        <v>34</v>
      </c>
      <c r="M1587" s="4">
        <f t="shared" si="74"/>
        <v>3.8636363636363635E-2</v>
      </c>
      <c r="N1587">
        <v>880</v>
      </c>
      <c r="O1587">
        <v>800</v>
      </c>
      <c r="P1587" t="s">
        <v>25</v>
      </c>
      <c r="Q1587" t="s">
        <v>26</v>
      </c>
      <c r="R1587" t="str">
        <f>IF(COUNTIF(Sheet2!B:B, A1587) &gt; 0, "Yes", "No")</f>
        <v>No</v>
      </c>
    </row>
    <row r="1588" spans="1:18" x14ac:dyDescent="0.25">
      <c r="A1588" s="3">
        <v>45334</v>
      </c>
      <c r="B1588" t="s">
        <v>470</v>
      </c>
      <c r="C1588" t="s">
        <v>19</v>
      </c>
      <c r="D1588" t="s">
        <v>20</v>
      </c>
      <c r="E1588" t="s">
        <v>21</v>
      </c>
      <c r="F1588" t="s">
        <v>43</v>
      </c>
      <c r="G1588" t="s">
        <v>90</v>
      </c>
      <c r="H1588" t="s">
        <v>281</v>
      </c>
      <c r="I1588">
        <v>0.11</v>
      </c>
      <c r="J1588">
        <f t="shared" si="72"/>
        <v>88</v>
      </c>
      <c r="K1588">
        <v>2</v>
      </c>
      <c r="L1588">
        <f t="shared" si="73"/>
        <v>86</v>
      </c>
      <c r="M1588" s="4">
        <f t="shared" si="74"/>
        <v>9.7727272727272732E-2</v>
      </c>
      <c r="N1588">
        <v>880</v>
      </c>
      <c r="O1588">
        <v>800</v>
      </c>
      <c r="P1588" t="s">
        <v>25</v>
      </c>
      <c r="Q1588" t="s">
        <v>26</v>
      </c>
      <c r="R1588" t="str">
        <f>IF(COUNTIF(Sheet2!B:B, A1588) &gt; 0, "Yes", "No")</f>
        <v>No</v>
      </c>
    </row>
    <row r="1589" spans="1:18" x14ac:dyDescent="0.25">
      <c r="A1589" s="3">
        <v>45334</v>
      </c>
      <c r="B1589" t="s">
        <v>470</v>
      </c>
      <c r="C1589" t="s">
        <v>19</v>
      </c>
      <c r="D1589" t="s">
        <v>20</v>
      </c>
      <c r="E1589" t="s">
        <v>21</v>
      </c>
      <c r="F1589" t="s">
        <v>46</v>
      </c>
      <c r="G1589" t="s">
        <v>103</v>
      </c>
      <c r="H1589" t="s">
        <v>482</v>
      </c>
      <c r="I1589">
        <v>0.09</v>
      </c>
      <c r="J1589">
        <f t="shared" si="72"/>
        <v>72</v>
      </c>
      <c r="K1589">
        <v>2</v>
      </c>
      <c r="L1589">
        <f t="shared" si="73"/>
        <v>70</v>
      </c>
      <c r="M1589" s="4">
        <f t="shared" si="74"/>
        <v>7.9545454545454544E-2</v>
      </c>
      <c r="N1589">
        <v>880</v>
      </c>
      <c r="O1589">
        <v>800</v>
      </c>
      <c r="P1589" t="s">
        <v>25</v>
      </c>
      <c r="Q1589" t="s">
        <v>26</v>
      </c>
      <c r="R1589" t="str">
        <f>IF(COUNTIF(Sheet2!B:B, A1589) &gt; 0, "Yes", "No")</f>
        <v>No</v>
      </c>
    </row>
    <row r="1590" spans="1:18" x14ac:dyDescent="0.25">
      <c r="A1590" s="3">
        <v>45334</v>
      </c>
      <c r="B1590" t="s">
        <v>470</v>
      </c>
      <c r="C1590" t="s">
        <v>19</v>
      </c>
      <c r="D1590" t="s">
        <v>20</v>
      </c>
      <c r="E1590" t="s">
        <v>21</v>
      </c>
      <c r="F1590" t="s">
        <v>49</v>
      </c>
      <c r="G1590" t="s">
        <v>50</v>
      </c>
      <c r="H1590" t="s">
        <v>49</v>
      </c>
      <c r="I1590">
        <v>0.09</v>
      </c>
      <c r="J1590">
        <f t="shared" si="72"/>
        <v>72</v>
      </c>
      <c r="K1590">
        <v>3</v>
      </c>
      <c r="L1590">
        <f t="shared" si="73"/>
        <v>69</v>
      </c>
      <c r="M1590" s="4">
        <f t="shared" si="74"/>
        <v>7.8409090909090914E-2</v>
      </c>
      <c r="N1590">
        <v>880</v>
      </c>
      <c r="O1590">
        <v>800</v>
      </c>
      <c r="P1590" t="s">
        <v>25</v>
      </c>
      <c r="Q1590" t="s">
        <v>26</v>
      </c>
      <c r="R1590" t="str">
        <f>IF(COUNTIF(Sheet2!B:B, A1590) &gt; 0, "Yes", "No")</f>
        <v>No</v>
      </c>
    </row>
    <row r="1591" spans="1:18" x14ac:dyDescent="0.25">
      <c r="A1591" s="3">
        <v>45335</v>
      </c>
      <c r="B1591" t="s">
        <v>470</v>
      </c>
      <c r="C1591" t="s">
        <v>105</v>
      </c>
      <c r="D1591" t="s">
        <v>20</v>
      </c>
      <c r="E1591" t="s">
        <v>67</v>
      </c>
      <c r="F1591" t="s">
        <v>22</v>
      </c>
      <c r="G1591" t="s">
        <v>23</v>
      </c>
      <c r="H1591" t="s">
        <v>114</v>
      </c>
      <c r="I1591">
        <v>8.5000000000000006E-2</v>
      </c>
      <c r="J1591">
        <f t="shared" si="72"/>
        <v>61.2</v>
      </c>
      <c r="K1591">
        <v>2</v>
      </c>
      <c r="L1591">
        <f t="shared" si="73"/>
        <v>59.2</v>
      </c>
      <c r="M1591" s="4">
        <f t="shared" si="74"/>
        <v>7.400000000000001E-2</v>
      </c>
      <c r="N1591">
        <v>800</v>
      </c>
      <c r="O1591">
        <v>720</v>
      </c>
      <c r="P1591" t="s">
        <v>25</v>
      </c>
      <c r="Q1591" t="s">
        <v>26</v>
      </c>
      <c r="R1591" t="str">
        <f>IF(COUNTIF(Sheet2!B:B, A1591) &gt; 0, "Yes", "No")</f>
        <v>No</v>
      </c>
    </row>
    <row r="1592" spans="1:18" x14ac:dyDescent="0.25">
      <c r="A1592" s="3">
        <v>45335</v>
      </c>
      <c r="B1592" t="s">
        <v>470</v>
      </c>
      <c r="C1592" t="s">
        <v>105</v>
      </c>
      <c r="D1592" t="s">
        <v>20</v>
      </c>
      <c r="E1592" t="s">
        <v>67</v>
      </c>
      <c r="F1592" t="s">
        <v>27</v>
      </c>
      <c r="G1592" t="s">
        <v>28</v>
      </c>
      <c r="H1592" t="s">
        <v>291</v>
      </c>
      <c r="I1592">
        <v>0.11</v>
      </c>
      <c r="J1592">
        <f t="shared" si="72"/>
        <v>79.2</v>
      </c>
      <c r="K1592">
        <v>2</v>
      </c>
      <c r="L1592">
        <f t="shared" si="73"/>
        <v>77.2</v>
      </c>
      <c r="M1592" s="4">
        <f t="shared" si="74"/>
        <v>9.6500000000000002E-2</v>
      </c>
      <c r="N1592">
        <v>800</v>
      </c>
      <c r="O1592">
        <v>720</v>
      </c>
      <c r="P1592" t="s">
        <v>25</v>
      </c>
      <c r="Q1592" t="s">
        <v>26</v>
      </c>
      <c r="R1592" t="str">
        <f>IF(COUNTIF(Sheet2!B:B, A1592) &gt; 0, "Yes", "No")</f>
        <v>No</v>
      </c>
    </row>
    <row r="1593" spans="1:18" x14ac:dyDescent="0.25">
      <c r="A1593" s="3">
        <v>45335</v>
      </c>
      <c r="B1593" t="s">
        <v>470</v>
      </c>
      <c r="C1593" t="s">
        <v>105</v>
      </c>
      <c r="D1593" t="s">
        <v>20</v>
      </c>
      <c r="E1593" t="s">
        <v>67</v>
      </c>
      <c r="F1593" t="s">
        <v>30</v>
      </c>
      <c r="G1593" t="s">
        <v>55</v>
      </c>
      <c r="H1593" t="s">
        <v>56</v>
      </c>
      <c r="I1593">
        <v>0.09</v>
      </c>
      <c r="J1593">
        <f t="shared" si="72"/>
        <v>64.8</v>
      </c>
      <c r="K1593">
        <v>1</v>
      </c>
      <c r="L1593">
        <f t="shared" si="73"/>
        <v>63.8</v>
      </c>
      <c r="M1593" s="4">
        <f t="shared" si="74"/>
        <v>7.9750000000000001E-2</v>
      </c>
      <c r="N1593">
        <v>800</v>
      </c>
      <c r="O1593">
        <v>720</v>
      </c>
      <c r="P1593" t="s">
        <v>25</v>
      </c>
      <c r="Q1593" t="s">
        <v>26</v>
      </c>
      <c r="R1593" t="str">
        <f>IF(COUNTIF(Sheet2!B:B, A1593) &gt; 0, "Yes", "No")</f>
        <v>No</v>
      </c>
    </row>
    <row r="1594" spans="1:18" x14ac:dyDescent="0.25">
      <c r="A1594" s="3">
        <v>45335</v>
      </c>
      <c r="B1594" t="s">
        <v>470</v>
      </c>
      <c r="C1594" t="s">
        <v>105</v>
      </c>
      <c r="D1594" t="s">
        <v>20</v>
      </c>
      <c r="E1594" t="s">
        <v>67</v>
      </c>
      <c r="F1594" t="s">
        <v>37</v>
      </c>
      <c r="G1594" t="s">
        <v>108</v>
      </c>
      <c r="H1594" t="s">
        <v>109</v>
      </c>
      <c r="I1594">
        <v>3.5000000000000003E-2</v>
      </c>
      <c r="J1594">
        <f t="shared" si="72"/>
        <v>25.200000000000003</v>
      </c>
      <c r="K1594">
        <v>1</v>
      </c>
      <c r="L1594">
        <f t="shared" si="73"/>
        <v>24.200000000000003</v>
      </c>
      <c r="M1594" s="4">
        <f t="shared" si="74"/>
        <v>3.0250000000000003E-2</v>
      </c>
      <c r="N1594">
        <v>800</v>
      </c>
      <c r="O1594">
        <v>720</v>
      </c>
      <c r="P1594" t="s">
        <v>25</v>
      </c>
      <c r="Q1594" t="s">
        <v>26</v>
      </c>
      <c r="R1594" t="str">
        <f>IF(COUNTIF(Sheet2!B:B, A1594) &gt; 0, "Yes", "No")</f>
        <v>No</v>
      </c>
    </row>
    <row r="1595" spans="1:18" x14ac:dyDescent="0.25">
      <c r="A1595" s="3">
        <v>45335</v>
      </c>
      <c r="B1595" t="s">
        <v>470</v>
      </c>
      <c r="C1595" t="s">
        <v>105</v>
      </c>
      <c r="D1595" t="s">
        <v>20</v>
      </c>
      <c r="E1595" t="s">
        <v>67</v>
      </c>
      <c r="F1595" t="s">
        <v>40</v>
      </c>
      <c r="G1595" t="s">
        <v>61</v>
      </c>
      <c r="H1595" t="s">
        <v>119</v>
      </c>
      <c r="I1595">
        <v>0.05</v>
      </c>
      <c r="J1595">
        <f t="shared" si="72"/>
        <v>36</v>
      </c>
      <c r="K1595">
        <v>2</v>
      </c>
      <c r="L1595">
        <f t="shared" si="73"/>
        <v>34</v>
      </c>
      <c r="M1595" s="4">
        <f t="shared" si="74"/>
        <v>4.2500000000000003E-2</v>
      </c>
      <c r="N1595">
        <v>800</v>
      </c>
      <c r="O1595">
        <v>720</v>
      </c>
      <c r="P1595" t="s">
        <v>25</v>
      </c>
      <c r="Q1595" t="s">
        <v>26</v>
      </c>
      <c r="R1595" t="str">
        <f>IF(COUNTIF(Sheet2!B:B, A1595) &gt; 0, "Yes", "No")</f>
        <v>No</v>
      </c>
    </row>
    <row r="1596" spans="1:18" x14ac:dyDescent="0.25">
      <c r="A1596" s="3">
        <v>45335</v>
      </c>
      <c r="B1596" t="s">
        <v>470</v>
      </c>
      <c r="C1596" t="s">
        <v>105</v>
      </c>
      <c r="D1596" t="s">
        <v>20</v>
      </c>
      <c r="E1596" t="s">
        <v>67</v>
      </c>
      <c r="F1596" t="s">
        <v>43</v>
      </c>
      <c r="G1596" t="s">
        <v>111</v>
      </c>
      <c r="H1596" t="s">
        <v>483</v>
      </c>
      <c r="I1596">
        <v>0.11</v>
      </c>
      <c r="J1596">
        <f t="shared" si="72"/>
        <v>79.2</v>
      </c>
      <c r="K1596">
        <v>0</v>
      </c>
      <c r="L1596">
        <f t="shared" si="73"/>
        <v>79.2</v>
      </c>
      <c r="M1596" s="4">
        <f t="shared" si="74"/>
        <v>9.9000000000000005E-2</v>
      </c>
      <c r="N1596">
        <v>800</v>
      </c>
      <c r="O1596">
        <v>720</v>
      </c>
      <c r="P1596" t="s">
        <v>25</v>
      </c>
      <c r="Q1596" t="s">
        <v>26</v>
      </c>
      <c r="R1596" t="str">
        <f>IF(COUNTIF(Sheet2!B:B, A1596) &gt; 0, "Yes", "No")</f>
        <v>No</v>
      </c>
    </row>
    <row r="1597" spans="1:18" x14ac:dyDescent="0.25">
      <c r="A1597" s="3">
        <v>45335</v>
      </c>
      <c r="B1597" t="s">
        <v>470</v>
      </c>
      <c r="C1597" t="s">
        <v>105</v>
      </c>
      <c r="D1597" t="s">
        <v>20</v>
      </c>
      <c r="E1597" t="s">
        <v>67</v>
      </c>
      <c r="F1597" t="s">
        <v>46</v>
      </c>
      <c r="G1597" t="s">
        <v>92</v>
      </c>
      <c r="H1597" t="s">
        <v>484</v>
      </c>
      <c r="I1597">
        <v>8.5000000000000006E-2</v>
      </c>
      <c r="J1597">
        <f t="shared" si="72"/>
        <v>61.2</v>
      </c>
      <c r="K1597">
        <v>0</v>
      </c>
      <c r="L1597">
        <f t="shared" si="73"/>
        <v>61.2</v>
      </c>
      <c r="M1597" s="4">
        <f t="shared" si="74"/>
        <v>7.6499999999999999E-2</v>
      </c>
      <c r="N1597">
        <v>800</v>
      </c>
      <c r="O1597">
        <v>720</v>
      </c>
      <c r="P1597" t="s">
        <v>25</v>
      </c>
      <c r="Q1597" t="s">
        <v>26</v>
      </c>
      <c r="R1597" t="str">
        <f>IF(COUNTIF(Sheet2!B:B, A1597) &gt; 0, "Yes", "No")</f>
        <v>No</v>
      </c>
    </row>
    <row r="1598" spans="1:18" x14ac:dyDescent="0.25">
      <c r="A1598" s="3">
        <v>45335</v>
      </c>
      <c r="B1598" t="s">
        <v>470</v>
      </c>
      <c r="C1598" t="s">
        <v>105</v>
      </c>
      <c r="D1598" t="s">
        <v>20</v>
      </c>
      <c r="E1598" t="s">
        <v>67</v>
      </c>
      <c r="F1598" t="s">
        <v>49</v>
      </c>
      <c r="G1598" t="s">
        <v>50</v>
      </c>
      <c r="H1598" t="s">
        <v>49</v>
      </c>
      <c r="I1598">
        <v>0.09</v>
      </c>
      <c r="J1598">
        <f t="shared" si="72"/>
        <v>64.8</v>
      </c>
      <c r="K1598">
        <v>1</v>
      </c>
      <c r="L1598">
        <f t="shared" si="73"/>
        <v>63.8</v>
      </c>
      <c r="M1598" s="4">
        <f t="shared" si="74"/>
        <v>7.9750000000000001E-2</v>
      </c>
      <c r="N1598">
        <v>800</v>
      </c>
      <c r="O1598">
        <v>720</v>
      </c>
      <c r="P1598" t="s">
        <v>25</v>
      </c>
      <c r="Q1598" t="s">
        <v>26</v>
      </c>
      <c r="R1598" t="str">
        <f>IF(COUNTIF(Sheet2!B:B, A1598) &gt; 0, "Yes", "No")</f>
        <v>No</v>
      </c>
    </row>
    <row r="1599" spans="1:18" x14ac:dyDescent="0.25">
      <c r="A1599" s="3">
        <v>45336</v>
      </c>
      <c r="B1599" t="s">
        <v>470</v>
      </c>
      <c r="C1599" t="s">
        <v>51</v>
      </c>
      <c r="D1599" t="s">
        <v>20</v>
      </c>
      <c r="E1599" t="s">
        <v>21</v>
      </c>
      <c r="F1599" t="s">
        <v>22</v>
      </c>
      <c r="G1599" t="s">
        <v>52</v>
      </c>
      <c r="H1599" t="s">
        <v>485</v>
      </c>
      <c r="I1599">
        <v>8.5000000000000006E-2</v>
      </c>
      <c r="J1599">
        <f t="shared" si="72"/>
        <v>68</v>
      </c>
      <c r="K1599">
        <v>8</v>
      </c>
      <c r="L1599">
        <f t="shared" si="73"/>
        <v>60</v>
      </c>
      <c r="M1599" s="4">
        <f t="shared" si="74"/>
        <v>6.8181818181818177E-2</v>
      </c>
      <c r="N1599">
        <v>880</v>
      </c>
      <c r="O1599">
        <v>800</v>
      </c>
      <c r="P1599" t="s">
        <v>25</v>
      </c>
      <c r="Q1599" t="s">
        <v>26</v>
      </c>
      <c r="R1599" t="str">
        <f>IF(COUNTIF(Sheet2!B:B, A1599) &gt; 0, "Yes", "No")</f>
        <v>No</v>
      </c>
    </row>
    <row r="1600" spans="1:18" x14ac:dyDescent="0.25">
      <c r="A1600" s="3">
        <v>45336</v>
      </c>
      <c r="B1600" t="s">
        <v>470</v>
      </c>
      <c r="C1600" t="s">
        <v>51</v>
      </c>
      <c r="D1600" t="s">
        <v>20</v>
      </c>
      <c r="E1600" t="s">
        <v>21</v>
      </c>
      <c r="F1600" t="s">
        <v>27</v>
      </c>
      <c r="G1600" t="s">
        <v>28</v>
      </c>
      <c r="H1600" t="s">
        <v>182</v>
      </c>
      <c r="I1600">
        <v>0.11</v>
      </c>
      <c r="J1600">
        <f t="shared" si="72"/>
        <v>88</v>
      </c>
      <c r="K1600">
        <v>9</v>
      </c>
      <c r="L1600">
        <f t="shared" si="73"/>
        <v>79</v>
      </c>
      <c r="M1600" s="4">
        <f t="shared" si="74"/>
        <v>8.9772727272727268E-2</v>
      </c>
      <c r="N1600">
        <v>880</v>
      </c>
      <c r="O1600">
        <v>800</v>
      </c>
      <c r="P1600" t="s">
        <v>25</v>
      </c>
      <c r="Q1600" t="s">
        <v>26</v>
      </c>
      <c r="R1600" t="str">
        <f>IF(COUNTIF(Sheet2!B:B, A1600) &gt; 0, "Yes", "No")</f>
        <v>No</v>
      </c>
    </row>
    <row r="1601" spans="1:18" x14ac:dyDescent="0.25">
      <c r="A1601" s="3">
        <v>45336</v>
      </c>
      <c r="B1601" t="s">
        <v>470</v>
      </c>
      <c r="C1601" t="s">
        <v>51</v>
      </c>
      <c r="D1601" t="s">
        <v>20</v>
      </c>
      <c r="E1601" t="s">
        <v>21</v>
      </c>
      <c r="F1601" t="s">
        <v>30</v>
      </c>
      <c r="G1601" t="s">
        <v>31</v>
      </c>
      <c r="H1601" t="s">
        <v>172</v>
      </c>
      <c r="I1601">
        <v>0.09</v>
      </c>
      <c r="J1601">
        <f t="shared" si="72"/>
        <v>72</v>
      </c>
      <c r="K1601">
        <v>4</v>
      </c>
      <c r="L1601">
        <f t="shared" si="73"/>
        <v>68</v>
      </c>
      <c r="M1601" s="4">
        <f t="shared" si="74"/>
        <v>7.7272727272727271E-2</v>
      </c>
      <c r="N1601">
        <v>880</v>
      </c>
      <c r="O1601">
        <v>800</v>
      </c>
      <c r="P1601" t="s">
        <v>25</v>
      </c>
      <c r="Q1601" t="s">
        <v>26</v>
      </c>
      <c r="R1601" t="str">
        <f>IF(COUNTIF(Sheet2!B:B, A1601) &gt; 0, "Yes", "No")</f>
        <v>No</v>
      </c>
    </row>
    <row r="1602" spans="1:18" x14ac:dyDescent="0.25">
      <c r="A1602" s="3">
        <v>45336</v>
      </c>
      <c r="B1602" t="s">
        <v>470</v>
      </c>
      <c r="C1602" t="s">
        <v>51</v>
      </c>
      <c r="D1602" t="s">
        <v>33</v>
      </c>
      <c r="E1602" t="s">
        <v>21</v>
      </c>
      <c r="F1602" t="s">
        <v>34</v>
      </c>
      <c r="G1602" t="s">
        <v>57</v>
      </c>
      <c r="H1602" t="s">
        <v>192</v>
      </c>
      <c r="I1602">
        <v>0.15</v>
      </c>
      <c r="J1602">
        <f t="shared" si="72"/>
        <v>87</v>
      </c>
      <c r="K1602">
        <v>6</v>
      </c>
      <c r="L1602">
        <f t="shared" si="73"/>
        <v>81</v>
      </c>
      <c r="M1602" s="4">
        <f t="shared" si="74"/>
        <v>0.1314935064935065</v>
      </c>
      <c r="N1602">
        <v>616</v>
      </c>
      <c r="O1602">
        <v>580</v>
      </c>
      <c r="P1602" t="s">
        <v>25</v>
      </c>
      <c r="Q1602" t="s">
        <v>26</v>
      </c>
      <c r="R1602" t="str">
        <f>IF(COUNTIF(Sheet2!B:B, A1602) &gt; 0, "Yes", "No")</f>
        <v>No</v>
      </c>
    </row>
    <row r="1603" spans="1:18" x14ac:dyDescent="0.25">
      <c r="A1603" s="3">
        <v>45336</v>
      </c>
      <c r="B1603" t="s">
        <v>470</v>
      </c>
      <c r="C1603" t="s">
        <v>51</v>
      </c>
      <c r="D1603" t="s">
        <v>20</v>
      </c>
      <c r="E1603" t="s">
        <v>21</v>
      </c>
      <c r="F1603" t="s">
        <v>37</v>
      </c>
      <c r="G1603" t="s">
        <v>38</v>
      </c>
      <c r="H1603" t="s">
        <v>39</v>
      </c>
      <c r="I1603">
        <v>0.03</v>
      </c>
      <c r="J1603">
        <f t="shared" ref="J1603:J1666" si="75">I1603*O1603</f>
        <v>24</v>
      </c>
      <c r="K1603">
        <v>4</v>
      </c>
      <c r="L1603">
        <f t="shared" ref="L1603:L1666" si="76">J1603-K1603</f>
        <v>20</v>
      </c>
      <c r="M1603" s="4">
        <f t="shared" ref="M1603:M1666" si="77">((I1603*O1603)-K1603)/N1603</f>
        <v>2.2727272727272728E-2</v>
      </c>
      <c r="N1603">
        <v>880</v>
      </c>
      <c r="O1603">
        <v>800</v>
      </c>
      <c r="P1603" t="s">
        <v>25</v>
      </c>
      <c r="Q1603" t="s">
        <v>26</v>
      </c>
      <c r="R1603" t="str">
        <f>IF(COUNTIF(Sheet2!B:B, A1603) &gt; 0, "Yes", "No")</f>
        <v>No</v>
      </c>
    </row>
    <row r="1604" spans="1:18" x14ac:dyDescent="0.25">
      <c r="A1604" s="3">
        <v>45336</v>
      </c>
      <c r="B1604" t="s">
        <v>470</v>
      </c>
      <c r="C1604" t="s">
        <v>51</v>
      </c>
      <c r="D1604" t="s">
        <v>20</v>
      </c>
      <c r="E1604" t="s">
        <v>21</v>
      </c>
      <c r="F1604" t="s">
        <v>40</v>
      </c>
      <c r="G1604" t="s">
        <v>127</v>
      </c>
      <c r="H1604" t="s">
        <v>358</v>
      </c>
      <c r="I1604">
        <v>4.4999999999999998E-2</v>
      </c>
      <c r="J1604">
        <f t="shared" si="75"/>
        <v>36</v>
      </c>
      <c r="K1604">
        <v>7</v>
      </c>
      <c r="L1604">
        <f t="shared" si="76"/>
        <v>29</v>
      </c>
      <c r="M1604" s="4">
        <f t="shared" si="77"/>
        <v>3.2954545454545452E-2</v>
      </c>
      <c r="N1604">
        <v>880</v>
      </c>
      <c r="O1604">
        <v>800</v>
      </c>
      <c r="P1604" t="s">
        <v>25</v>
      </c>
      <c r="Q1604" t="s">
        <v>26</v>
      </c>
      <c r="R1604" t="str">
        <f>IF(COUNTIF(Sheet2!B:B, A1604) &gt; 0, "Yes", "No")</f>
        <v>No</v>
      </c>
    </row>
    <row r="1605" spans="1:18" x14ac:dyDescent="0.25">
      <c r="A1605" s="3">
        <v>45336</v>
      </c>
      <c r="B1605" t="s">
        <v>470</v>
      </c>
      <c r="C1605" t="s">
        <v>51</v>
      </c>
      <c r="D1605" t="s">
        <v>20</v>
      </c>
      <c r="E1605" t="s">
        <v>21</v>
      </c>
      <c r="F1605" t="s">
        <v>43</v>
      </c>
      <c r="G1605" t="s">
        <v>44</v>
      </c>
      <c r="H1605" t="s">
        <v>264</v>
      </c>
      <c r="I1605">
        <v>0.11</v>
      </c>
      <c r="J1605">
        <f t="shared" si="75"/>
        <v>88</v>
      </c>
      <c r="K1605">
        <v>0</v>
      </c>
      <c r="L1605">
        <f t="shared" si="76"/>
        <v>88</v>
      </c>
      <c r="M1605" s="4">
        <f t="shared" si="77"/>
        <v>0.1</v>
      </c>
      <c r="N1605">
        <v>880</v>
      </c>
      <c r="O1605">
        <v>800</v>
      </c>
      <c r="P1605" t="s">
        <v>25</v>
      </c>
      <c r="Q1605" t="s">
        <v>26</v>
      </c>
      <c r="R1605" t="str">
        <f>IF(COUNTIF(Sheet2!B:B, A1605) &gt; 0, "Yes", "No")</f>
        <v>No</v>
      </c>
    </row>
    <row r="1606" spans="1:18" x14ac:dyDescent="0.25">
      <c r="A1606" s="3">
        <v>45336</v>
      </c>
      <c r="B1606" t="s">
        <v>470</v>
      </c>
      <c r="C1606" t="s">
        <v>51</v>
      </c>
      <c r="D1606" t="s">
        <v>20</v>
      </c>
      <c r="E1606" t="s">
        <v>21</v>
      </c>
      <c r="F1606" t="s">
        <v>46</v>
      </c>
      <c r="G1606" t="s">
        <v>47</v>
      </c>
      <c r="H1606" t="s">
        <v>65</v>
      </c>
      <c r="I1606">
        <v>8.5000000000000006E-2</v>
      </c>
      <c r="J1606">
        <f t="shared" si="75"/>
        <v>68</v>
      </c>
      <c r="K1606">
        <v>4</v>
      </c>
      <c r="L1606">
        <f t="shared" si="76"/>
        <v>64</v>
      </c>
      <c r="M1606" s="4">
        <f t="shared" si="77"/>
        <v>7.2727272727272724E-2</v>
      </c>
      <c r="N1606">
        <v>880</v>
      </c>
      <c r="O1606">
        <v>800</v>
      </c>
      <c r="P1606" t="s">
        <v>25</v>
      </c>
      <c r="Q1606" t="s">
        <v>26</v>
      </c>
      <c r="R1606" t="str">
        <f>IF(COUNTIF(Sheet2!B:B, A1606) &gt; 0, "Yes", "No")</f>
        <v>No</v>
      </c>
    </row>
    <row r="1607" spans="1:18" x14ac:dyDescent="0.25">
      <c r="A1607" s="3">
        <v>45336</v>
      </c>
      <c r="B1607" t="s">
        <v>470</v>
      </c>
      <c r="C1607" t="s">
        <v>51</v>
      </c>
      <c r="D1607" t="s">
        <v>20</v>
      </c>
      <c r="E1607" t="s">
        <v>21</v>
      </c>
      <c r="F1607" t="s">
        <v>49</v>
      </c>
      <c r="G1607" t="s">
        <v>50</v>
      </c>
      <c r="H1607" t="s">
        <v>49</v>
      </c>
      <c r="I1607">
        <v>0.09</v>
      </c>
      <c r="J1607">
        <f t="shared" si="75"/>
        <v>72</v>
      </c>
      <c r="K1607">
        <v>8</v>
      </c>
      <c r="L1607">
        <f t="shared" si="76"/>
        <v>64</v>
      </c>
      <c r="M1607" s="4">
        <f t="shared" si="77"/>
        <v>7.2727272727272724E-2</v>
      </c>
      <c r="N1607">
        <v>880</v>
      </c>
      <c r="O1607">
        <v>800</v>
      </c>
      <c r="P1607" t="s">
        <v>25</v>
      </c>
      <c r="Q1607" t="s">
        <v>26</v>
      </c>
      <c r="R1607" t="str">
        <f>IF(COUNTIF(Sheet2!B:B, A1607) &gt; 0, "Yes", "No")</f>
        <v>No</v>
      </c>
    </row>
    <row r="1608" spans="1:18" x14ac:dyDescent="0.25">
      <c r="A1608" s="3">
        <v>45337</v>
      </c>
      <c r="B1608" t="s">
        <v>470</v>
      </c>
      <c r="C1608" t="s">
        <v>66</v>
      </c>
      <c r="D1608" t="s">
        <v>20</v>
      </c>
      <c r="E1608" t="s">
        <v>67</v>
      </c>
      <c r="F1608" t="s">
        <v>22</v>
      </c>
      <c r="G1608" t="s">
        <v>94</v>
      </c>
      <c r="H1608" t="s">
        <v>143</v>
      </c>
      <c r="I1608">
        <v>8.5000000000000006E-2</v>
      </c>
      <c r="J1608">
        <f t="shared" si="75"/>
        <v>56.95</v>
      </c>
      <c r="K1608">
        <v>0</v>
      </c>
      <c r="L1608">
        <f t="shared" si="76"/>
        <v>56.95</v>
      </c>
      <c r="M1608" s="4">
        <f t="shared" si="77"/>
        <v>7.5933333333333339E-2</v>
      </c>
      <c r="N1608">
        <v>750</v>
      </c>
      <c r="O1608">
        <v>670</v>
      </c>
      <c r="P1608" t="s">
        <v>25</v>
      </c>
      <c r="Q1608" t="s">
        <v>26</v>
      </c>
      <c r="R1608" t="str">
        <f>IF(COUNTIF(Sheet2!B:B, A1608) &gt; 0, "Yes", "No")</f>
        <v>No</v>
      </c>
    </row>
    <row r="1609" spans="1:18" x14ac:dyDescent="0.25">
      <c r="A1609" s="3">
        <v>45337</v>
      </c>
      <c r="B1609" t="s">
        <v>470</v>
      </c>
      <c r="C1609" t="s">
        <v>66</v>
      </c>
      <c r="D1609" t="s">
        <v>20</v>
      </c>
      <c r="E1609" t="s">
        <v>67</v>
      </c>
      <c r="F1609" t="s">
        <v>27</v>
      </c>
      <c r="G1609" t="s">
        <v>28</v>
      </c>
      <c r="H1609" t="s">
        <v>229</v>
      </c>
      <c r="I1609">
        <v>0.11</v>
      </c>
      <c r="J1609">
        <f t="shared" si="75"/>
        <v>73.7</v>
      </c>
      <c r="K1609">
        <v>0</v>
      </c>
      <c r="L1609">
        <f t="shared" si="76"/>
        <v>73.7</v>
      </c>
      <c r="M1609" s="4">
        <f t="shared" si="77"/>
        <v>9.8266666666666669E-2</v>
      </c>
      <c r="N1609">
        <v>750</v>
      </c>
      <c r="O1609">
        <v>670</v>
      </c>
      <c r="P1609" t="s">
        <v>25</v>
      </c>
      <c r="Q1609" t="s">
        <v>26</v>
      </c>
      <c r="R1609" t="str">
        <f>IF(COUNTIF(Sheet2!B:B, A1609) &gt; 0, "Yes", "No")</f>
        <v>No</v>
      </c>
    </row>
    <row r="1610" spans="1:18" x14ac:dyDescent="0.25">
      <c r="A1610" s="3">
        <v>45337</v>
      </c>
      <c r="B1610" t="s">
        <v>470</v>
      </c>
      <c r="C1610" t="s">
        <v>66</v>
      </c>
      <c r="D1610" t="s">
        <v>20</v>
      </c>
      <c r="E1610" t="s">
        <v>67</v>
      </c>
      <c r="F1610" t="s">
        <v>30</v>
      </c>
      <c r="G1610" t="s">
        <v>55</v>
      </c>
      <c r="H1610" t="s">
        <v>134</v>
      </c>
      <c r="I1610">
        <v>0.09</v>
      </c>
      <c r="J1610">
        <f t="shared" si="75"/>
        <v>60.3</v>
      </c>
      <c r="K1610">
        <v>1</v>
      </c>
      <c r="L1610">
        <f t="shared" si="76"/>
        <v>59.3</v>
      </c>
      <c r="M1610" s="4">
        <f t="shared" si="77"/>
        <v>7.906666666666666E-2</v>
      </c>
      <c r="N1610">
        <v>750</v>
      </c>
      <c r="O1610">
        <v>670</v>
      </c>
      <c r="P1610" t="s">
        <v>25</v>
      </c>
      <c r="Q1610" t="s">
        <v>26</v>
      </c>
      <c r="R1610" t="str">
        <f>IF(COUNTIF(Sheet2!B:B, A1610) &gt; 0, "Yes", "No")</f>
        <v>No</v>
      </c>
    </row>
    <row r="1611" spans="1:18" x14ac:dyDescent="0.25">
      <c r="A1611" s="3">
        <v>45337</v>
      </c>
      <c r="B1611" t="s">
        <v>470</v>
      </c>
      <c r="C1611" t="s">
        <v>66</v>
      </c>
      <c r="D1611" t="s">
        <v>20</v>
      </c>
      <c r="E1611" t="s">
        <v>67</v>
      </c>
      <c r="F1611" t="s">
        <v>37</v>
      </c>
      <c r="G1611" t="s">
        <v>117</v>
      </c>
      <c r="H1611" t="s">
        <v>118</v>
      </c>
      <c r="I1611">
        <v>3.5000000000000003E-2</v>
      </c>
      <c r="J1611">
        <f t="shared" si="75"/>
        <v>23.450000000000003</v>
      </c>
      <c r="K1611">
        <v>0</v>
      </c>
      <c r="L1611">
        <f t="shared" si="76"/>
        <v>23.450000000000003</v>
      </c>
      <c r="M1611" s="4">
        <f t="shared" si="77"/>
        <v>3.1266666666666672E-2</v>
      </c>
      <c r="N1611">
        <v>750</v>
      </c>
      <c r="O1611">
        <v>670</v>
      </c>
      <c r="P1611" t="s">
        <v>25</v>
      </c>
      <c r="Q1611" t="s">
        <v>26</v>
      </c>
      <c r="R1611" t="str">
        <f>IF(COUNTIF(Sheet2!B:B, A1611) &gt; 0, "Yes", "No")</f>
        <v>No</v>
      </c>
    </row>
    <row r="1612" spans="1:18" x14ac:dyDescent="0.25">
      <c r="A1612" s="3">
        <v>45337</v>
      </c>
      <c r="B1612" t="s">
        <v>470</v>
      </c>
      <c r="C1612" t="s">
        <v>66</v>
      </c>
      <c r="D1612" t="s">
        <v>20</v>
      </c>
      <c r="E1612" t="s">
        <v>67</v>
      </c>
      <c r="F1612" t="s">
        <v>40</v>
      </c>
      <c r="G1612" t="s">
        <v>73</v>
      </c>
      <c r="H1612" t="s">
        <v>74</v>
      </c>
      <c r="I1612">
        <v>0.05</v>
      </c>
      <c r="J1612">
        <f t="shared" si="75"/>
        <v>33.5</v>
      </c>
      <c r="K1612">
        <v>0</v>
      </c>
      <c r="L1612">
        <f t="shared" si="76"/>
        <v>33.5</v>
      </c>
      <c r="M1612" s="4">
        <f t="shared" si="77"/>
        <v>4.4666666666666667E-2</v>
      </c>
      <c r="N1612">
        <v>750</v>
      </c>
      <c r="O1612">
        <v>670</v>
      </c>
      <c r="P1612" t="s">
        <v>25</v>
      </c>
      <c r="Q1612" t="s">
        <v>26</v>
      </c>
      <c r="R1612" t="str">
        <f>IF(COUNTIF(Sheet2!B:B, A1612) &gt; 0, "Yes", "No")</f>
        <v>No</v>
      </c>
    </row>
    <row r="1613" spans="1:18" x14ac:dyDescent="0.25">
      <c r="A1613" s="3">
        <v>45337</v>
      </c>
      <c r="B1613" t="s">
        <v>470</v>
      </c>
      <c r="C1613" t="s">
        <v>66</v>
      </c>
      <c r="D1613" t="s">
        <v>20</v>
      </c>
      <c r="E1613" t="s">
        <v>67</v>
      </c>
      <c r="F1613" t="s">
        <v>43</v>
      </c>
      <c r="G1613" t="s">
        <v>75</v>
      </c>
      <c r="H1613" t="s">
        <v>75</v>
      </c>
      <c r="I1613">
        <v>0.11</v>
      </c>
      <c r="J1613">
        <f t="shared" si="75"/>
        <v>73.7</v>
      </c>
      <c r="K1613">
        <v>1</v>
      </c>
      <c r="L1613">
        <f t="shared" si="76"/>
        <v>72.7</v>
      </c>
      <c r="M1613" s="4">
        <f t="shared" si="77"/>
        <v>9.6933333333333344E-2</v>
      </c>
      <c r="N1613">
        <v>750</v>
      </c>
      <c r="O1613">
        <v>670</v>
      </c>
      <c r="P1613" t="s">
        <v>25</v>
      </c>
      <c r="Q1613" t="s">
        <v>26</v>
      </c>
      <c r="R1613" t="str">
        <f>IF(COUNTIF(Sheet2!B:B, A1613) &gt; 0, "Yes", "No")</f>
        <v>No</v>
      </c>
    </row>
    <row r="1614" spans="1:18" x14ac:dyDescent="0.25">
      <c r="A1614" s="3">
        <v>45337</v>
      </c>
      <c r="B1614" t="s">
        <v>470</v>
      </c>
      <c r="C1614" t="s">
        <v>66</v>
      </c>
      <c r="D1614" t="s">
        <v>20</v>
      </c>
      <c r="E1614" t="s">
        <v>67</v>
      </c>
      <c r="F1614" t="s">
        <v>46</v>
      </c>
      <c r="G1614" t="s">
        <v>412</v>
      </c>
      <c r="H1614" t="s">
        <v>418</v>
      </c>
      <c r="I1614">
        <v>8.5000000000000006E-2</v>
      </c>
      <c r="J1614">
        <f t="shared" si="75"/>
        <v>56.95</v>
      </c>
      <c r="K1614">
        <v>0.5</v>
      </c>
      <c r="L1614">
        <f t="shared" si="76"/>
        <v>56.45</v>
      </c>
      <c r="M1614" s="4">
        <f t="shared" si="77"/>
        <v>7.5266666666666676E-2</v>
      </c>
      <c r="N1614">
        <v>750</v>
      </c>
      <c r="O1614">
        <v>670</v>
      </c>
      <c r="P1614" t="s">
        <v>25</v>
      </c>
      <c r="Q1614" t="s">
        <v>26</v>
      </c>
      <c r="R1614" t="str">
        <f>IF(COUNTIF(Sheet2!B:B, A1614) &gt; 0, "Yes", "No")</f>
        <v>No</v>
      </c>
    </row>
    <row r="1615" spans="1:18" x14ac:dyDescent="0.25">
      <c r="A1615" s="3">
        <v>45337</v>
      </c>
      <c r="B1615" t="s">
        <v>470</v>
      </c>
      <c r="C1615" t="s">
        <v>66</v>
      </c>
      <c r="D1615" t="s">
        <v>20</v>
      </c>
      <c r="E1615" t="s">
        <v>67</v>
      </c>
      <c r="F1615" t="s">
        <v>49</v>
      </c>
      <c r="G1615" t="s">
        <v>50</v>
      </c>
      <c r="H1615" t="s">
        <v>49</v>
      </c>
      <c r="I1615">
        <v>0.09</v>
      </c>
      <c r="J1615">
        <f t="shared" si="75"/>
        <v>60.3</v>
      </c>
      <c r="K1615">
        <v>2</v>
      </c>
      <c r="L1615">
        <f t="shared" si="76"/>
        <v>58.3</v>
      </c>
      <c r="M1615" s="4">
        <f t="shared" si="77"/>
        <v>7.7733333333333335E-2</v>
      </c>
      <c r="N1615">
        <v>750</v>
      </c>
      <c r="O1615">
        <v>670</v>
      </c>
      <c r="P1615" t="s">
        <v>25</v>
      </c>
      <c r="Q1615" t="s">
        <v>26</v>
      </c>
      <c r="R1615" t="str">
        <f>IF(COUNTIF(Sheet2!B:B, A1615) &gt; 0, "Yes", "No")</f>
        <v>No</v>
      </c>
    </row>
    <row r="1616" spans="1:18" x14ac:dyDescent="0.25">
      <c r="A1616" s="3">
        <v>45338</v>
      </c>
      <c r="B1616" t="s">
        <v>470</v>
      </c>
      <c r="C1616" t="s">
        <v>79</v>
      </c>
      <c r="D1616" t="s">
        <v>20</v>
      </c>
      <c r="E1616" t="s">
        <v>21</v>
      </c>
      <c r="F1616" t="s">
        <v>22</v>
      </c>
      <c r="G1616" t="s">
        <v>94</v>
      </c>
      <c r="H1616" t="s">
        <v>368</v>
      </c>
      <c r="I1616" s="5">
        <v>0.06</v>
      </c>
      <c r="J1616">
        <f t="shared" si="75"/>
        <v>36</v>
      </c>
      <c r="K1616">
        <v>0</v>
      </c>
      <c r="L1616">
        <f t="shared" si="76"/>
        <v>36</v>
      </c>
      <c r="M1616" s="4">
        <f t="shared" si="77"/>
        <v>5.5384615384615386E-2</v>
      </c>
      <c r="N1616">
        <v>650</v>
      </c>
      <c r="O1616">
        <v>600</v>
      </c>
      <c r="P1616" t="s">
        <v>25</v>
      </c>
      <c r="Q1616" t="s">
        <v>26</v>
      </c>
      <c r="R1616" t="str">
        <f>IF(COUNTIF(Sheet2!B:B, A1616) &gt; 0, "Yes", "No")</f>
        <v>Yes</v>
      </c>
    </row>
    <row r="1617" spans="1:18" x14ac:dyDescent="0.25">
      <c r="A1617" s="3">
        <v>45338</v>
      </c>
      <c r="B1617" t="s">
        <v>470</v>
      </c>
      <c r="C1617" t="s">
        <v>79</v>
      </c>
      <c r="D1617" t="s">
        <v>20</v>
      </c>
      <c r="E1617" t="s">
        <v>21</v>
      </c>
      <c r="F1617" t="s">
        <v>27</v>
      </c>
      <c r="G1617" t="s">
        <v>81</v>
      </c>
      <c r="H1617" t="s">
        <v>378</v>
      </c>
      <c r="I1617" s="5">
        <v>0.1</v>
      </c>
      <c r="J1617">
        <f t="shared" si="75"/>
        <v>60</v>
      </c>
      <c r="K1617">
        <v>1</v>
      </c>
      <c r="L1617">
        <f t="shared" si="76"/>
        <v>59</v>
      </c>
      <c r="M1617" s="4">
        <f t="shared" si="77"/>
        <v>9.0769230769230769E-2</v>
      </c>
      <c r="N1617">
        <v>650</v>
      </c>
      <c r="O1617">
        <v>600</v>
      </c>
      <c r="P1617" t="s">
        <v>25</v>
      </c>
      <c r="Q1617" t="s">
        <v>26</v>
      </c>
      <c r="R1617" t="str">
        <f>IF(COUNTIF(Sheet2!B:B, A1617) &gt; 0, "Yes", "No")</f>
        <v>Yes</v>
      </c>
    </row>
    <row r="1618" spans="1:18" x14ac:dyDescent="0.25">
      <c r="A1618" s="3">
        <v>45338</v>
      </c>
      <c r="B1618" t="s">
        <v>470</v>
      </c>
      <c r="C1618" t="s">
        <v>79</v>
      </c>
      <c r="D1618" t="s">
        <v>20</v>
      </c>
      <c r="E1618" t="s">
        <v>21</v>
      </c>
      <c r="F1618" t="s">
        <v>30</v>
      </c>
      <c r="G1618" t="s">
        <v>31</v>
      </c>
      <c r="H1618" t="s">
        <v>70</v>
      </c>
      <c r="I1618" s="5">
        <v>0.06</v>
      </c>
      <c r="J1618">
        <f t="shared" si="75"/>
        <v>36</v>
      </c>
      <c r="K1618">
        <v>2</v>
      </c>
      <c r="L1618">
        <f t="shared" si="76"/>
        <v>34</v>
      </c>
      <c r="M1618" s="4">
        <f t="shared" si="77"/>
        <v>5.2307692307692305E-2</v>
      </c>
      <c r="N1618">
        <v>650</v>
      </c>
      <c r="O1618">
        <v>600</v>
      </c>
      <c r="P1618" t="s">
        <v>25</v>
      </c>
      <c r="Q1618" t="s">
        <v>26</v>
      </c>
      <c r="R1618" t="str">
        <f>IF(COUNTIF(Sheet2!B:B, A1618) &gt; 0, "Yes", "No")</f>
        <v>Yes</v>
      </c>
    </row>
    <row r="1619" spans="1:18" x14ac:dyDescent="0.25">
      <c r="A1619" s="3">
        <v>45338</v>
      </c>
      <c r="B1619" t="s">
        <v>470</v>
      </c>
      <c r="C1619" t="s">
        <v>79</v>
      </c>
      <c r="D1619" t="s">
        <v>33</v>
      </c>
      <c r="E1619" t="s">
        <v>21</v>
      </c>
      <c r="F1619" t="s">
        <v>84</v>
      </c>
      <c r="G1619" t="s">
        <v>85</v>
      </c>
      <c r="H1619" t="s">
        <v>135</v>
      </c>
      <c r="I1619" s="5">
        <v>0.3</v>
      </c>
      <c r="J1619">
        <f t="shared" si="75"/>
        <v>126</v>
      </c>
      <c r="K1619">
        <v>0</v>
      </c>
      <c r="L1619">
        <f t="shared" si="76"/>
        <v>126</v>
      </c>
      <c r="M1619" s="4">
        <f t="shared" si="77"/>
        <v>0.27692307692307694</v>
      </c>
      <c r="N1619">
        <v>455</v>
      </c>
      <c r="O1619">
        <v>420</v>
      </c>
      <c r="P1619" t="s">
        <v>25</v>
      </c>
      <c r="Q1619" t="s">
        <v>26</v>
      </c>
      <c r="R1619" t="str">
        <f>IF(COUNTIF(Sheet2!B:B, A1619) &gt; 0, "Yes", "No")</f>
        <v>Yes</v>
      </c>
    </row>
    <row r="1620" spans="1:18" x14ac:dyDescent="0.25">
      <c r="A1620" s="3">
        <v>45338</v>
      </c>
      <c r="B1620" t="s">
        <v>470</v>
      </c>
      <c r="C1620" t="s">
        <v>79</v>
      </c>
      <c r="D1620" t="s">
        <v>20</v>
      </c>
      <c r="E1620" t="s">
        <v>21</v>
      </c>
      <c r="F1620" t="s">
        <v>37</v>
      </c>
      <c r="G1620" t="s">
        <v>108</v>
      </c>
      <c r="H1620" t="s">
        <v>126</v>
      </c>
      <c r="I1620" s="5">
        <v>2.5000000000000001E-2</v>
      </c>
      <c r="J1620">
        <f t="shared" si="75"/>
        <v>15</v>
      </c>
      <c r="K1620">
        <v>2</v>
      </c>
      <c r="L1620">
        <f t="shared" si="76"/>
        <v>13</v>
      </c>
      <c r="M1620" s="4">
        <f t="shared" si="77"/>
        <v>0.02</v>
      </c>
      <c r="N1620">
        <v>650</v>
      </c>
      <c r="O1620">
        <v>600</v>
      </c>
      <c r="P1620" t="s">
        <v>25</v>
      </c>
      <c r="Q1620" t="s">
        <v>26</v>
      </c>
      <c r="R1620" t="str">
        <f>IF(COUNTIF(Sheet2!B:B, A1620) &gt; 0, "Yes", "No")</f>
        <v>Yes</v>
      </c>
    </row>
    <row r="1621" spans="1:18" x14ac:dyDescent="0.25">
      <c r="A1621" s="3">
        <v>45338</v>
      </c>
      <c r="B1621" t="s">
        <v>470</v>
      </c>
      <c r="C1621" t="s">
        <v>79</v>
      </c>
      <c r="D1621" t="s">
        <v>20</v>
      </c>
      <c r="E1621" t="s">
        <v>21</v>
      </c>
      <c r="F1621" t="s">
        <v>40</v>
      </c>
      <c r="G1621" t="s">
        <v>164</v>
      </c>
      <c r="H1621" t="s">
        <v>193</v>
      </c>
      <c r="I1621" s="5">
        <v>0.04</v>
      </c>
      <c r="J1621">
        <f t="shared" si="75"/>
        <v>24</v>
      </c>
      <c r="K1621">
        <v>2.5</v>
      </c>
      <c r="L1621">
        <f t="shared" si="76"/>
        <v>21.5</v>
      </c>
      <c r="M1621" s="4">
        <f t="shared" si="77"/>
        <v>3.307692307692308E-2</v>
      </c>
      <c r="N1621">
        <v>650</v>
      </c>
      <c r="O1621">
        <v>600</v>
      </c>
      <c r="P1621" t="s">
        <v>25</v>
      </c>
      <c r="Q1621" t="s">
        <v>26</v>
      </c>
      <c r="R1621" t="str">
        <f>IF(COUNTIF(Sheet2!B:B, A1621) &gt; 0, "Yes", "No")</f>
        <v>Yes</v>
      </c>
    </row>
    <row r="1622" spans="1:18" x14ac:dyDescent="0.25">
      <c r="A1622" s="3">
        <v>45338</v>
      </c>
      <c r="B1622" t="s">
        <v>470</v>
      </c>
      <c r="C1622" t="s">
        <v>79</v>
      </c>
      <c r="D1622" t="s">
        <v>20</v>
      </c>
      <c r="E1622" t="s">
        <v>21</v>
      </c>
      <c r="F1622" t="s">
        <v>43</v>
      </c>
      <c r="G1622" t="s">
        <v>90</v>
      </c>
      <c r="H1622" t="s">
        <v>343</v>
      </c>
      <c r="I1622" s="5">
        <v>7.0000000000000007E-2</v>
      </c>
      <c r="J1622">
        <f t="shared" si="75"/>
        <v>42.000000000000007</v>
      </c>
      <c r="K1622">
        <v>3</v>
      </c>
      <c r="L1622">
        <f t="shared" si="76"/>
        <v>39.000000000000007</v>
      </c>
      <c r="M1622" s="4">
        <f t="shared" si="77"/>
        <v>6.0000000000000012E-2</v>
      </c>
      <c r="N1622">
        <v>650</v>
      </c>
      <c r="O1622">
        <v>600</v>
      </c>
      <c r="P1622" t="s">
        <v>25</v>
      </c>
      <c r="Q1622" t="s">
        <v>26</v>
      </c>
      <c r="R1622" t="str">
        <f>IF(COUNTIF(Sheet2!B:B, A1622) &gt; 0, "Yes", "No")</f>
        <v>Yes</v>
      </c>
    </row>
    <row r="1623" spans="1:18" x14ac:dyDescent="0.25">
      <c r="A1623" s="3">
        <v>45338</v>
      </c>
      <c r="B1623" t="s">
        <v>470</v>
      </c>
      <c r="C1623" t="s">
        <v>79</v>
      </c>
      <c r="D1623" t="s">
        <v>20</v>
      </c>
      <c r="E1623" t="s">
        <v>21</v>
      </c>
      <c r="F1623" t="s">
        <v>46</v>
      </c>
      <c r="G1623" t="s">
        <v>77</v>
      </c>
      <c r="H1623" t="s">
        <v>245</v>
      </c>
      <c r="I1623" s="5">
        <v>0.06</v>
      </c>
      <c r="J1623">
        <f t="shared" si="75"/>
        <v>36</v>
      </c>
      <c r="K1623">
        <v>2.5</v>
      </c>
      <c r="L1623">
        <f t="shared" si="76"/>
        <v>33.5</v>
      </c>
      <c r="M1623" s="4">
        <f t="shared" si="77"/>
        <v>5.153846153846154E-2</v>
      </c>
      <c r="N1623">
        <v>650</v>
      </c>
      <c r="O1623">
        <v>600</v>
      </c>
      <c r="P1623" t="s">
        <v>25</v>
      </c>
      <c r="Q1623" t="s">
        <v>26</v>
      </c>
      <c r="R1623" t="str">
        <f>IF(COUNTIF(Sheet2!B:B, A1623) &gt; 0, "Yes", "No")</f>
        <v>Yes</v>
      </c>
    </row>
    <row r="1624" spans="1:18" x14ac:dyDescent="0.25">
      <c r="A1624" s="3">
        <v>45338</v>
      </c>
      <c r="B1624" t="s">
        <v>470</v>
      </c>
      <c r="C1624" t="s">
        <v>79</v>
      </c>
      <c r="D1624" t="s">
        <v>20</v>
      </c>
      <c r="E1624" t="s">
        <v>21</v>
      </c>
      <c r="F1624" t="s">
        <v>49</v>
      </c>
      <c r="G1624" t="s">
        <v>50</v>
      </c>
      <c r="H1624" t="s">
        <v>49</v>
      </c>
      <c r="I1624" s="5">
        <v>0.04</v>
      </c>
      <c r="J1624">
        <f t="shared" si="75"/>
        <v>24</v>
      </c>
      <c r="K1624">
        <v>1.5</v>
      </c>
      <c r="L1624">
        <f t="shared" si="76"/>
        <v>22.5</v>
      </c>
      <c r="M1624" s="4">
        <f t="shared" si="77"/>
        <v>3.4615384615384617E-2</v>
      </c>
      <c r="N1624">
        <v>650</v>
      </c>
      <c r="O1624">
        <v>600</v>
      </c>
      <c r="P1624" t="s">
        <v>25</v>
      </c>
      <c r="Q1624" t="s">
        <v>26</v>
      </c>
      <c r="R1624" t="str">
        <f>IF(COUNTIF(Sheet2!B:B, A1624) &gt; 0, "Yes", "No")</f>
        <v>Yes</v>
      </c>
    </row>
    <row r="1625" spans="1:18" x14ac:dyDescent="0.25">
      <c r="A1625" s="3">
        <v>45341</v>
      </c>
      <c r="B1625" t="s">
        <v>470</v>
      </c>
      <c r="C1625" t="s">
        <v>19</v>
      </c>
      <c r="D1625" t="s">
        <v>20</v>
      </c>
      <c r="E1625" t="s">
        <v>21</v>
      </c>
      <c r="F1625" t="s">
        <v>22</v>
      </c>
      <c r="G1625" t="s">
        <v>94</v>
      </c>
      <c r="H1625" t="s">
        <v>95</v>
      </c>
      <c r="I1625">
        <v>8.5000000000000006E-2</v>
      </c>
      <c r="J1625">
        <f t="shared" si="75"/>
        <v>69.7</v>
      </c>
      <c r="K1625">
        <v>4</v>
      </c>
      <c r="L1625">
        <f t="shared" si="76"/>
        <v>65.7</v>
      </c>
      <c r="M1625" s="4">
        <f t="shared" si="77"/>
        <v>7.3000000000000009E-2</v>
      </c>
      <c r="N1625">
        <v>900</v>
      </c>
      <c r="O1625">
        <v>820</v>
      </c>
      <c r="P1625" t="s">
        <v>25</v>
      </c>
      <c r="Q1625" t="s">
        <v>26</v>
      </c>
      <c r="R1625" t="str">
        <f>IF(COUNTIF(Sheet2!B:B, A1625) &gt; 0, "Yes", "No")</f>
        <v>No</v>
      </c>
    </row>
    <row r="1626" spans="1:18" x14ac:dyDescent="0.25">
      <c r="A1626" s="3">
        <v>45341</v>
      </c>
      <c r="B1626" t="s">
        <v>470</v>
      </c>
      <c r="C1626" t="s">
        <v>19</v>
      </c>
      <c r="D1626" t="s">
        <v>20</v>
      </c>
      <c r="E1626" t="s">
        <v>21</v>
      </c>
      <c r="F1626" t="s">
        <v>27</v>
      </c>
      <c r="G1626" t="s">
        <v>28</v>
      </c>
      <c r="H1626" t="s">
        <v>204</v>
      </c>
      <c r="I1626">
        <v>0.11</v>
      </c>
      <c r="J1626">
        <f t="shared" si="75"/>
        <v>90.2</v>
      </c>
      <c r="K1626">
        <v>3</v>
      </c>
      <c r="L1626">
        <f t="shared" si="76"/>
        <v>87.2</v>
      </c>
      <c r="M1626" s="4">
        <f t="shared" si="77"/>
        <v>9.6888888888888886E-2</v>
      </c>
      <c r="N1626">
        <v>900</v>
      </c>
      <c r="O1626">
        <v>820</v>
      </c>
      <c r="P1626" t="s">
        <v>25</v>
      </c>
      <c r="Q1626" t="s">
        <v>26</v>
      </c>
      <c r="R1626" t="str">
        <f>IF(COUNTIF(Sheet2!B:B, A1626) &gt; 0, "Yes", "No")</f>
        <v>No</v>
      </c>
    </row>
    <row r="1627" spans="1:18" x14ac:dyDescent="0.25">
      <c r="A1627" s="3">
        <v>45341</v>
      </c>
      <c r="B1627" t="s">
        <v>470</v>
      </c>
      <c r="C1627" t="s">
        <v>19</v>
      </c>
      <c r="D1627" t="s">
        <v>20</v>
      </c>
      <c r="E1627" t="s">
        <v>21</v>
      </c>
      <c r="F1627" t="s">
        <v>30</v>
      </c>
      <c r="G1627" t="s">
        <v>31</v>
      </c>
      <c r="H1627" t="s">
        <v>172</v>
      </c>
      <c r="I1627">
        <v>0.09</v>
      </c>
      <c r="J1627">
        <f t="shared" si="75"/>
        <v>73.8</v>
      </c>
      <c r="K1627">
        <v>4</v>
      </c>
      <c r="L1627">
        <f t="shared" si="76"/>
        <v>69.8</v>
      </c>
      <c r="M1627" s="4">
        <f t="shared" si="77"/>
        <v>7.7555555555555558E-2</v>
      </c>
      <c r="N1627">
        <v>900</v>
      </c>
      <c r="O1627">
        <v>820</v>
      </c>
      <c r="P1627" t="s">
        <v>25</v>
      </c>
      <c r="Q1627" t="s">
        <v>26</v>
      </c>
      <c r="R1627" t="str">
        <f>IF(COUNTIF(Sheet2!B:B, A1627) &gt; 0, "Yes", "No")</f>
        <v>No</v>
      </c>
    </row>
    <row r="1628" spans="1:18" x14ac:dyDescent="0.25">
      <c r="A1628" s="3">
        <v>45341</v>
      </c>
      <c r="B1628" t="s">
        <v>470</v>
      </c>
      <c r="C1628" t="s">
        <v>19</v>
      </c>
      <c r="D1628" t="s">
        <v>33</v>
      </c>
      <c r="E1628" t="s">
        <v>21</v>
      </c>
      <c r="F1628" t="s">
        <v>34</v>
      </c>
      <c r="G1628" t="s">
        <v>57</v>
      </c>
      <c r="H1628" t="s">
        <v>351</v>
      </c>
      <c r="I1628">
        <v>0.15</v>
      </c>
      <c r="J1628">
        <f t="shared" si="75"/>
        <v>85.5</v>
      </c>
      <c r="K1628">
        <v>2</v>
      </c>
      <c r="L1628">
        <f t="shared" si="76"/>
        <v>83.5</v>
      </c>
      <c r="M1628" s="4">
        <f t="shared" si="77"/>
        <v>0.13253968253968254</v>
      </c>
      <c r="N1628">
        <v>630</v>
      </c>
      <c r="O1628">
        <v>570</v>
      </c>
      <c r="P1628" t="s">
        <v>25</v>
      </c>
      <c r="Q1628" t="s">
        <v>26</v>
      </c>
      <c r="R1628" t="str">
        <f>IF(COUNTIF(Sheet2!B:B, A1628) &gt; 0, "Yes", "No")</f>
        <v>No</v>
      </c>
    </row>
    <row r="1629" spans="1:18" x14ac:dyDescent="0.25">
      <c r="A1629" s="3">
        <v>45341</v>
      </c>
      <c r="B1629" t="s">
        <v>470</v>
      </c>
      <c r="C1629" t="s">
        <v>19</v>
      </c>
      <c r="D1629" t="s">
        <v>20</v>
      </c>
      <c r="E1629" t="s">
        <v>21</v>
      </c>
      <c r="F1629" t="s">
        <v>37</v>
      </c>
      <c r="G1629" t="s">
        <v>117</v>
      </c>
      <c r="H1629" t="s">
        <v>118</v>
      </c>
      <c r="I1629">
        <v>0.03</v>
      </c>
      <c r="J1629">
        <f t="shared" si="75"/>
        <v>24.599999999999998</v>
      </c>
      <c r="K1629">
        <v>4</v>
      </c>
      <c r="L1629">
        <f t="shared" si="76"/>
        <v>20.599999999999998</v>
      </c>
      <c r="M1629" s="4">
        <f t="shared" si="77"/>
        <v>2.2888888888888886E-2</v>
      </c>
      <c r="N1629">
        <v>900</v>
      </c>
      <c r="O1629">
        <v>820</v>
      </c>
      <c r="P1629" t="s">
        <v>25</v>
      </c>
      <c r="Q1629" t="s">
        <v>26</v>
      </c>
      <c r="R1629" t="str">
        <f>IF(COUNTIF(Sheet2!B:B, A1629) &gt; 0, "Yes", "No")</f>
        <v>No</v>
      </c>
    </row>
    <row r="1630" spans="1:18" x14ac:dyDescent="0.25">
      <c r="A1630" s="3">
        <v>45341</v>
      </c>
      <c r="B1630" t="s">
        <v>470</v>
      </c>
      <c r="C1630" t="s">
        <v>19</v>
      </c>
      <c r="D1630" t="s">
        <v>20</v>
      </c>
      <c r="E1630" t="s">
        <v>21</v>
      </c>
      <c r="F1630" t="s">
        <v>40</v>
      </c>
      <c r="G1630" t="s">
        <v>164</v>
      </c>
      <c r="H1630" t="s">
        <v>193</v>
      </c>
      <c r="I1630">
        <v>4.4999999999999998E-2</v>
      </c>
      <c r="J1630">
        <f t="shared" si="75"/>
        <v>36.9</v>
      </c>
      <c r="K1630">
        <v>4</v>
      </c>
      <c r="L1630">
        <f t="shared" si="76"/>
        <v>32.9</v>
      </c>
      <c r="M1630" s="4">
        <f t="shared" si="77"/>
        <v>3.6555555555555556E-2</v>
      </c>
      <c r="N1630">
        <v>900</v>
      </c>
      <c r="O1630">
        <v>820</v>
      </c>
      <c r="P1630" t="s">
        <v>25</v>
      </c>
      <c r="Q1630" t="s">
        <v>26</v>
      </c>
      <c r="R1630" t="str">
        <f>IF(COUNTIF(Sheet2!B:B, A1630) &gt; 0, "Yes", "No")</f>
        <v>No</v>
      </c>
    </row>
    <row r="1631" spans="1:18" x14ac:dyDescent="0.25">
      <c r="A1631" s="3">
        <v>45341</v>
      </c>
      <c r="B1631" t="s">
        <v>470</v>
      </c>
      <c r="C1631" t="s">
        <v>19</v>
      </c>
      <c r="D1631" t="s">
        <v>20</v>
      </c>
      <c r="E1631" t="s">
        <v>21</v>
      </c>
      <c r="F1631" t="s">
        <v>43</v>
      </c>
      <c r="G1631" t="s">
        <v>44</v>
      </c>
      <c r="H1631" t="s">
        <v>352</v>
      </c>
      <c r="I1631">
        <v>0.11</v>
      </c>
      <c r="J1631">
        <f t="shared" si="75"/>
        <v>90.2</v>
      </c>
      <c r="K1631">
        <v>3</v>
      </c>
      <c r="L1631">
        <f t="shared" si="76"/>
        <v>87.2</v>
      </c>
      <c r="M1631" s="4">
        <f t="shared" si="77"/>
        <v>9.6888888888888886E-2</v>
      </c>
      <c r="N1631">
        <v>900</v>
      </c>
      <c r="O1631">
        <v>820</v>
      </c>
      <c r="P1631" t="s">
        <v>25</v>
      </c>
      <c r="Q1631" t="s">
        <v>26</v>
      </c>
      <c r="R1631" t="str">
        <f>IF(COUNTIF(Sheet2!B:B, A1631) &gt; 0, "Yes", "No")</f>
        <v>No</v>
      </c>
    </row>
    <row r="1632" spans="1:18" x14ac:dyDescent="0.25">
      <c r="A1632" s="3">
        <v>45341</v>
      </c>
      <c r="B1632" t="s">
        <v>470</v>
      </c>
      <c r="C1632" t="s">
        <v>19</v>
      </c>
      <c r="D1632" t="s">
        <v>20</v>
      </c>
      <c r="E1632" t="s">
        <v>21</v>
      </c>
      <c r="F1632" t="s">
        <v>46</v>
      </c>
      <c r="G1632" t="s">
        <v>111</v>
      </c>
      <c r="H1632" t="s">
        <v>486</v>
      </c>
      <c r="I1632">
        <v>8.5000000000000006E-2</v>
      </c>
      <c r="J1632">
        <f t="shared" si="75"/>
        <v>69.7</v>
      </c>
      <c r="K1632">
        <v>4</v>
      </c>
      <c r="L1632">
        <f t="shared" si="76"/>
        <v>65.7</v>
      </c>
      <c r="M1632" s="4">
        <f t="shared" si="77"/>
        <v>7.3000000000000009E-2</v>
      </c>
      <c r="N1632">
        <v>900</v>
      </c>
      <c r="O1632">
        <v>820</v>
      </c>
      <c r="P1632" t="s">
        <v>25</v>
      </c>
      <c r="Q1632" t="s">
        <v>26</v>
      </c>
      <c r="R1632" t="str">
        <f>IF(COUNTIF(Sheet2!B:B, A1632) &gt; 0, "Yes", "No")</f>
        <v>No</v>
      </c>
    </row>
    <row r="1633" spans="1:18" x14ac:dyDescent="0.25">
      <c r="A1633" s="3">
        <v>45341</v>
      </c>
      <c r="B1633" t="s">
        <v>470</v>
      </c>
      <c r="C1633" t="s">
        <v>19</v>
      </c>
      <c r="D1633" t="s">
        <v>20</v>
      </c>
      <c r="E1633" t="s">
        <v>21</v>
      </c>
      <c r="F1633" t="s">
        <v>49</v>
      </c>
      <c r="G1633" t="s">
        <v>50</v>
      </c>
      <c r="H1633" t="s">
        <v>49</v>
      </c>
      <c r="I1633">
        <v>0.09</v>
      </c>
      <c r="J1633">
        <f t="shared" si="75"/>
        <v>73.8</v>
      </c>
      <c r="K1633">
        <v>4</v>
      </c>
      <c r="L1633">
        <f t="shared" si="76"/>
        <v>69.8</v>
      </c>
      <c r="M1633" s="4">
        <f t="shared" si="77"/>
        <v>7.7555555555555558E-2</v>
      </c>
      <c r="N1633">
        <v>900</v>
      </c>
      <c r="O1633">
        <v>820</v>
      </c>
      <c r="P1633" t="s">
        <v>25</v>
      </c>
      <c r="Q1633" t="s">
        <v>26</v>
      </c>
      <c r="R1633" t="str">
        <f>IF(COUNTIF(Sheet2!B:B, A1633) &gt; 0, "Yes", "No")</f>
        <v>No</v>
      </c>
    </row>
    <row r="1634" spans="1:18" x14ac:dyDescent="0.25">
      <c r="A1634" s="3">
        <v>45342</v>
      </c>
      <c r="B1634" t="s">
        <v>470</v>
      </c>
      <c r="C1634" t="s">
        <v>105</v>
      </c>
      <c r="D1634" t="s">
        <v>20</v>
      </c>
      <c r="E1634" t="s">
        <v>67</v>
      </c>
      <c r="F1634" t="s">
        <v>22</v>
      </c>
      <c r="G1634" t="s">
        <v>52</v>
      </c>
      <c r="H1634" t="s">
        <v>373</v>
      </c>
      <c r="I1634">
        <v>8.5000000000000006E-2</v>
      </c>
      <c r="J1634">
        <f t="shared" si="75"/>
        <v>61.2</v>
      </c>
      <c r="K1634">
        <v>1</v>
      </c>
      <c r="L1634">
        <f t="shared" si="76"/>
        <v>60.2</v>
      </c>
      <c r="M1634" s="4">
        <f t="shared" si="77"/>
        <v>7.5249999999999997E-2</v>
      </c>
      <c r="N1634">
        <v>800</v>
      </c>
      <c r="O1634">
        <v>720</v>
      </c>
      <c r="P1634" t="s">
        <v>25</v>
      </c>
      <c r="Q1634" t="s">
        <v>26</v>
      </c>
      <c r="R1634" t="str">
        <f>IF(COUNTIF(Sheet2!B:B, A1634) &gt; 0, "Yes", "No")</f>
        <v>No</v>
      </c>
    </row>
    <row r="1635" spans="1:18" x14ac:dyDescent="0.25">
      <c r="A1635" s="3">
        <v>45342</v>
      </c>
      <c r="B1635" t="s">
        <v>470</v>
      </c>
      <c r="C1635" t="s">
        <v>105</v>
      </c>
      <c r="D1635" t="s">
        <v>20</v>
      </c>
      <c r="E1635" t="s">
        <v>67</v>
      </c>
      <c r="F1635" t="s">
        <v>27</v>
      </c>
      <c r="G1635" t="s">
        <v>115</v>
      </c>
      <c r="H1635" t="s">
        <v>115</v>
      </c>
      <c r="I1635">
        <v>0.11</v>
      </c>
      <c r="J1635">
        <f t="shared" si="75"/>
        <v>79.2</v>
      </c>
      <c r="K1635">
        <v>2</v>
      </c>
      <c r="L1635">
        <f t="shared" si="76"/>
        <v>77.2</v>
      </c>
      <c r="M1635" s="4">
        <f t="shared" si="77"/>
        <v>9.6500000000000002E-2</v>
      </c>
      <c r="N1635">
        <v>800</v>
      </c>
      <c r="O1635">
        <v>720</v>
      </c>
      <c r="P1635" t="s">
        <v>25</v>
      </c>
      <c r="Q1635" t="s">
        <v>26</v>
      </c>
      <c r="R1635" t="str">
        <f>IF(COUNTIF(Sheet2!B:B, A1635) &gt; 0, "Yes", "No")</f>
        <v>No</v>
      </c>
    </row>
    <row r="1636" spans="1:18" x14ac:dyDescent="0.25">
      <c r="A1636" s="3">
        <v>45342</v>
      </c>
      <c r="B1636" t="s">
        <v>470</v>
      </c>
      <c r="C1636" t="s">
        <v>105</v>
      </c>
      <c r="D1636" t="s">
        <v>20</v>
      </c>
      <c r="E1636" t="s">
        <v>67</v>
      </c>
      <c r="F1636" t="s">
        <v>30</v>
      </c>
      <c r="G1636" t="s">
        <v>55</v>
      </c>
      <c r="H1636" t="s">
        <v>125</v>
      </c>
      <c r="I1636">
        <v>0.09</v>
      </c>
      <c r="J1636">
        <f t="shared" si="75"/>
        <v>64.8</v>
      </c>
      <c r="K1636">
        <v>0</v>
      </c>
      <c r="L1636">
        <f t="shared" si="76"/>
        <v>64.8</v>
      </c>
      <c r="M1636" s="4">
        <f t="shared" si="77"/>
        <v>8.1000000000000003E-2</v>
      </c>
      <c r="N1636">
        <v>800</v>
      </c>
      <c r="O1636">
        <v>720</v>
      </c>
      <c r="P1636" t="s">
        <v>25</v>
      </c>
      <c r="Q1636" t="s">
        <v>26</v>
      </c>
      <c r="R1636" t="str">
        <f>IF(COUNTIF(Sheet2!B:B, A1636) &gt; 0, "Yes", "No")</f>
        <v>No</v>
      </c>
    </row>
    <row r="1637" spans="1:18" x14ac:dyDescent="0.25">
      <c r="A1637" s="3">
        <v>45342</v>
      </c>
      <c r="B1637" t="s">
        <v>470</v>
      </c>
      <c r="C1637" t="s">
        <v>105</v>
      </c>
      <c r="D1637" t="s">
        <v>20</v>
      </c>
      <c r="E1637" t="s">
        <v>67</v>
      </c>
      <c r="F1637" t="s">
        <v>37</v>
      </c>
      <c r="G1637" t="s">
        <v>108</v>
      </c>
      <c r="H1637" t="s">
        <v>266</v>
      </c>
      <c r="I1637">
        <v>3.5000000000000003E-2</v>
      </c>
      <c r="J1637">
        <f t="shared" si="75"/>
        <v>25.200000000000003</v>
      </c>
      <c r="K1637">
        <v>0</v>
      </c>
      <c r="L1637">
        <f t="shared" si="76"/>
        <v>25.200000000000003</v>
      </c>
      <c r="M1637" s="4">
        <f t="shared" si="77"/>
        <v>3.15E-2</v>
      </c>
      <c r="N1637">
        <v>800</v>
      </c>
      <c r="O1637">
        <v>720</v>
      </c>
      <c r="P1637" t="s">
        <v>25</v>
      </c>
      <c r="Q1637" t="s">
        <v>26</v>
      </c>
      <c r="R1637" t="str">
        <f>IF(COUNTIF(Sheet2!B:B, A1637) &gt; 0, "Yes", "No")</f>
        <v>No</v>
      </c>
    </row>
    <row r="1638" spans="1:18" x14ac:dyDescent="0.25">
      <c r="A1638" s="3">
        <v>45342</v>
      </c>
      <c r="B1638" t="s">
        <v>470</v>
      </c>
      <c r="C1638" t="s">
        <v>105</v>
      </c>
      <c r="D1638" t="s">
        <v>20</v>
      </c>
      <c r="E1638" t="s">
        <v>67</v>
      </c>
      <c r="F1638" t="s">
        <v>40</v>
      </c>
      <c r="G1638" t="s">
        <v>164</v>
      </c>
      <c r="H1638" t="s">
        <v>202</v>
      </c>
      <c r="I1638">
        <v>0.05</v>
      </c>
      <c r="J1638">
        <f t="shared" si="75"/>
        <v>36</v>
      </c>
      <c r="K1638">
        <v>1</v>
      </c>
      <c r="L1638">
        <f t="shared" si="76"/>
        <v>35</v>
      </c>
      <c r="M1638" s="4">
        <f t="shared" si="77"/>
        <v>4.3749999999999997E-2</v>
      </c>
      <c r="N1638">
        <v>800</v>
      </c>
      <c r="O1638">
        <v>720</v>
      </c>
      <c r="P1638" t="s">
        <v>25</v>
      </c>
      <c r="Q1638" t="s">
        <v>26</v>
      </c>
      <c r="R1638" t="str">
        <f>IF(COUNTIF(Sheet2!B:B, A1638) &gt; 0, "Yes", "No")</f>
        <v>No</v>
      </c>
    </row>
    <row r="1639" spans="1:18" x14ac:dyDescent="0.25">
      <c r="A1639" s="3">
        <v>45342</v>
      </c>
      <c r="B1639" t="s">
        <v>470</v>
      </c>
      <c r="C1639" t="s">
        <v>105</v>
      </c>
      <c r="D1639" t="s">
        <v>20</v>
      </c>
      <c r="E1639" t="s">
        <v>67</v>
      </c>
      <c r="F1639" t="s">
        <v>43</v>
      </c>
      <c r="G1639" t="s">
        <v>90</v>
      </c>
      <c r="H1639" t="s">
        <v>356</v>
      </c>
      <c r="I1639">
        <v>0.11</v>
      </c>
      <c r="J1639">
        <f t="shared" si="75"/>
        <v>79.2</v>
      </c>
      <c r="K1639">
        <v>1</v>
      </c>
      <c r="L1639">
        <f t="shared" si="76"/>
        <v>78.2</v>
      </c>
      <c r="M1639" s="4">
        <f t="shared" si="77"/>
        <v>9.7750000000000004E-2</v>
      </c>
      <c r="N1639">
        <v>800</v>
      </c>
      <c r="O1639">
        <v>720</v>
      </c>
      <c r="P1639" t="s">
        <v>25</v>
      </c>
      <c r="Q1639" t="s">
        <v>26</v>
      </c>
      <c r="R1639" t="str">
        <f>IF(COUNTIF(Sheet2!B:B, A1639) &gt; 0, "Yes", "No")</f>
        <v>No</v>
      </c>
    </row>
    <row r="1640" spans="1:18" x14ac:dyDescent="0.25">
      <c r="A1640" s="3">
        <v>45342</v>
      </c>
      <c r="B1640" t="s">
        <v>470</v>
      </c>
      <c r="C1640" t="s">
        <v>105</v>
      </c>
      <c r="D1640" t="s">
        <v>20</v>
      </c>
      <c r="E1640" t="s">
        <v>67</v>
      </c>
      <c r="F1640" t="s">
        <v>46</v>
      </c>
      <c r="G1640" t="s">
        <v>92</v>
      </c>
      <c r="H1640" t="s">
        <v>275</v>
      </c>
      <c r="I1640">
        <v>8.5000000000000006E-2</v>
      </c>
      <c r="J1640">
        <f t="shared" si="75"/>
        <v>61.2</v>
      </c>
      <c r="K1640">
        <v>0</v>
      </c>
      <c r="L1640">
        <f t="shared" si="76"/>
        <v>61.2</v>
      </c>
      <c r="M1640" s="4">
        <f t="shared" si="77"/>
        <v>7.6499999999999999E-2</v>
      </c>
      <c r="N1640">
        <v>800</v>
      </c>
      <c r="O1640">
        <v>720</v>
      </c>
      <c r="P1640" t="s">
        <v>25</v>
      </c>
      <c r="Q1640" t="s">
        <v>26</v>
      </c>
      <c r="R1640" t="str">
        <f>IF(COUNTIF(Sheet2!B:B, A1640) &gt; 0, "Yes", "No")</f>
        <v>No</v>
      </c>
    </row>
    <row r="1641" spans="1:18" x14ac:dyDescent="0.25">
      <c r="A1641" s="3">
        <v>45342</v>
      </c>
      <c r="B1641" t="s">
        <v>470</v>
      </c>
      <c r="C1641" t="s">
        <v>105</v>
      </c>
      <c r="D1641" t="s">
        <v>20</v>
      </c>
      <c r="E1641" t="s">
        <v>67</v>
      </c>
      <c r="F1641" t="s">
        <v>49</v>
      </c>
      <c r="G1641" t="s">
        <v>50</v>
      </c>
      <c r="H1641" t="s">
        <v>49</v>
      </c>
      <c r="I1641">
        <v>0.09</v>
      </c>
      <c r="J1641">
        <f t="shared" si="75"/>
        <v>64.8</v>
      </c>
      <c r="K1641">
        <v>2</v>
      </c>
      <c r="L1641">
        <f t="shared" si="76"/>
        <v>62.8</v>
      </c>
      <c r="M1641" s="4">
        <f t="shared" si="77"/>
        <v>7.85E-2</v>
      </c>
      <c r="N1641">
        <v>800</v>
      </c>
      <c r="O1641">
        <v>720</v>
      </c>
      <c r="P1641" t="s">
        <v>25</v>
      </c>
      <c r="Q1641" t="s">
        <v>26</v>
      </c>
      <c r="R1641" t="str">
        <f>IF(COUNTIF(Sheet2!B:B, A1641) &gt; 0, "Yes", "No")</f>
        <v>No</v>
      </c>
    </row>
    <row r="1642" spans="1:18" x14ac:dyDescent="0.25">
      <c r="A1642" s="3">
        <v>45343</v>
      </c>
      <c r="B1642" t="s">
        <v>470</v>
      </c>
      <c r="C1642" t="s">
        <v>51</v>
      </c>
      <c r="D1642" t="s">
        <v>20</v>
      </c>
      <c r="E1642" t="s">
        <v>21</v>
      </c>
      <c r="F1642" t="s">
        <v>22</v>
      </c>
      <c r="G1642" t="s">
        <v>122</v>
      </c>
      <c r="H1642" t="s">
        <v>260</v>
      </c>
      <c r="I1642">
        <v>8.5000000000000006E-2</v>
      </c>
      <c r="J1642">
        <f t="shared" si="75"/>
        <v>65.45</v>
      </c>
      <c r="K1642">
        <v>0</v>
      </c>
      <c r="L1642">
        <f t="shared" si="76"/>
        <v>65.45</v>
      </c>
      <c r="M1642" s="4">
        <f t="shared" si="77"/>
        <v>7.6999999999999999E-2</v>
      </c>
      <c r="N1642">
        <v>850</v>
      </c>
      <c r="O1642">
        <v>770</v>
      </c>
      <c r="P1642" t="s">
        <v>25</v>
      </c>
      <c r="Q1642" t="s">
        <v>26</v>
      </c>
      <c r="R1642" t="str">
        <f>IF(COUNTIF(Sheet2!B:B, A1642) &gt; 0, "Yes", "No")</f>
        <v>No</v>
      </c>
    </row>
    <row r="1643" spans="1:18" x14ac:dyDescent="0.25">
      <c r="A1643" s="3">
        <v>45343</v>
      </c>
      <c r="B1643" t="s">
        <v>470</v>
      </c>
      <c r="C1643" t="s">
        <v>51</v>
      </c>
      <c r="D1643" t="s">
        <v>20</v>
      </c>
      <c r="E1643" t="s">
        <v>21</v>
      </c>
      <c r="F1643" t="s">
        <v>27</v>
      </c>
      <c r="G1643" t="s">
        <v>28</v>
      </c>
      <c r="H1643" t="s">
        <v>357</v>
      </c>
      <c r="I1643">
        <v>0.11</v>
      </c>
      <c r="J1643">
        <f t="shared" si="75"/>
        <v>84.7</v>
      </c>
      <c r="K1643">
        <v>2</v>
      </c>
      <c r="L1643">
        <f t="shared" si="76"/>
        <v>82.7</v>
      </c>
      <c r="M1643" s="4">
        <f t="shared" si="77"/>
        <v>9.7294117647058823E-2</v>
      </c>
      <c r="N1643">
        <v>850</v>
      </c>
      <c r="O1643">
        <v>770</v>
      </c>
      <c r="P1643" t="s">
        <v>25</v>
      </c>
      <c r="Q1643" t="s">
        <v>26</v>
      </c>
      <c r="R1643" t="str">
        <f>IF(COUNTIF(Sheet2!B:B, A1643) &gt; 0, "Yes", "No")</f>
        <v>No</v>
      </c>
    </row>
    <row r="1644" spans="1:18" x14ac:dyDescent="0.25">
      <c r="A1644" s="3">
        <v>45343</v>
      </c>
      <c r="B1644" t="s">
        <v>470</v>
      </c>
      <c r="C1644" t="s">
        <v>51</v>
      </c>
      <c r="D1644" t="s">
        <v>20</v>
      </c>
      <c r="E1644" t="s">
        <v>21</v>
      </c>
      <c r="F1644" t="s">
        <v>30</v>
      </c>
      <c r="G1644" t="s">
        <v>31</v>
      </c>
      <c r="H1644" t="s">
        <v>31</v>
      </c>
      <c r="I1644">
        <v>0.09</v>
      </c>
      <c r="J1644">
        <f t="shared" si="75"/>
        <v>69.3</v>
      </c>
      <c r="K1644">
        <v>0</v>
      </c>
      <c r="L1644">
        <f t="shared" si="76"/>
        <v>69.3</v>
      </c>
      <c r="M1644" s="4">
        <f t="shared" si="77"/>
        <v>8.1529411764705878E-2</v>
      </c>
      <c r="N1644">
        <v>850</v>
      </c>
      <c r="O1644">
        <v>770</v>
      </c>
      <c r="P1644" t="s">
        <v>25</v>
      </c>
      <c r="Q1644" t="s">
        <v>26</v>
      </c>
      <c r="R1644" t="str">
        <f>IF(COUNTIF(Sheet2!B:B, A1644) &gt; 0, "Yes", "No")</f>
        <v>No</v>
      </c>
    </row>
    <row r="1645" spans="1:18" x14ac:dyDescent="0.25">
      <c r="A1645" s="3">
        <v>45343</v>
      </c>
      <c r="B1645" t="s">
        <v>470</v>
      </c>
      <c r="C1645" t="s">
        <v>51</v>
      </c>
      <c r="D1645" t="s">
        <v>33</v>
      </c>
      <c r="E1645" t="s">
        <v>21</v>
      </c>
      <c r="F1645" t="s">
        <v>34</v>
      </c>
      <c r="G1645" t="s">
        <v>57</v>
      </c>
      <c r="H1645" t="s">
        <v>487</v>
      </c>
      <c r="I1645">
        <v>0.15</v>
      </c>
      <c r="J1645">
        <f t="shared" si="75"/>
        <v>80.25</v>
      </c>
      <c r="K1645">
        <v>0</v>
      </c>
      <c r="L1645">
        <f t="shared" si="76"/>
        <v>80.25</v>
      </c>
      <c r="M1645" s="4">
        <f t="shared" si="77"/>
        <v>0.13487394957983193</v>
      </c>
      <c r="N1645">
        <v>595</v>
      </c>
      <c r="O1645">
        <v>535</v>
      </c>
      <c r="P1645" t="s">
        <v>25</v>
      </c>
      <c r="Q1645" t="s">
        <v>26</v>
      </c>
      <c r="R1645" t="str">
        <f>IF(COUNTIF(Sheet2!B:B, A1645) &gt; 0, "Yes", "No")</f>
        <v>No</v>
      </c>
    </row>
    <row r="1646" spans="1:18" x14ac:dyDescent="0.25">
      <c r="A1646" s="3">
        <v>45343</v>
      </c>
      <c r="B1646" t="s">
        <v>470</v>
      </c>
      <c r="C1646" t="s">
        <v>51</v>
      </c>
      <c r="D1646" t="s">
        <v>20</v>
      </c>
      <c r="E1646" t="s">
        <v>21</v>
      </c>
      <c r="F1646" t="s">
        <v>37</v>
      </c>
      <c r="G1646" t="s">
        <v>87</v>
      </c>
      <c r="H1646" t="s">
        <v>99</v>
      </c>
      <c r="I1646">
        <v>0.03</v>
      </c>
      <c r="J1646">
        <f t="shared" si="75"/>
        <v>23.099999999999998</v>
      </c>
      <c r="K1646">
        <v>0</v>
      </c>
      <c r="L1646">
        <f t="shared" si="76"/>
        <v>23.099999999999998</v>
      </c>
      <c r="M1646" s="4">
        <f t="shared" si="77"/>
        <v>2.7176470588235292E-2</v>
      </c>
      <c r="N1646">
        <v>850</v>
      </c>
      <c r="O1646">
        <v>770</v>
      </c>
      <c r="P1646" t="s">
        <v>25</v>
      </c>
      <c r="Q1646" t="s">
        <v>26</v>
      </c>
      <c r="R1646" t="str">
        <f>IF(COUNTIF(Sheet2!B:B, A1646) &gt; 0, "Yes", "No")</f>
        <v>No</v>
      </c>
    </row>
    <row r="1647" spans="1:18" x14ac:dyDescent="0.25">
      <c r="A1647" s="3">
        <v>45343</v>
      </c>
      <c r="B1647" t="s">
        <v>470</v>
      </c>
      <c r="C1647" t="s">
        <v>51</v>
      </c>
      <c r="D1647" t="s">
        <v>20</v>
      </c>
      <c r="E1647" t="s">
        <v>21</v>
      </c>
      <c r="F1647" t="s">
        <v>40</v>
      </c>
      <c r="G1647" t="s">
        <v>127</v>
      </c>
      <c r="H1647" t="s">
        <v>358</v>
      </c>
      <c r="I1647">
        <v>4.4999999999999998E-2</v>
      </c>
      <c r="J1647">
        <f t="shared" si="75"/>
        <v>34.65</v>
      </c>
      <c r="K1647">
        <v>2</v>
      </c>
      <c r="L1647">
        <f t="shared" si="76"/>
        <v>32.65</v>
      </c>
      <c r="M1647" s="4">
        <f t="shared" si="77"/>
        <v>3.8411764705882354E-2</v>
      </c>
      <c r="N1647">
        <v>850</v>
      </c>
      <c r="O1647">
        <v>770</v>
      </c>
      <c r="P1647" t="s">
        <v>25</v>
      </c>
      <c r="Q1647" t="s">
        <v>26</v>
      </c>
      <c r="R1647" t="str">
        <f>IF(COUNTIF(Sheet2!B:B, A1647) &gt; 0, "Yes", "No")</f>
        <v>No</v>
      </c>
    </row>
    <row r="1648" spans="1:18" x14ac:dyDescent="0.25">
      <c r="A1648" s="3">
        <v>45343</v>
      </c>
      <c r="B1648" t="s">
        <v>470</v>
      </c>
      <c r="C1648" t="s">
        <v>51</v>
      </c>
      <c r="D1648" t="s">
        <v>20</v>
      </c>
      <c r="E1648" t="s">
        <v>21</v>
      </c>
      <c r="F1648" t="s">
        <v>43</v>
      </c>
      <c r="G1648" t="s">
        <v>75</v>
      </c>
      <c r="H1648" t="s">
        <v>488</v>
      </c>
      <c r="I1648">
        <v>0.11</v>
      </c>
      <c r="J1648">
        <f t="shared" si="75"/>
        <v>84.7</v>
      </c>
      <c r="K1648">
        <v>3</v>
      </c>
      <c r="L1648">
        <f t="shared" si="76"/>
        <v>81.7</v>
      </c>
      <c r="M1648" s="4">
        <f t="shared" si="77"/>
        <v>9.611764705882353E-2</v>
      </c>
      <c r="N1648">
        <v>850</v>
      </c>
      <c r="O1648">
        <v>770</v>
      </c>
      <c r="P1648" t="s">
        <v>25</v>
      </c>
      <c r="Q1648" t="s">
        <v>26</v>
      </c>
      <c r="R1648" t="str">
        <f>IF(COUNTIF(Sheet2!B:B, A1648) &gt; 0, "Yes", "No")</f>
        <v>No</v>
      </c>
    </row>
    <row r="1649" spans="1:18" x14ac:dyDescent="0.25">
      <c r="A1649" s="3">
        <v>45343</v>
      </c>
      <c r="B1649" t="s">
        <v>470</v>
      </c>
      <c r="C1649" t="s">
        <v>51</v>
      </c>
      <c r="D1649" t="s">
        <v>20</v>
      </c>
      <c r="E1649" t="s">
        <v>21</v>
      </c>
      <c r="F1649" t="s">
        <v>46</v>
      </c>
      <c r="G1649" t="s">
        <v>256</v>
      </c>
      <c r="H1649" t="s">
        <v>489</v>
      </c>
      <c r="I1649">
        <v>8.5000000000000006E-2</v>
      </c>
      <c r="J1649">
        <f t="shared" si="75"/>
        <v>65.45</v>
      </c>
      <c r="K1649">
        <v>2</v>
      </c>
      <c r="L1649">
        <f t="shared" si="76"/>
        <v>63.45</v>
      </c>
      <c r="M1649" s="4">
        <f t="shared" si="77"/>
        <v>7.4647058823529414E-2</v>
      </c>
      <c r="N1649">
        <v>850</v>
      </c>
      <c r="O1649">
        <v>770</v>
      </c>
      <c r="P1649" t="s">
        <v>25</v>
      </c>
      <c r="Q1649" t="s">
        <v>26</v>
      </c>
      <c r="R1649" t="str">
        <f>IF(COUNTIF(Sheet2!B:B, A1649) &gt; 0, "Yes", "No")</f>
        <v>No</v>
      </c>
    </row>
    <row r="1650" spans="1:18" x14ac:dyDescent="0.25">
      <c r="A1650" s="3">
        <v>45343</v>
      </c>
      <c r="B1650" t="s">
        <v>470</v>
      </c>
      <c r="C1650" t="s">
        <v>51</v>
      </c>
      <c r="D1650" t="s">
        <v>20</v>
      </c>
      <c r="E1650" t="s">
        <v>21</v>
      </c>
      <c r="F1650" t="s">
        <v>49</v>
      </c>
      <c r="G1650" t="s">
        <v>50</v>
      </c>
      <c r="H1650" t="s">
        <v>49</v>
      </c>
      <c r="I1650">
        <v>0.09</v>
      </c>
      <c r="J1650">
        <f t="shared" si="75"/>
        <v>69.3</v>
      </c>
      <c r="K1650">
        <v>0</v>
      </c>
      <c r="L1650">
        <f t="shared" si="76"/>
        <v>69.3</v>
      </c>
      <c r="M1650" s="4">
        <f t="shared" si="77"/>
        <v>8.1529411764705878E-2</v>
      </c>
      <c r="N1650">
        <v>850</v>
      </c>
      <c r="O1650">
        <v>770</v>
      </c>
      <c r="P1650" t="s">
        <v>25</v>
      </c>
      <c r="Q1650" t="s">
        <v>26</v>
      </c>
      <c r="R1650" t="str">
        <f>IF(COUNTIF(Sheet2!B:B, A1650) &gt; 0, "Yes", "No")</f>
        <v>No</v>
      </c>
    </row>
    <row r="1651" spans="1:18" x14ac:dyDescent="0.25">
      <c r="A1651" s="3">
        <v>45344</v>
      </c>
      <c r="B1651" t="s">
        <v>470</v>
      </c>
      <c r="C1651" t="s">
        <v>66</v>
      </c>
      <c r="D1651" t="s">
        <v>20</v>
      </c>
      <c r="E1651" t="s">
        <v>67</v>
      </c>
      <c r="F1651" t="s">
        <v>22</v>
      </c>
      <c r="G1651" t="s">
        <v>23</v>
      </c>
      <c r="H1651" t="s">
        <v>196</v>
      </c>
      <c r="I1651">
        <v>8.5000000000000006E-2</v>
      </c>
      <c r="J1651">
        <f t="shared" si="75"/>
        <v>65.45</v>
      </c>
      <c r="K1651">
        <v>0</v>
      </c>
      <c r="L1651">
        <f t="shared" si="76"/>
        <v>65.45</v>
      </c>
      <c r="M1651" s="4">
        <f t="shared" si="77"/>
        <v>7.6999999999999999E-2</v>
      </c>
      <c r="N1651">
        <v>850</v>
      </c>
      <c r="O1651">
        <v>770</v>
      </c>
      <c r="P1651" t="s">
        <v>25</v>
      </c>
      <c r="Q1651" t="s">
        <v>26</v>
      </c>
      <c r="R1651" t="str">
        <f>IF(COUNTIF(Sheet2!B:B, A1651) &gt; 0, "Yes", "No")</f>
        <v>No</v>
      </c>
    </row>
    <row r="1652" spans="1:18" x14ac:dyDescent="0.25">
      <c r="A1652" s="3">
        <v>45344</v>
      </c>
      <c r="B1652" t="s">
        <v>470</v>
      </c>
      <c r="C1652" t="s">
        <v>66</v>
      </c>
      <c r="D1652" t="s">
        <v>20</v>
      </c>
      <c r="E1652" t="s">
        <v>67</v>
      </c>
      <c r="F1652" t="s">
        <v>27</v>
      </c>
      <c r="G1652" t="s">
        <v>780</v>
      </c>
      <c r="H1652" t="s">
        <v>149</v>
      </c>
      <c r="I1652">
        <v>0.11</v>
      </c>
      <c r="J1652">
        <f t="shared" si="75"/>
        <v>84.7</v>
      </c>
      <c r="K1652">
        <v>3</v>
      </c>
      <c r="L1652">
        <f t="shared" si="76"/>
        <v>81.7</v>
      </c>
      <c r="M1652" s="4">
        <f t="shared" si="77"/>
        <v>9.611764705882353E-2</v>
      </c>
      <c r="N1652">
        <v>850</v>
      </c>
      <c r="O1652">
        <v>770</v>
      </c>
      <c r="P1652" t="s">
        <v>25</v>
      </c>
      <c r="Q1652" t="s">
        <v>26</v>
      </c>
      <c r="R1652" t="str">
        <f>IF(COUNTIF(Sheet2!B:B, A1652) &gt; 0, "Yes", "No")</f>
        <v>No</v>
      </c>
    </row>
    <row r="1653" spans="1:18" x14ac:dyDescent="0.25">
      <c r="A1653" s="3">
        <v>45344</v>
      </c>
      <c r="B1653" t="s">
        <v>470</v>
      </c>
      <c r="C1653" t="s">
        <v>66</v>
      </c>
      <c r="D1653" t="s">
        <v>20</v>
      </c>
      <c r="E1653" t="s">
        <v>67</v>
      </c>
      <c r="F1653" t="s">
        <v>30</v>
      </c>
      <c r="G1653" t="s">
        <v>55</v>
      </c>
      <c r="H1653" t="s">
        <v>56</v>
      </c>
      <c r="I1653">
        <v>0.09</v>
      </c>
      <c r="J1653">
        <f t="shared" si="75"/>
        <v>69.3</v>
      </c>
      <c r="K1653">
        <v>0</v>
      </c>
      <c r="L1653">
        <f t="shared" si="76"/>
        <v>69.3</v>
      </c>
      <c r="M1653" s="4">
        <f t="shared" si="77"/>
        <v>8.1529411764705878E-2</v>
      </c>
      <c r="N1653">
        <v>850</v>
      </c>
      <c r="O1653">
        <v>770</v>
      </c>
      <c r="P1653" t="s">
        <v>25</v>
      </c>
      <c r="Q1653" t="s">
        <v>26</v>
      </c>
      <c r="R1653" t="str">
        <f>IF(COUNTIF(Sheet2!B:B, A1653) &gt; 0, "Yes", "No")</f>
        <v>No</v>
      </c>
    </row>
    <row r="1654" spans="1:18" x14ac:dyDescent="0.25">
      <c r="A1654" s="3">
        <v>45344</v>
      </c>
      <c r="B1654" t="s">
        <v>470</v>
      </c>
      <c r="C1654" t="s">
        <v>66</v>
      </c>
      <c r="D1654" t="s">
        <v>20</v>
      </c>
      <c r="E1654" t="s">
        <v>67</v>
      </c>
      <c r="F1654" t="s">
        <v>37</v>
      </c>
      <c r="G1654" t="s">
        <v>38</v>
      </c>
      <c r="H1654" t="s">
        <v>39</v>
      </c>
      <c r="I1654">
        <v>3.5000000000000003E-2</v>
      </c>
      <c r="J1654">
        <f t="shared" si="75"/>
        <v>26.950000000000003</v>
      </c>
      <c r="K1654">
        <v>0.5</v>
      </c>
      <c r="L1654">
        <f t="shared" si="76"/>
        <v>26.450000000000003</v>
      </c>
      <c r="M1654" s="4">
        <f t="shared" si="77"/>
        <v>3.1117647058823531E-2</v>
      </c>
      <c r="N1654">
        <v>850</v>
      </c>
      <c r="O1654">
        <v>770</v>
      </c>
      <c r="P1654" t="s">
        <v>25</v>
      </c>
      <c r="Q1654" t="s">
        <v>26</v>
      </c>
      <c r="R1654" t="str">
        <f>IF(COUNTIF(Sheet2!B:B, A1654) &gt; 0, "Yes", "No")</f>
        <v>No</v>
      </c>
    </row>
    <row r="1655" spans="1:18" x14ac:dyDescent="0.25">
      <c r="A1655" s="3">
        <v>45344</v>
      </c>
      <c r="B1655" t="s">
        <v>470</v>
      </c>
      <c r="C1655" t="s">
        <v>66</v>
      </c>
      <c r="D1655" t="s">
        <v>20</v>
      </c>
      <c r="E1655" t="s">
        <v>67</v>
      </c>
      <c r="F1655" t="s">
        <v>40</v>
      </c>
      <c r="G1655" t="s">
        <v>61</v>
      </c>
      <c r="H1655" t="s">
        <v>62</v>
      </c>
      <c r="I1655">
        <v>0.05</v>
      </c>
      <c r="J1655">
        <f t="shared" si="75"/>
        <v>38.5</v>
      </c>
      <c r="K1655">
        <v>0</v>
      </c>
      <c r="L1655">
        <f t="shared" si="76"/>
        <v>38.5</v>
      </c>
      <c r="M1655" s="4">
        <f t="shared" si="77"/>
        <v>4.5294117647058825E-2</v>
      </c>
      <c r="N1655">
        <v>850</v>
      </c>
      <c r="O1655">
        <v>770</v>
      </c>
      <c r="P1655" t="s">
        <v>25</v>
      </c>
      <c r="Q1655" t="s">
        <v>26</v>
      </c>
      <c r="R1655" t="str">
        <f>IF(COUNTIF(Sheet2!B:B, A1655) &gt; 0, "Yes", "No")</f>
        <v>No</v>
      </c>
    </row>
    <row r="1656" spans="1:18" x14ac:dyDescent="0.25">
      <c r="A1656" s="3">
        <v>45344</v>
      </c>
      <c r="B1656" t="s">
        <v>470</v>
      </c>
      <c r="C1656" t="s">
        <v>66</v>
      </c>
      <c r="D1656" t="s">
        <v>20</v>
      </c>
      <c r="E1656" t="s">
        <v>67</v>
      </c>
      <c r="F1656" t="s">
        <v>43</v>
      </c>
      <c r="G1656" t="s">
        <v>301</v>
      </c>
      <c r="H1656" t="s">
        <v>490</v>
      </c>
      <c r="I1656">
        <v>0.11</v>
      </c>
      <c r="J1656">
        <f t="shared" si="75"/>
        <v>84.7</v>
      </c>
      <c r="K1656">
        <v>2</v>
      </c>
      <c r="L1656">
        <f t="shared" si="76"/>
        <v>82.7</v>
      </c>
      <c r="M1656" s="4">
        <f t="shared" si="77"/>
        <v>9.7294117647058823E-2</v>
      </c>
      <c r="N1656">
        <v>850</v>
      </c>
      <c r="O1656">
        <v>770</v>
      </c>
      <c r="P1656" t="s">
        <v>25</v>
      </c>
      <c r="Q1656" t="s">
        <v>26</v>
      </c>
      <c r="R1656" t="str">
        <f>IF(COUNTIF(Sheet2!B:B, A1656) &gt; 0, "Yes", "No")</f>
        <v>No</v>
      </c>
    </row>
    <row r="1657" spans="1:18" x14ac:dyDescent="0.25">
      <c r="A1657" s="3">
        <v>45344</v>
      </c>
      <c r="B1657" t="s">
        <v>470</v>
      </c>
      <c r="C1657" t="s">
        <v>66</v>
      </c>
      <c r="D1657" t="s">
        <v>20</v>
      </c>
      <c r="E1657" t="s">
        <v>67</v>
      </c>
      <c r="F1657" t="s">
        <v>46</v>
      </c>
      <c r="G1657" t="s">
        <v>412</v>
      </c>
      <c r="H1657" t="s">
        <v>491</v>
      </c>
      <c r="I1657">
        <v>8.5000000000000006E-2</v>
      </c>
      <c r="J1657">
        <f t="shared" si="75"/>
        <v>65.45</v>
      </c>
      <c r="K1657">
        <v>0</v>
      </c>
      <c r="L1657">
        <f t="shared" si="76"/>
        <v>65.45</v>
      </c>
      <c r="M1657" s="4">
        <f t="shared" si="77"/>
        <v>7.6999999999999999E-2</v>
      </c>
      <c r="N1657">
        <v>850</v>
      </c>
      <c r="O1657">
        <v>770</v>
      </c>
      <c r="P1657" t="s">
        <v>25</v>
      </c>
      <c r="Q1657" t="s">
        <v>26</v>
      </c>
      <c r="R1657" t="str">
        <f>IF(COUNTIF(Sheet2!B:B, A1657) &gt; 0, "Yes", "No")</f>
        <v>No</v>
      </c>
    </row>
    <row r="1658" spans="1:18" x14ac:dyDescent="0.25">
      <c r="A1658" s="3">
        <v>45344</v>
      </c>
      <c r="B1658" t="s">
        <v>470</v>
      </c>
      <c r="C1658" t="s">
        <v>66</v>
      </c>
      <c r="D1658" t="s">
        <v>20</v>
      </c>
      <c r="E1658" t="s">
        <v>67</v>
      </c>
      <c r="F1658" t="s">
        <v>49</v>
      </c>
      <c r="G1658" t="s">
        <v>50</v>
      </c>
      <c r="H1658" t="s">
        <v>49</v>
      </c>
      <c r="I1658">
        <v>0.09</v>
      </c>
      <c r="J1658">
        <f t="shared" si="75"/>
        <v>69.3</v>
      </c>
      <c r="K1658">
        <v>2</v>
      </c>
      <c r="L1658">
        <f t="shared" si="76"/>
        <v>67.3</v>
      </c>
      <c r="M1658" s="4">
        <f t="shared" si="77"/>
        <v>7.9176470588235293E-2</v>
      </c>
      <c r="N1658">
        <v>850</v>
      </c>
      <c r="O1658">
        <v>770</v>
      </c>
      <c r="P1658" t="s">
        <v>25</v>
      </c>
      <c r="Q1658" t="s">
        <v>26</v>
      </c>
      <c r="R1658" t="str">
        <f>IF(COUNTIF(Sheet2!B:B, A1658) &gt; 0, "Yes", "No")</f>
        <v>No</v>
      </c>
    </row>
    <row r="1659" spans="1:18" x14ac:dyDescent="0.25">
      <c r="A1659" s="3">
        <v>45345</v>
      </c>
      <c r="B1659" t="s">
        <v>470</v>
      </c>
      <c r="C1659" t="s">
        <v>79</v>
      </c>
      <c r="D1659" t="s">
        <v>20</v>
      </c>
      <c r="E1659" t="s">
        <v>21</v>
      </c>
      <c r="F1659" t="s">
        <v>22</v>
      </c>
      <c r="G1659" t="s">
        <v>52</v>
      </c>
      <c r="H1659" t="s">
        <v>53</v>
      </c>
      <c r="I1659" s="5">
        <v>0.06</v>
      </c>
      <c r="J1659">
        <f t="shared" si="75"/>
        <v>40.799999999999997</v>
      </c>
      <c r="K1659">
        <v>3</v>
      </c>
      <c r="L1659">
        <f t="shared" si="76"/>
        <v>37.799999999999997</v>
      </c>
      <c r="M1659" s="4">
        <f t="shared" si="77"/>
        <v>5.0399999999999993E-2</v>
      </c>
      <c r="N1659">
        <v>750</v>
      </c>
      <c r="O1659">
        <v>680</v>
      </c>
      <c r="P1659" t="s">
        <v>25</v>
      </c>
      <c r="Q1659" t="s">
        <v>26</v>
      </c>
      <c r="R1659" t="str">
        <f>IF(COUNTIF(Sheet2!B:B, A1659) &gt; 0, "Yes", "No")</f>
        <v>Yes</v>
      </c>
    </row>
    <row r="1660" spans="1:18" x14ac:dyDescent="0.25">
      <c r="A1660" s="3">
        <v>45345</v>
      </c>
      <c r="B1660" t="s">
        <v>470</v>
      </c>
      <c r="C1660" t="s">
        <v>79</v>
      </c>
      <c r="D1660" t="s">
        <v>20</v>
      </c>
      <c r="E1660" t="s">
        <v>21</v>
      </c>
      <c r="F1660" t="s">
        <v>27</v>
      </c>
      <c r="G1660" t="s">
        <v>81</v>
      </c>
      <c r="H1660" t="s">
        <v>492</v>
      </c>
      <c r="I1660" s="5">
        <v>0.1</v>
      </c>
      <c r="J1660">
        <f t="shared" si="75"/>
        <v>68</v>
      </c>
      <c r="K1660">
        <v>3</v>
      </c>
      <c r="L1660">
        <f t="shared" si="76"/>
        <v>65</v>
      </c>
      <c r="M1660" s="4">
        <f t="shared" si="77"/>
        <v>8.666666666666667E-2</v>
      </c>
      <c r="N1660">
        <v>750</v>
      </c>
      <c r="O1660">
        <v>680</v>
      </c>
      <c r="P1660" t="s">
        <v>25</v>
      </c>
      <c r="Q1660" t="s">
        <v>26</v>
      </c>
      <c r="R1660" t="str">
        <f>IF(COUNTIF(Sheet2!B:B, A1660) &gt; 0, "Yes", "No")</f>
        <v>Yes</v>
      </c>
    </row>
    <row r="1661" spans="1:18" x14ac:dyDescent="0.25">
      <c r="A1661" s="3">
        <v>45345</v>
      </c>
      <c r="B1661" t="s">
        <v>470</v>
      </c>
      <c r="C1661" t="s">
        <v>79</v>
      </c>
      <c r="D1661" t="s">
        <v>20</v>
      </c>
      <c r="E1661" t="s">
        <v>21</v>
      </c>
      <c r="F1661" t="s">
        <v>30</v>
      </c>
      <c r="G1661" t="s">
        <v>55</v>
      </c>
      <c r="H1661" t="s">
        <v>83</v>
      </c>
      <c r="I1661" s="5">
        <v>0.06</v>
      </c>
      <c r="J1661">
        <f t="shared" si="75"/>
        <v>40.799999999999997</v>
      </c>
      <c r="K1661">
        <v>1</v>
      </c>
      <c r="L1661">
        <f t="shared" si="76"/>
        <v>39.799999999999997</v>
      </c>
      <c r="M1661" s="4">
        <f t="shared" si="77"/>
        <v>5.3066666666666665E-2</v>
      </c>
      <c r="N1661">
        <v>750</v>
      </c>
      <c r="O1661">
        <v>680</v>
      </c>
      <c r="P1661" t="s">
        <v>25</v>
      </c>
      <c r="Q1661" t="s">
        <v>26</v>
      </c>
      <c r="R1661" t="str">
        <f>IF(COUNTIF(Sheet2!B:B, A1661) &gt; 0, "Yes", "No")</f>
        <v>Yes</v>
      </c>
    </row>
    <row r="1662" spans="1:18" x14ac:dyDescent="0.25">
      <c r="A1662" s="3">
        <v>45345</v>
      </c>
      <c r="B1662" t="s">
        <v>470</v>
      </c>
      <c r="C1662" t="s">
        <v>79</v>
      </c>
      <c r="D1662" t="s">
        <v>33</v>
      </c>
      <c r="E1662" t="s">
        <v>21</v>
      </c>
      <c r="F1662" t="s">
        <v>84</v>
      </c>
      <c r="G1662" t="s">
        <v>85</v>
      </c>
      <c r="H1662" t="s">
        <v>455</v>
      </c>
      <c r="I1662" s="5">
        <v>0.3</v>
      </c>
      <c r="J1662">
        <f t="shared" si="75"/>
        <v>142.5</v>
      </c>
      <c r="K1662">
        <v>0</v>
      </c>
      <c r="L1662">
        <f t="shared" si="76"/>
        <v>142.5</v>
      </c>
      <c r="M1662" s="4">
        <f t="shared" si="77"/>
        <v>0.27142857142857141</v>
      </c>
      <c r="N1662">
        <v>525</v>
      </c>
      <c r="O1662">
        <v>475</v>
      </c>
      <c r="P1662" t="s">
        <v>25</v>
      </c>
      <c r="Q1662" t="s">
        <v>26</v>
      </c>
      <c r="R1662" t="str">
        <f>IF(COUNTIF(Sheet2!B:B, A1662) &gt; 0, "Yes", "No")</f>
        <v>Yes</v>
      </c>
    </row>
    <row r="1663" spans="1:18" x14ac:dyDescent="0.25">
      <c r="A1663" s="3">
        <v>45345</v>
      </c>
      <c r="B1663" t="s">
        <v>470</v>
      </c>
      <c r="C1663" t="s">
        <v>79</v>
      </c>
      <c r="D1663" t="s">
        <v>20</v>
      </c>
      <c r="E1663" t="s">
        <v>21</v>
      </c>
      <c r="F1663" t="s">
        <v>37</v>
      </c>
      <c r="G1663" t="s">
        <v>71</v>
      </c>
      <c r="H1663" t="s">
        <v>151</v>
      </c>
      <c r="I1663" s="5">
        <v>2.5000000000000001E-2</v>
      </c>
      <c r="J1663">
        <f t="shared" si="75"/>
        <v>17</v>
      </c>
      <c r="K1663">
        <v>2</v>
      </c>
      <c r="L1663">
        <f t="shared" si="76"/>
        <v>15</v>
      </c>
      <c r="M1663" s="4">
        <f t="shared" si="77"/>
        <v>0.02</v>
      </c>
      <c r="N1663">
        <v>750</v>
      </c>
      <c r="O1663">
        <v>680</v>
      </c>
      <c r="P1663" t="s">
        <v>25</v>
      </c>
      <c r="Q1663" t="s">
        <v>26</v>
      </c>
      <c r="R1663" t="str">
        <f>IF(COUNTIF(Sheet2!B:B, A1663) &gt; 0, "Yes", "No")</f>
        <v>Yes</v>
      </c>
    </row>
    <row r="1664" spans="1:18" x14ac:dyDescent="0.25">
      <c r="A1664" s="3">
        <v>45345</v>
      </c>
      <c r="B1664" t="s">
        <v>470</v>
      </c>
      <c r="C1664" t="s">
        <v>79</v>
      </c>
      <c r="D1664" t="s">
        <v>20</v>
      </c>
      <c r="E1664" t="s">
        <v>21</v>
      </c>
      <c r="F1664" t="s">
        <v>40</v>
      </c>
      <c r="G1664" t="s">
        <v>61</v>
      </c>
      <c r="H1664" t="s">
        <v>119</v>
      </c>
      <c r="I1664" s="5">
        <v>0.04</v>
      </c>
      <c r="J1664">
        <f t="shared" si="75"/>
        <v>27.2</v>
      </c>
      <c r="K1664">
        <v>3</v>
      </c>
      <c r="L1664">
        <f t="shared" si="76"/>
        <v>24.2</v>
      </c>
      <c r="M1664" s="4">
        <f t="shared" si="77"/>
        <v>3.2266666666666666E-2</v>
      </c>
      <c r="N1664">
        <v>750</v>
      </c>
      <c r="O1664">
        <v>680</v>
      </c>
      <c r="P1664" t="s">
        <v>25</v>
      </c>
      <c r="Q1664" t="s">
        <v>26</v>
      </c>
      <c r="R1664" t="str">
        <f>IF(COUNTIF(Sheet2!B:B, A1664) &gt; 0, "Yes", "No")</f>
        <v>Yes</v>
      </c>
    </row>
    <row r="1665" spans="1:18" x14ac:dyDescent="0.25">
      <c r="A1665" s="3">
        <v>45345</v>
      </c>
      <c r="B1665" t="s">
        <v>470</v>
      </c>
      <c r="C1665" t="s">
        <v>79</v>
      </c>
      <c r="D1665" t="s">
        <v>20</v>
      </c>
      <c r="E1665" t="s">
        <v>21</v>
      </c>
      <c r="F1665" t="s">
        <v>43</v>
      </c>
      <c r="G1665" t="s">
        <v>159</v>
      </c>
      <c r="H1665" t="s">
        <v>493</v>
      </c>
      <c r="I1665" s="5">
        <v>0.08</v>
      </c>
      <c r="J1665">
        <f t="shared" si="75"/>
        <v>54.4</v>
      </c>
      <c r="K1665">
        <v>6</v>
      </c>
      <c r="L1665">
        <f t="shared" si="76"/>
        <v>48.4</v>
      </c>
      <c r="M1665" s="4">
        <f t="shared" si="77"/>
        <v>6.4533333333333331E-2</v>
      </c>
      <c r="N1665">
        <v>750</v>
      </c>
      <c r="O1665">
        <v>680</v>
      </c>
      <c r="P1665" t="s">
        <v>25</v>
      </c>
      <c r="Q1665" t="s">
        <v>26</v>
      </c>
      <c r="R1665" t="str">
        <f>IF(COUNTIF(Sheet2!B:B, A1665) &gt; 0, "Yes", "No")</f>
        <v>Yes</v>
      </c>
    </row>
    <row r="1666" spans="1:18" x14ac:dyDescent="0.25">
      <c r="A1666" s="3">
        <v>45345</v>
      </c>
      <c r="B1666" t="s">
        <v>470</v>
      </c>
      <c r="C1666" t="s">
        <v>79</v>
      </c>
      <c r="D1666" t="s">
        <v>20</v>
      </c>
      <c r="E1666" t="s">
        <v>21</v>
      </c>
      <c r="F1666" t="s">
        <v>46</v>
      </c>
      <c r="G1666" t="s">
        <v>169</v>
      </c>
      <c r="H1666" t="s">
        <v>494</v>
      </c>
      <c r="I1666" s="5">
        <v>0.06</v>
      </c>
      <c r="J1666">
        <f t="shared" si="75"/>
        <v>40.799999999999997</v>
      </c>
      <c r="K1666">
        <v>3</v>
      </c>
      <c r="L1666">
        <f t="shared" si="76"/>
        <v>37.799999999999997</v>
      </c>
      <c r="M1666" s="4">
        <f t="shared" si="77"/>
        <v>5.0399999999999993E-2</v>
      </c>
      <c r="N1666">
        <v>750</v>
      </c>
      <c r="O1666">
        <v>680</v>
      </c>
      <c r="P1666" t="s">
        <v>25</v>
      </c>
      <c r="Q1666" t="s">
        <v>26</v>
      </c>
      <c r="R1666" t="str">
        <f>IF(COUNTIF(Sheet2!B:B, A1666) &gt; 0, "Yes", "No")</f>
        <v>Yes</v>
      </c>
    </row>
    <row r="1667" spans="1:18" x14ac:dyDescent="0.25">
      <c r="A1667" s="3">
        <v>45345</v>
      </c>
      <c r="B1667" t="s">
        <v>470</v>
      </c>
      <c r="C1667" t="s">
        <v>79</v>
      </c>
      <c r="D1667" t="s">
        <v>20</v>
      </c>
      <c r="E1667" t="s">
        <v>21</v>
      </c>
      <c r="F1667" t="s">
        <v>49</v>
      </c>
      <c r="G1667" t="s">
        <v>50</v>
      </c>
      <c r="H1667" t="s">
        <v>49</v>
      </c>
      <c r="I1667" s="5">
        <v>0.04</v>
      </c>
      <c r="J1667">
        <f t="shared" ref="J1667:J1730" si="78">I1667*O1667</f>
        <v>27.2</v>
      </c>
      <c r="K1667">
        <v>2</v>
      </c>
      <c r="L1667">
        <f t="shared" ref="L1667:L1730" si="79">J1667-K1667</f>
        <v>25.2</v>
      </c>
      <c r="M1667" s="4">
        <f t="shared" ref="M1667:M1730" si="80">((I1667*O1667)-K1667)/N1667</f>
        <v>3.3599999999999998E-2</v>
      </c>
      <c r="N1667">
        <v>750</v>
      </c>
      <c r="O1667">
        <v>680</v>
      </c>
      <c r="P1667" t="s">
        <v>25</v>
      </c>
      <c r="Q1667" t="s">
        <v>26</v>
      </c>
      <c r="R1667" t="str">
        <f>IF(COUNTIF(Sheet2!B:B, A1667) &gt; 0, "Yes", "No")</f>
        <v>Yes</v>
      </c>
    </row>
    <row r="1668" spans="1:18" x14ac:dyDescent="0.25">
      <c r="A1668" s="3">
        <v>45349</v>
      </c>
      <c r="B1668" t="s">
        <v>470</v>
      </c>
      <c r="C1668" t="s">
        <v>105</v>
      </c>
      <c r="D1668" t="s">
        <v>20</v>
      </c>
      <c r="E1668" t="s">
        <v>67</v>
      </c>
      <c r="F1668" t="s">
        <v>22</v>
      </c>
      <c r="G1668" t="s">
        <v>94</v>
      </c>
      <c r="H1668" t="s">
        <v>294</v>
      </c>
      <c r="I1668">
        <v>8.5000000000000006E-2</v>
      </c>
      <c r="J1668">
        <f t="shared" si="78"/>
        <v>65.45</v>
      </c>
      <c r="K1668">
        <v>1</v>
      </c>
      <c r="L1668">
        <f t="shared" si="79"/>
        <v>64.45</v>
      </c>
      <c r="M1668" s="4">
        <f t="shared" si="80"/>
        <v>7.5823529411764706E-2</v>
      </c>
      <c r="N1668">
        <v>850</v>
      </c>
      <c r="O1668">
        <v>770</v>
      </c>
      <c r="P1668" t="s">
        <v>25</v>
      </c>
      <c r="Q1668" t="s">
        <v>26</v>
      </c>
      <c r="R1668" t="str">
        <f>IF(COUNTIF(Sheet2!B:B, A1668) &gt; 0, "Yes", "No")</f>
        <v>No</v>
      </c>
    </row>
    <row r="1669" spans="1:18" x14ac:dyDescent="0.25">
      <c r="A1669" s="3">
        <v>45349</v>
      </c>
      <c r="B1669" t="s">
        <v>470</v>
      </c>
      <c r="C1669" t="s">
        <v>105</v>
      </c>
      <c r="D1669" t="s">
        <v>20</v>
      </c>
      <c r="E1669" t="s">
        <v>67</v>
      </c>
      <c r="F1669" t="s">
        <v>27</v>
      </c>
      <c r="G1669" t="s">
        <v>28</v>
      </c>
      <c r="H1669" t="s">
        <v>291</v>
      </c>
      <c r="I1669">
        <v>0.11</v>
      </c>
      <c r="J1669">
        <f t="shared" si="78"/>
        <v>84.7</v>
      </c>
      <c r="K1669">
        <v>1</v>
      </c>
      <c r="L1669">
        <f t="shared" si="79"/>
        <v>83.7</v>
      </c>
      <c r="M1669" s="4">
        <f t="shared" si="80"/>
        <v>9.8470588235294115E-2</v>
      </c>
      <c r="N1669">
        <v>850</v>
      </c>
      <c r="O1669">
        <v>770</v>
      </c>
      <c r="P1669" t="s">
        <v>25</v>
      </c>
      <c r="Q1669" t="s">
        <v>26</v>
      </c>
      <c r="R1669" t="str">
        <f>IF(COUNTIF(Sheet2!B:B, A1669) &gt; 0, "Yes", "No")</f>
        <v>No</v>
      </c>
    </row>
    <row r="1670" spans="1:18" x14ac:dyDescent="0.25">
      <c r="A1670" s="3">
        <v>45349</v>
      </c>
      <c r="B1670" t="s">
        <v>470</v>
      </c>
      <c r="C1670" t="s">
        <v>105</v>
      </c>
      <c r="D1670" t="s">
        <v>20</v>
      </c>
      <c r="E1670" t="s">
        <v>67</v>
      </c>
      <c r="F1670" t="s">
        <v>30</v>
      </c>
      <c r="G1670" t="s">
        <v>55</v>
      </c>
      <c r="H1670" t="s">
        <v>183</v>
      </c>
      <c r="I1670">
        <v>0.09</v>
      </c>
      <c r="J1670">
        <f t="shared" si="78"/>
        <v>69.3</v>
      </c>
      <c r="K1670">
        <v>1</v>
      </c>
      <c r="L1670">
        <f t="shared" si="79"/>
        <v>68.3</v>
      </c>
      <c r="M1670" s="4">
        <f t="shared" si="80"/>
        <v>8.0352941176470585E-2</v>
      </c>
      <c r="N1670">
        <v>850</v>
      </c>
      <c r="O1670">
        <v>770</v>
      </c>
      <c r="P1670" t="s">
        <v>25</v>
      </c>
      <c r="Q1670" t="s">
        <v>26</v>
      </c>
      <c r="R1670" t="str">
        <f>IF(COUNTIF(Sheet2!B:B, A1670) &gt; 0, "Yes", "No")</f>
        <v>No</v>
      </c>
    </row>
    <row r="1671" spans="1:18" x14ac:dyDescent="0.25">
      <c r="A1671" s="3">
        <v>45349</v>
      </c>
      <c r="B1671" t="s">
        <v>470</v>
      </c>
      <c r="C1671" t="s">
        <v>105</v>
      </c>
      <c r="D1671" t="s">
        <v>20</v>
      </c>
      <c r="E1671" t="s">
        <v>67</v>
      </c>
      <c r="F1671" t="s">
        <v>37</v>
      </c>
      <c r="G1671" t="s">
        <v>71</v>
      </c>
      <c r="H1671" t="s">
        <v>72</v>
      </c>
      <c r="I1671">
        <v>3.5000000000000003E-2</v>
      </c>
      <c r="J1671">
        <f t="shared" si="78"/>
        <v>26.950000000000003</v>
      </c>
      <c r="K1671">
        <v>1</v>
      </c>
      <c r="L1671">
        <f t="shared" si="79"/>
        <v>25.950000000000003</v>
      </c>
      <c r="M1671" s="4">
        <f t="shared" si="80"/>
        <v>3.0529411764705885E-2</v>
      </c>
      <c r="N1671">
        <v>850</v>
      </c>
      <c r="O1671">
        <v>770</v>
      </c>
      <c r="P1671" t="s">
        <v>25</v>
      </c>
      <c r="Q1671" t="s">
        <v>26</v>
      </c>
      <c r="R1671" t="str">
        <f>IF(COUNTIF(Sheet2!B:B, A1671) &gt; 0, "Yes", "No")</f>
        <v>No</v>
      </c>
    </row>
    <row r="1672" spans="1:18" x14ac:dyDescent="0.25">
      <c r="A1672" s="3">
        <v>45349</v>
      </c>
      <c r="B1672" t="s">
        <v>470</v>
      </c>
      <c r="C1672" t="s">
        <v>105</v>
      </c>
      <c r="D1672" t="s">
        <v>20</v>
      </c>
      <c r="E1672" t="s">
        <v>67</v>
      </c>
      <c r="F1672" t="s">
        <v>40</v>
      </c>
      <c r="G1672" t="s">
        <v>164</v>
      </c>
      <c r="H1672" t="s">
        <v>202</v>
      </c>
      <c r="I1672">
        <v>0.05</v>
      </c>
      <c r="J1672">
        <f t="shared" si="78"/>
        <v>38.5</v>
      </c>
      <c r="K1672">
        <v>1</v>
      </c>
      <c r="L1672">
        <f t="shared" si="79"/>
        <v>37.5</v>
      </c>
      <c r="M1672" s="4">
        <f t="shared" si="80"/>
        <v>4.4117647058823532E-2</v>
      </c>
      <c r="N1672">
        <v>850</v>
      </c>
      <c r="O1672">
        <v>770</v>
      </c>
      <c r="P1672" t="s">
        <v>25</v>
      </c>
      <c r="Q1672" t="s">
        <v>26</v>
      </c>
      <c r="R1672" t="str">
        <f>IF(COUNTIF(Sheet2!B:B, A1672) &gt; 0, "Yes", "No")</f>
        <v>No</v>
      </c>
    </row>
    <row r="1673" spans="1:18" x14ac:dyDescent="0.25">
      <c r="A1673" s="3">
        <v>45349</v>
      </c>
      <c r="B1673" t="s">
        <v>470</v>
      </c>
      <c r="C1673" t="s">
        <v>105</v>
      </c>
      <c r="D1673" t="s">
        <v>20</v>
      </c>
      <c r="E1673" t="s">
        <v>67</v>
      </c>
      <c r="F1673" t="s">
        <v>43</v>
      </c>
      <c r="G1673" t="s">
        <v>139</v>
      </c>
      <c r="H1673" t="s">
        <v>495</v>
      </c>
      <c r="I1673">
        <v>0.11</v>
      </c>
      <c r="J1673">
        <f t="shared" si="78"/>
        <v>84.7</v>
      </c>
      <c r="K1673">
        <v>1</v>
      </c>
      <c r="L1673">
        <f t="shared" si="79"/>
        <v>83.7</v>
      </c>
      <c r="M1673" s="4">
        <f t="shared" si="80"/>
        <v>9.8470588235294115E-2</v>
      </c>
      <c r="N1673">
        <v>850</v>
      </c>
      <c r="O1673">
        <v>770</v>
      </c>
      <c r="P1673" t="s">
        <v>25</v>
      </c>
      <c r="Q1673" t="s">
        <v>26</v>
      </c>
      <c r="R1673" t="str">
        <f>IF(COUNTIF(Sheet2!B:B, A1673) &gt; 0, "Yes", "No")</f>
        <v>No</v>
      </c>
    </row>
    <row r="1674" spans="1:18" x14ac:dyDescent="0.25">
      <c r="A1674" s="3">
        <v>45349</v>
      </c>
      <c r="B1674" t="s">
        <v>470</v>
      </c>
      <c r="C1674" t="s">
        <v>105</v>
      </c>
      <c r="D1674" t="s">
        <v>20</v>
      </c>
      <c r="E1674" t="s">
        <v>67</v>
      </c>
      <c r="F1674" t="s">
        <v>46</v>
      </c>
      <c r="G1674" t="s">
        <v>47</v>
      </c>
      <c r="H1674" t="s">
        <v>65</v>
      </c>
      <c r="I1674">
        <v>8.5000000000000006E-2</v>
      </c>
      <c r="J1674">
        <f t="shared" si="78"/>
        <v>65.45</v>
      </c>
      <c r="K1674">
        <v>1</v>
      </c>
      <c r="L1674">
        <f t="shared" si="79"/>
        <v>64.45</v>
      </c>
      <c r="M1674" s="4">
        <f t="shared" si="80"/>
        <v>7.5823529411764706E-2</v>
      </c>
      <c r="N1674">
        <v>850</v>
      </c>
      <c r="O1674">
        <v>770</v>
      </c>
      <c r="P1674" t="s">
        <v>25</v>
      </c>
      <c r="Q1674" t="s">
        <v>26</v>
      </c>
      <c r="R1674" t="str">
        <f>IF(COUNTIF(Sheet2!B:B, A1674) &gt; 0, "Yes", "No")</f>
        <v>No</v>
      </c>
    </row>
    <row r="1675" spans="1:18" x14ac:dyDescent="0.25">
      <c r="A1675" s="3">
        <v>45349</v>
      </c>
      <c r="B1675" t="s">
        <v>470</v>
      </c>
      <c r="C1675" t="s">
        <v>105</v>
      </c>
      <c r="D1675" t="s">
        <v>20</v>
      </c>
      <c r="E1675" t="s">
        <v>67</v>
      </c>
      <c r="F1675" t="s">
        <v>49</v>
      </c>
      <c r="G1675" t="s">
        <v>50</v>
      </c>
      <c r="H1675" t="s">
        <v>49</v>
      </c>
      <c r="I1675">
        <v>0.09</v>
      </c>
      <c r="J1675">
        <f t="shared" si="78"/>
        <v>69.3</v>
      </c>
      <c r="K1675">
        <v>1</v>
      </c>
      <c r="L1675">
        <f t="shared" si="79"/>
        <v>68.3</v>
      </c>
      <c r="M1675" s="4">
        <f t="shared" si="80"/>
        <v>8.0352941176470585E-2</v>
      </c>
      <c r="N1675">
        <v>850</v>
      </c>
      <c r="O1675">
        <v>770</v>
      </c>
      <c r="P1675" t="s">
        <v>25</v>
      </c>
      <c r="Q1675" t="s">
        <v>26</v>
      </c>
      <c r="R1675" t="str">
        <f>IF(COUNTIF(Sheet2!B:B, A1675) &gt; 0, "Yes", "No")</f>
        <v>No</v>
      </c>
    </row>
    <row r="1676" spans="1:18" x14ac:dyDescent="0.25">
      <c r="A1676" s="3">
        <v>45350</v>
      </c>
      <c r="B1676" t="s">
        <v>470</v>
      </c>
      <c r="C1676" t="s">
        <v>51</v>
      </c>
      <c r="D1676" t="s">
        <v>20</v>
      </c>
      <c r="E1676" t="s">
        <v>21</v>
      </c>
      <c r="F1676" t="s">
        <v>22</v>
      </c>
      <c r="G1676" t="s">
        <v>94</v>
      </c>
      <c r="H1676" t="s">
        <v>199</v>
      </c>
      <c r="I1676">
        <v>8.5000000000000006E-2</v>
      </c>
      <c r="J1676">
        <f t="shared" si="78"/>
        <v>73.95</v>
      </c>
      <c r="K1676">
        <v>3</v>
      </c>
      <c r="L1676">
        <f t="shared" si="79"/>
        <v>70.95</v>
      </c>
      <c r="M1676" s="4">
        <f t="shared" si="80"/>
        <v>7.4684210526315797E-2</v>
      </c>
      <c r="N1676">
        <v>950</v>
      </c>
      <c r="O1676">
        <v>870</v>
      </c>
      <c r="P1676" t="s">
        <v>25</v>
      </c>
      <c r="Q1676" t="s">
        <v>26</v>
      </c>
      <c r="R1676" t="str">
        <f>IF(COUNTIF(Sheet2!B:B, A1676) &gt; 0, "Yes", "No")</f>
        <v>No</v>
      </c>
    </row>
    <row r="1677" spans="1:18" x14ac:dyDescent="0.25">
      <c r="A1677" s="3">
        <v>45350</v>
      </c>
      <c r="B1677" t="s">
        <v>470</v>
      </c>
      <c r="C1677" t="s">
        <v>51</v>
      </c>
      <c r="D1677" t="s">
        <v>20</v>
      </c>
      <c r="E1677" t="s">
        <v>21</v>
      </c>
      <c r="F1677" t="s">
        <v>27</v>
      </c>
      <c r="G1677" t="s">
        <v>28</v>
      </c>
      <c r="H1677" t="s">
        <v>474</v>
      </c>
      <c r="I1677">
        <v>0.11</v>
      </c>
      <c r="J1677">
        <f t="shared" si="78"/>
        <v>95.7</v>
      </c>
      <c r="K1677">
        <v>5</v>
      </c>
      <c r="L1677">
        <f t="shared" si="79"/>
        <v>90.7</v>
      </c>
      <c r="M1677" s="4">
        <f t="shared" si="80"/>
        <v>9.5473684210526322E-2</v>
      </c>
      <c r="N1677">
        <v>950</v>
      </c>
      <c r="O1677">
        <v>870</v>
      </c>
      <c r="P1677" t="s">
        <v>25</v>
      </c>
      <c r="Q1677" t="s">
        <v>26</v>
      </c>
      <c r="R1677" t="str">
        <f>IF(COUNTIF(Sheet2!B:B, A1677) &gt; 0, "Yes", "No")</f>
        <v>No</v>
      </c>
    </row>
    <row r="1678" spans="1:18" x14ac:dyDescent="0.25">
      <c r="A1678" s="3">
        <v>45350</v>
      </c>
      <c r="B1678" t="s">
        <v>470</v>
      </c>
      <c r="C1678" t="s">
        <v>51</v>
      </c>
      <c r="D1678" t="s">
        <v>20</v>
      </c>
      <c r="E1678" t="s">
        <v>21</v>
      </c>
      <c r="F1678" t="s">
        <v>30</v>
      </c>
      <c r="G1678" t="s">
        <v>55</v>
      </c>
      <c r="H1678" t="s">
        <v>97</v>
      </c>
      <c r="I1678">
        <v>0.09</v>
      </c>
      <c r="J1678">
        <f t="shared" si="78"/>
        <v>78.3</v>
      </c>
      <c r="K1678">
        <v>4</v>
      </c>
      <c r="L1678">
        <f t="shared" si="79"/>
        <v>74.3</v>
      </c>
      <c r="M1678" s="4">
        <f t="shared" si="80"/>
        <v>7.8210526315789466E-2</v>
      </c>
      <c r="N1678">
        <v>950</v>
      </c>
      <c r="O1678">
        <v>870</v>
      </c>
      <c r="P1678" t="s">
        <v>25</v>
      </c>
      <c r="Q1678" t="s">
        <v>26</v>
      </c>
      <c r="R1678" t="str">
        <f>IF(COUNTIF(Sheet2!B:B, A1678) &gt; 0, "Yes", "No")</f>
        <v>No</v>
      </c>
    </row>
    <row r="1679" spans="1:18" x14ac:dyDescent="0.25">
      <c r="A1679" s="3">
        <v>45350</v>
      </c>
      <c r="B1679" t="s">
        <v>470</v>
      </c>
      <c r="C1679" t="s">
        <v>51</v>
      </c>
      <c r="D1679" t="s">
        <v>33</v>
      </c>
      <c r="E1679" t="s">
        <v>21</v>
      </c>
      <c r="F1679" t="s">
        <v>34</v>
      </c>
      <c r="G1679" t="s">
        <v>57</v>
      </c>
      <c r="H1679" t="s">
        <v>496</v>
      </c>
      <c r="I1679">
        <v>0.15</v>
      </c>
      <c r="J1679">
        <f t="shared" si="78"/>
        <v>90</v>
      </c>
      <c r="K1679">
        <v>5</v>
      </c>
      <c r="L1679">
        <f t="shared" si="79"/>
        <v>85</v>
      </c>
      <c r="M1679" s="4">
        <f t="shared" si="80"/>
        <v>0.12781954887218044</v>
      </c>
      <c r="N1679">
        <v>665</v>
      </c>
      <c r="O1679">
        <v>600</v>
      </c>
      <c r="P1679" t="s">
        <v>25</v>
      </c>
      <c r="Q1679" t="s">
        <v>26</v>
      </c>
      <c r="R1679" t="str">
        <f>IF(COUNTIF(Sheet2!B:B, A1679) &gt; 0, "Yes", "No")</f>
        <v>No</v>
      </c>
    </row>
    <row r="1680" spans="1:18" x14ac:dyDescent="0.25">
      <c r="A1680" s="3">
        <v>45350</v>
      </c>
      <c r="B1680" t="s">
        <v>470</v>
      </c>
      <c r="C1680" t="s">
        <v>51</v>
      </c>
      <c r="D1680" t="s">
        <v>20</v>
      </c>
      <c r="E1680" t="s">
        <v>21</v>
      </c>
      <c r="F1680" t="s">
        <v>37</v>
      </c>
      <c r="G1680" t="s">
        <v>59</v>
      </c>
      <c r="H1680" t="s">
        <v>60</v>
      </c>
      <c r="I1680">
        <v>0.03</v>
      </c>
      <c r="J1680">
        <f t="shared" si="78"/>
        <v>26.099999999999998</v>
      </c>
      <c r="K1680">
        <v>1</v>
      </c>
      <c r="L1680">
        <f t="shared" si="79"/>
        <v>25.099999999999998</v>
      </c>
      <c r="M1680" s="4">
        <f t="shared" si="80"/>
        <v>2.6421052631578946E-2</v>
      </c>
      <c r="N1680">
        <v>950</v>
      </c>
      <c r="O1680">
        <v>870</v>
      </c>
      <c r="P1680" t="s">
        <v>25</v>
      </c>
      <c r="Q1680" t="s">
        <v>26</v>
      </c>
      <c r="R1680" t="str">
        <f>IF(COUNTIF(Sheet2!B:B, A1680) &gt; 0, "Yes", "No")</f>
        <v>No</v>
      </c>
    </row>
    <row r="1681" spans="1:18" x14ac:dyDescent="0.25">
      <c r="A1681" s="3">
        <v>45350</v>
      </c>
      <c r="B1681" t="s">
        <v>470</v>
      </c>
      <c r="C1681" t="s">
        <v>51</v>
      </c>
      <c r="D1681" t="s">
        <v>20</v>
      </c>
      <c r="E1681" t="s">
        <v>21</v>
      </c>
      <c r="F1681" t="s">
        <v>40</v>
      </c>
      <c r="G1681" t="s">
        <v>61</v>
      </c>
      <c r="H1681" t="s">
        <v>62</v>
      </c>
      <c r="I1681">
        <v>4.4999999999999998E-2</v>
      </c>
      <c r="J1681">
        <f t="shared" si="78"/>
        <v>39.15</v>
      </c>
      <c r="K1681">
        <v>3</v>
      </c>
      <c r="L1681">
        <f t="shared" si="79"/>
        <v>36.15</v>
      </c>
      <c r="M1681" s="4">
        <f t="shared" si="80"/>
        <v>3.8052631578947366E-2</v>
      </c>
      <c r="N1681">
        <v>950</v>
      </c>
      <c r="O1681">
        <v>870</v>
      </c>
      <c r="P1681" t="s">
        <v>25</v>
      </c>
      <c r="Q1681" t="s">
        <v>26</v>
      </c>
      <c r="R1681" t="str">
        <f>IF(COUNTIF(Sheet2!B:B, A1681) &gt; 0, "Yes", "No")</f>
        <v>No</v>
      </c>
    </row>
    <row r="1682" spans="1:18" x14ac:dyDescent="0.25">
      <c r="A1682" s="3">
        <v>45350</v>
      </c>
      <c r="B1682" t="s">
        <v>470</v>
      </c>
      <c r="C1682" t="s">
        <v>51</v>
      </c>
      <c r="D1682" t="s">
        <v>20</v>
      </c>
      <c r="E1682" t="s">
        <v>21</v>
      </c>
      <c r="F1682" t="s">
        <v>43</v>
      </c>
      <c r="G1682" t="s">
        <v>252</v>
      </c>
      <c r="H1682" t="s">
        <v>253</v>
      </c>
      <c r="I1682">
        <v>0.11</v>
      </c>
      <c r="J1682">
        <f t="shared" si="78"/>
        <v>95.7</v>
      </c>
      <c r="K1682">
        <v>3</v>
      </c>
      <c r="L1682">
        <f t="shared" si="79"/>
        <v>92.7</v>
      </c>
      <c r="M1682" s="4">
        <f t="shared" si="80"/>
        <v>9.7578947368421057E-2</v>
      </c>
      <c r="N1682">
        <v>950</v>
      </c>
      <c r="O1682">
        <v>870</v>
      </c>
      <c r="P1682" t="s">
        <v>25</v>
      </c>
      <c r="Q1682" t="s">
        <v>26</v>
      </c>
      <c r="R1682" t="str">
        <f>IF(COUNTIF(Sheet2!B:B, A1682) &gt; 0, "Yes", "No")</f>
        <v>No</v>
      </c>
    </row>
    <row r="1683" spans="1:18" x14ac:dyDescent="0.25">
      <c r="A1683" s="3">
        <v>45350</v>
      </c>
      <c r="B1683" t="s">
        <v>470</v>
      </c>
      <c r="C1683" t="s">
        <v>51</v>
      </c>
      <c r="D1683" t="s">
        <v>20</v>
      </c>
      <c r="E1683" t="s">
        <v>21</v>
      </c>
      <c r="F1683" t="s">
        <v>46</v>
      </c>
      <c r="G1683" t="s">
        <v>47</v>
      </c>
      <c r="H1683" t="s">
        <v>350</v>
      </c>
      <c r="I1683">
        <v>8.5000000000000006E-2</v>
      </c>
      <c r="J1683">
        <f t="shared" si="78"/>
        <v>73.95</v>
      </c>
      <c r="K1683">
        <v>2</v>
      </c>
      <c r="L1683">
        <f t="shared" si="79"/>
        <v>71.95</v>
      </c>
      <c r="M1683" s="4">
        <f t="shared" si="80"/>
        <v>7.5736842105263158E-2</v>
      </c>
      <c r="N1683">
        <v>950</v>
      </c>
      <c r="O1683">
        <v>870</v>
      </c>
      <c r="P1683" t="s">
        <v>25</v>
      </c>
      <c r="Q1683" t="s">
        <v>26</v>
      </c>
      <c r="R1683" t="str">
        <f>IF(COUNTIF(Sheet2!B:B, A1683) &gt; 0, "Yes", "No")</f>
        <v>No</v>
      </c>
    </row>
    <row r="1684" spans="1:18" x14ac:dyDescent="0.25">
      <c r="A1684" s="3">
        <v>45350</v>
      </c>
      <c r="B1684" t="s">
        <v>470</v>
      </c>
      <c r="C1684" t="s">
        <v>51</v>
      </c>
      <c r="D1684" t="s">
        <v>20</v>
      </c>
      <c r="E1684" t="s">
        <v>21</v>
      </c>
      <c r="F1684" t="s">
        <v>49</v>
      </c>
      <c r="G1684" t="s">
        <v>50</v>
      </c>
      <c r="H1684" t="s">
        <v>49</v>
      </c>
      <c r="I1684">
        <v>0.09</v>
      </c>
      <c r="J1684">
        <f t="shared" si="78"/>
        <v>78.3</v>
      </c>
      <c r="K1684">
        <v>5</v>
      </c>
      <c r="L1684">
        <f t="shared" si="79"/>
        <v>73.3</v>
      </c>
      <c r="M1684" s="4">
        <f t="shared" si="80"/>
        <v>7.7157894736842106E-2</v>
      </c>
      <c r="N1684">
        <v>950</v>
      </c>
      <c r="O1684">
        <v>870</v>
      </c>
      <c r="P1684" t="s">
        <v>25</v>
      </c>
      <c r="Q1684" t="s">
        <v>26</v>
      </c>
      <c r="R1684" t="str">
        <f>IF(COUNTIF(Sheet2!B:B, A1684) &gt; 0, "Yes", "No")</f>
        <v>No</v>
      </c>
    </row>
    <row r="1685" spans="1:18" x14ac:dyDescent="0.25">
      <c r="A1685" s="3">
        <v>45351</v>
      </c>
      <c r="B1685" t="s">
        <v>470</v>
      </c>
      <c r="C1685" t="s">
        <v>66</v>
      </c>
      <c r="D1685" t="s">
        <v>20</v>
      </c>
      <c r="E1685" t="s">
        <v>67</v>
      </c>
      <c r="F1685" t="s">
        <v>22</v>
      </c>
      <c r="G1685" t="s">
        <v>52</v>
      </c>
      <c r="H1685" t="s">
        <v>68</v>
      </c>
      <c r="I1685">
        <v>8.5000000000000006E-2</v>
      </c>
      <c r="J1685">
        <f t="shared" si="78"/>
        <v>61.2</v>
      </c>
      <c r="K1685">
        <v>3</v>
      </c>
      <c r="L1685">
        <f t="shared" si="79"/>
        <v>58.2</v>
      </c>
      <c r="M1685" s="4">
        <f t="shared" si="80"/>
        <v>7.2750000000000009E-2</v>
      </c>
      <c r="N1685">
        <v>800</v>
      </c>
      <c r="O1685">
        <v>720</v>
      </c>
      <c r="P1685" t="s">
        <v>25</v>
      </c>
      <c r="Q1685" t="s">
        <v>26</v>
      </c>
      <c r="R1685" t="str">
        <f>IF(COUNTIF(Sheet2!B:B, A1685) &gt; 0, "Yes", "No")</f>
        <v>No</v>
      </c>
    </row>
    <row r="1686" spans="1:18" x14ac:dyDescent="0.25">
      <c r="A1686" s="3">
        <v>45351</v>
      </c>
      <c r="B1686" t="s">
        <v>470</v>
      </c>
      <c r="C1686" t="s">
        <v>66</v>
      </c>
      <c r="D1686" t="s">
        <v>20</v>
      </c>
      <c r="E1686" t="s">
        <v>67</v>
      </c>
      <c r="F1686" t="s">
        <v>27</v>
      </c>
      <c r="G1686" t="s">
        <v>304</v>
      </c>
      <c r="H1686" t="s">
        <v>497</v>
      </c>
      <c r="I1686">
        <v>0.12</v>
      </c>
      <c r="J1686">
        <f t="shared" si="78"/>
        <v>86.399999999999991</v>
      </c>
      <c r="K1686">
        <v>0</v>
      </c>
      <c r="L1686">
        <f t="shared" si="79"/>
        <v>86.399999999999991</v>
      </c>
      <c r="M1686" s="4">
        <f t="shared" si="80"/>
        <v>0.10799999999999998</v>
      </c>
      <c r="N1686">
        <v>800</v>
      </c>
      <c r="O1686">
        <v>720</v>
      </c>
      <c r="P1686" t="s">
        <v>25</v>
      </c>
      <c r="Q1686" t="s">
        <v>26</v>
      </c>
      <c r="R1686" t="str">
        <f>IF(COUNTIF(Sheet2!B:B, A1686) &gt; 0, "Yes", "No")</f>
        <v>No</v>
      </c>
    </row>
    <row r="1687" spans="1:18" x14ac:dyDescent="0.25">
      <c r="A1687" s="3">
        <v>45351</v>
      </c>
      <c r="B1687" t="s">
        <v>470</v>
      </c>
      <c r="C1687" t="s">
        <v>66</v>
      </c>
      <c r="D1687" t="s">
        <v>20</v>
      </c>
      <c r="E1687" t="s">
        <v>67</v>
      </c>
      <c r="F1687" t="s">
        <v>30</v>
      </c>
      <c r="G1687" t="s">
        <v>55</v>
      </c>
      <c r="H1687" t="s">
        <v>56</v>
      </c>
      <c r="I1687">
        <v>0.09</v>
      </c>
      <c r="J1687">
        <f t="shared" si="78"/>
        <v>64.8</v>
      </c>
      <c r="K1687">
        <v>2</v>
      </c>
      <c r="L1687">
        <f t="shared" si="79"/>
        <v>62.8</v>
      </c>
      <c r="M1687" s="4">
        <f t="shared" si="80"/>
        <v>7.85E-2</v>
      </c>
      <c r="N1687">
        <v>800</v>
      </c>
      <c r="O1687">
        <v>720</v>
      </c>
      <c r="P1687" t="s">
        <v>25</v>
      </c>
      <c r="Q1687" t="s">
        <v>26</v>
      </c>
      <c r="R1687" t="str">
        <f>IF(COUNTIF(Sheet2!B:B, A1687) &gt; 0, "Yes", "No")</f>
        <v>No</v>
      </c>
    </row>
    <row r="1688" spans="1:18" x14ac:dyDescent="0.25">
      <c r="A1688" s="3">
        <v>45351</v>
      </c>
      <c r="B1688" t="s">
        <v>470</v>
      </c>
      <c r="C1688" t="s">
        <v>66</v>
      </c>
      <c r="D1688" t="s">
        <v>20</v>
      </c>
      <c r="E1688" t="s">
        <v>67</v>
      </c>
      <c r="F1688" t="s">
        <v>37</v>
      </c>
      <c r="G1688" t="s">
        <v>87</v>
      </c>
      <c r="H1688" t="s">
        <v>136</v>
      </c>
      <c r="I1688">
        <v>3.5000000000000003E-2</v>
      </c>
      <c r="J1688">
        <f t="shared" si="78"/>
        <v>25.200000000000003</v>
      </c>
      <c r="K1688">
        <v>0</v>
      </c>
      <c r="L1688">
        <f t="shared" si="79"/>
        <v>25.200000000000003</v>
      </c>
      <c r="M1688" s="4">
        <f t="shared" si="80"/>
        <v>3.15E-2</v>
      </c>
      <c r="N1688">
        <v>800</v>
      </c>
      <c r="O1688">
        <v>720</v>
      </c>
      <c r="P1688" t="s">
        <v>25</v>
      </c>
      <c r="Q1688" t="s">
        <v>26</v>
      </c>
      <c r="R1688" t="str">
        <f>IF(COUNTIF(Sheet2!B:B, A1688) &gt; 0, "Yes", "No")</f>
        <v>No</v>
      </c>
    </row>
    <row r="1689" spans="1:18" x14ac:dyDescent="0.25">
      <c r="A1689" s="3">
        <v>45351</v>
      </c>
      <c r="B1689" t="s">
        <v>470</v>
      </c>
      <c r="C1689" t="s">
        <v>66</v>
      </c>
      <c r="D1689" t="s">
        <v>20</v>
      </c>
      <c r="E1689" t="s">
        <v>67</v>
      </c>
      <c r="F1689" t="s">
        <v>40</v>
      </c>
      <c r="G1689" t="s">
        <v>73</v>
      </c>
      <c r="H1689" t="s">
        <v>74</v>
      </c>
      <c r="I1689">
        <v>0.05</v>
      </c>
      <c r="J1689">
        <f t="shared" si="78"/>
        <v>36</v>
      </c>
      <c r="K1689">
        <v>2</v>
      </c>
      <c r="L1689">
        <f t="shared" si="79"/>
        <v>34</v>
      </c>
      <c r="M1689" s="4">
        <f t="shared" si="80"/>
        <v>4.2500000000000003E-2</v>
      </c>
      <c r="N1689">
        <v>800</v>
      </c>
      <c r="O1689">
        <v>720</v>
      </c>
      <c r="P1689" t="s">
        <v>25</v>
      </c>
      <c r="Q1689" t="s">
        <v>26</v>
      </c>
      <c r="R1689" t="str">
        <f>IF(COUNTIF(Sheet2!B:B, A1689) &gt; 0, "Yes", "No")</f>
        <v>No</v>
      </c>
    </row>
    <row r="1690" spans="1:18" x14ac:dyDescent="0.25">
      <c r="A1690" s="3">
        <v>45351</v>
      </c>
      <c r="B1690" t="s">
        <v>470</v>
      </c>
      <c r="C1690" t="s">
        <v>66</v>
      </c>
      <c r="D1690" t="s">
        <v>20</v>
      </c>
      <c r="E1690" t="s">
        <v>67</v>
      </c>
      <c r="F1690" t="s">
        <v>43</v>
      </c>
      <c r="G1690" t="s">
        <v>111</v>
      </c>
      <c r="H1690" t="s">
        <v>475</v>
      </c>
      <c r="I1690">
        <v>0.11</v>
      </c>
      <c r="J1690">
        <f t="shared" si="78"/>
        <v>79.2</v>
      </c>
      <c r="K1690">
        <v>3</v>
      </c>
      <c r="L1690">
        <f t="shared" si="79"/>
        <v>76.2</v>
      </c>
      <c r="M1690" s="4">
        <f t="shared" si="80"/>
        <v>9.5250000000000001E-2</v>
      </c>
      <c r="N1690">
        <v>800</v>
      </c>
      <c r="O1690">
        <v>720</v>
      </c>
      <c r="P1690" t="s">
        <v>25</v>
      </c>
      <c r="Q1690" t="s">
        <v>26</v>
      </c>
      <c r="R1690" t="str">
        <f>IF(COUNTIF(Sheet2!B:B, A1690) &gt; 0, "Yes", "No")</f>
        <v>No</v>
      </c>
    </row>
    <row r="1691" spans="1:18" x14ac:dyDescent="0.25">
      <c r="A1691" s="3">
        <v>45351</v>
      </c>
      <c r="B1691" t="s">
        <v>470</v>
      </c>
      <c r="C1691" t="s">
        <v>66</v>
      </c>
      <c r="D1691" t="s">
        <v>20</v>
      </c>
      <c r="E1691" t="s">
        <v>67</v>
      </c>
      <c r="F1691" t="s">
        <v>46</v>
      </c>
      <c r="G1691" t="s">
        <v>103</v>
      </c>
      <c r="H1691" t="s">
        <v>420</v>
      </c>
      <c r="I1691">
        <v>0.09</v>
      </c>
      <c r="J1691">
        <f t="shared" si="78"/>
        <v>64.8</v>
      </c>
      <c r="K1691">
        <v>0</v>
      </c>
      <c r="L1691">
        <f t="shared" si="79"/>
        <v>64.8</v>
      </c>
      <c r="M1691" s="4">
        <f t="shared" si="80"/>
        <v>8.1000000000000003E-2</v>
      </c>
      <c r="N1691">
        <v>800</v>
      </c>
      <c r="O1691">
        <v>720</v>
      </c>
      <c r="P1691" t="s">
        <v>25</v>
      </c>
      <c r="Q1691" t="s">
        <v>26</v>
      </c>
      <c r="R1691" t="str">
        <f>IF(COUNTIF(Sheet2!B:B, A1691) &gt; 0, "Yes", "No")</f>
        <v>No</v>
      </c>
    </row>
    <row r="1692" spans="1:18" x14ac:dyDescent="0.25">
      <c r="A1692" s="3">
        <v>45351</v>
      </c>
      <c r="B1692" t="s">
        <v>470</v>
      </c>
      <c r="C1692" t="s">
        <v>66</v>
      </c>
      <c r="D1692" t="s">
        <v>20</v>
      </c>
      <c r="E1692" t="s">
        <v>67</v>
      </c>
      <c r="F1692" t="s">
        <v>49</v>
      </c>
      <c r="G1692" t="s">
        <v>50</v>
      </c>
      <c r="H1692" t="s">
        <v>49</v>
      </c>
      <c r="I1692">
        <v>0.09</v>
      </c>
      <c r="J1692">
        <f t="shared" si="78"/>
        <v>64.8</v>
      </c>
      <c r="K1692">
        <v>3</v>
      </c>
      <c r="L1692">
        <f t="shared" si="79"/>
        <v>61.8</v>
      </c>
      <c r="M1692" s="4">
        <f t="shared" si="80"/>
        <v>7.7249999999999999E-2</v>
      </c>
      <c r="N1692">
        <v>800</v>
      </c>
      <c r="O1692">
        <v>720</v>
      </c>
      <c r="P1692" t="s">
        <v>25</v>
      </c>
      <c r="Q1692" t="s">
        <v>26</v>
      </c>
      <c r="R1692" t="str">
        <f>IF(COUNTIF(Sheet2!B:B, A1692) &gt; 0, "Yes", "No")</f>
        <v>No</v>
      </c>
    </row>
    <row r="1693" spans="1:18" x14ac:dyDescent="0.25">
      <c r="A1693" s="3">
        <v>45352</v>
      </c>
      <c r="B1693" t="s">
        <v>498</v>
      </c>
      <c r="C1693" t="s">
        <v>79</v>
      </c>
      <c r="D1693" t="s">
        <v>20</v>
      </c>
      <c r="E1693" t="s">
        <v>21</v>
      </c>
      <c r="F1693" t="s">
        <v>22</v>
      </c>
      <c r="G1693" t="s">
        <v>122</v>
      </c>
      <c r="H1693" t="s">
        <v>499</v>
      </c>
      <c r="I1693" s="5">
        <v>0.06</v>
      </c>
      <c r="J1693">
        <f t="shared" si="78"/>
        <v>36</v>
      </c>
      <c r="K1693">
        <v>2</v>
      </c>
      <c r="L1693">
        <f t="shared" si="79"/>
        <v>34</v>
      </c>
      <c r="M1693" s="4">
        <f t="shared" si="80"/>
        <v>5.2307692307692305E-2</v>
      </c>
      <c r="N1693">
        <v>650</v>
      </c>
      <c r="O1693">
        <v>600</v>
      </c>
      <c r="P1693" t="s">
        <v>25</v>
      </c>
      <c r="Q1693" t="s">
        <v>26</v>
      </c>
      <c r="R1693" t="str">
        <f>IF(COUNTIF(Sheet2!B:B, A1693) &gt; 0, "Yes", "No")</f>
        <v>Yes</v>
      </c>
    </row>
    <row r="1694" spans="1:18" x14ac:dyDescent="0.25">
      <c r="A1694" s="3">
        <v>45352</v>
      </c>
      <c r="B1694" t="s">
        <v>498</v>
      </c>
      <c r="C1694" t="s">
        <v>79</v>
      </c>
      <c r="D1694" t="s">
        <v>20</v>
      </c>
      <c r="E1694" t="s">
        <v>21</v>
      </c>
      <c r="F1694" t="s">
        <v>27</v>
      </c>
      <c r="G1694" t="s">
        <v>81</v>
      </c>
      <c r="H1694" t="s">
        <v>500</v>
      </c>
      <c r="I1694" s="5">
        <v>0.1</v>
      </c>
      <c r="J1694">
        <f t="shared" si="78"/>
        <v>60</v>
      </c>
      <c r="K1694">
        <v>2</v>
      </c>
      <c r="L1694">
        <f t="shared" si="79"/>
        <v>58</v>
      </c>
      <c r="M1694" s="4">
        <f t="shared" si="80"/>
        <v>8.9230769230769225E-2</v>
      </c>
      <c r="N1694">
        <v>650</v>
      </c>
      <c r="O1694">
        <v>600</v>
      </c>
      <c r="P1694" t="s">
        <v>25</v>
      </c>
      <c r="Q1694" t="s">
        <v>26</v>
      </c>
      <c r="R1694" t="str">
        <f>IF(COUNTIF(Sheet2!B:B, A1694) &gt; 0, "Yes", "No")</f>
        <v>Yes</v>
      </c>
    </row>
    <row r="1695" spans="1:18" x14ac:dyDescent="0.25">
      <c r="A1695" s="3">
        <v>45352</v>
      </c>
      <c r="B1695" t="s">
        <v>498</v>
      </c>
      <c r="C1695" t="s">
        <v>79</v>
      </c>
      <c r="D1695" t="s">
        <v>20</v>
      </c>
      <c r="E1695" t="s">
        <v>21</v>
      </c>
      <c r="F1695" t="s">
        <v>30</v>
      </c>
      <c r="G1695" t="s">
        <v>31</v>
      </c>
      <c r="H1695" t="s">
        <v>172</v>
      </c>
      <c r="I1695" s="5">
        <v>0.06</v>
      </c>
      <c r="J1695">
        <f t="shared" si="78"/>
        <v>36</v>
      </c>
      <c r="K1695">
        <v>2</v>
      </c>
      <c r="L1695">
        <f t="shared" si="79"/>
        <v>34</v>
      </c>
      <c r="M1695" s="4">
        <f t="shared" si="80"/>
        <v>5.2307692307692305E-2</v>
      </c>
      <c r="N1695">
        <v>650</v>
      </c>
      <c r="O1695">
        <v>600</v>
      </c>
      <c r="P1695" t="s">
        <v>25</v>
      </c>
      <c r="Q1695" t="s">
        <v>26</v>
      </c>
      <c r="R1695" t="str">
        <f>IF(COUNTIF(Sheet2!B:B, A1695) &gt; 0, "Yes", "No")</f>
        <v>Yes</v>
      </c>
    </row>
    <row r="1696" spans="1:18" x14ac:dyDescent="0.25">
      <c r="A1696" s="3">
        <v>45352</v>
      </c>
      <c r="B1696" t="s">
        <v>498</v>
      </c>
      <c r="C1696" t="s">
        <v>79</v>
      </c>
      <c r="D1696" t="s">
        <v>33</v>
      </c>
      <c r="E1696" t="s">
        <v>21</v>
      </c>
      <c r="F1696" t="s">
        <v>84</v>
      </c>
      <c r="G1696" t="s">
        <v>177</v>
      </c>
      <c r="H1696" t="s">
        <v>220</v>
      </c>
      <c r="I1696" s="5">
        <v>0.3</v>
      </c>
      <c r="J1696">
        <f t="shared" si="78"/>
        <v>126</v>
      </c>
      <c r="K1696">
        <v>0</v>
      </c>
      <c r="L1696">
        <f t="shared" si="79"/>
        <v>126</v>
      </c>
      <c r="M1696" s="4">
        <f t="shared" si="80"/>
        <v>0.27692307692307694</v>
      </c>
      <c r="N1696">
        <v>455</v>
      </c>
      <c r="O1696">
        <v>420</v>
      </c>
      <c r="P1696" t="s">
        <v>25</v>
      </c>
      <c r="Q1696" t="s">
        <v>26</v>
      </c>
      <c r="R1696" t="str">
        <f>IF(COUNTIF(Sheet2!B:B, A1696) &gt; 0, "Yes", "No")</f>
        <v>Yes</v>
      </c>
    </row>
    <row r="1697" spans="1:18" x14ac:dyDescent="0.25">
      <c r="A1697" s="3">
        <v>45352</v>
      </c>
      <c r="B1697" t="s">
        <v>498</v>
      </c>
      <c r="C1697" t="s">
        <v>79</v>
      </c>
      <c r="D1697" t="s">
        <v>20</v>
      </c>
      <c r="E1697" t="s">
        <v>21</v>
      </c>
      <c r="F1697" t="s">
        <v>37</v>
      </c>
      <c r="G1697" t="s">
        <v>38</v>
      </c>
      <c r="H1697" t="s">
        <v>39</v>
      </c>
      <c r="I1697" s="5">
        <v>2.5000000000000001E-2</v>
      </c>
      <c r="J1697">
        <f t="shared" si="78"/>
        <v>15</v>
      </c>
      <c r="K1697">
        <v>2</v>
      </c>
      <c r="L1697">
        <f t="shared" si="79"/>
        <v>13</v>
      </c>
      <c r="M1697" s="4">
        <f t="shared" si="80"/>
        <v>0.02</v>
      </c>
      <c r="N1697">
        <v>650</v>
      </c>
      <c r="O1697">
        <v>600</v>
      </c>
      <c r="P1697" t="s">
        <v>25</v>
      </c>
      <c r="Q1697" t="s">
        <v>26</v>
      </c>
      <c r="R1697" t="str">
        <f>IF(COUNTIF(Sheet2!B:B, A1697) &gt; 0, "Yes", "No")</f>
        <v>Yes</v>
      </c>
    </row>
    <row r="1698" spans="1:18" x14ac:dyDescent="0.25">
      <c r="A1698" s="3">
        <v>45352</v>
      </c>
      <c r="B1698" t="s">
        <v>498</v>
      </c>
      <c r="C1698" t="s">
        <v>79</v>
      </c>
      <c r="D1698" t="s">
        <v>20</v>
      </c>
      <c r="E1698" t="s">
        <v>21</v>
      </c>
      <c r="F1698" t="s">
        <v>40</v>
      </c>
      <c r="G1698" t="s">
        <v>164</v>
      </c>
      <c r="H1698" t="s">
        <v>467</v>
      </c>
      <c r="I1698" s="5">
        <v>0.04</v>
      </c>
      <c r="J1698">
        <f t="shared" si="78"/>
        <v>24</v>
      </c>
      <c r="K1698">
        <v>2</v>
      </c>
      <c r="L1698">
        <f t="shared" si="79"/>
        <v>22</v>
      </c>
      <c r="M1698" s="4">
        <f t="shared" si="80"/>
        <v>3.3846153846153845E-2</v>
      </c>
      <c r="N1698">
        <v>650</v>
      </c>
      <c r="O1698">
        <v>600</v>
      </c>
      <c r="P1698" t="s">
        <v>25</v>
      </c>
      <c r="Q1698" t="s">
        <v>26</v>
      </c>
      <c r="R1698" t="str">
        <f>IF(COUNTIF(Sheet2!B:B, A1698) &gt; 0, "Yes", "No")</f>
        <v>Yes</v>
      </c>
    </row>
    <row r="1699" spans="1:18" x14ac:dyDescent="0.25">
      <c r="A1699" s="3">
        <v>45352</v>
      </c>
      <c r="B1699" t="s">
        <v>498</v>
      </c>
      <c r="C1699" t="s">
        <v>79</v>
      </c>
      <c r="D1699" t="s">
        <v>20</v>
      </c>
      <c r="E1699" t="s">
        <v>21</v>
      </c>
      <c r="F1699" t="s">
        <v>43</v>
      </c>
      <c r="G1699" t="s">
        <v>139</v>
      </c>
      <c r="H1699" t="s">
        <v>501</v>
      </c>
      <c r="I1699" s="5">
        <v>7.0000000000000007E-2</v>
      </c>
      <c r="J1699">
        <f t="shared" si="78"/>
        <v>42.000000000000007</v>
      </c>
      <c r="K1699">
        <v>2</v>
      </c>
      <c r="L1699">
        <f t="shared" si="79"/>
        <v>40.000000000000007</v>
      </c>
      <c r="M1699" s="4">
        <f t="shared" si="80"/>
        <v>6.1538461538461549E-2</v>
      </c>
      <c r="N1699">
        <v>650</v>
      </c>
      <c r="O1699">
        <v>600</v>
      </c>
      <c r="P1699" t="s">
        <v>25</v>
      </c>
      <c r="Q1699" t="s">
        <v>26</v>
      </c>
      <c r="R1699" t="str">
        <f>IF(COUNTIF(Sheet2!B:B, A1699) &gt; 0, "Yes", "No")</f>
        <v>Yes</v>
      </c>
    </row>
    <row r="1700" spans="1:18" x14ac:dyDescent="0.25">
      <c r="A1700" s="3">
        <v>45352</v>
      </c>
      <c r="B1700" t="s">
        <v>498</v>
      </c>
      <c r="C1700" t="s">
        <v>79</v>
      </c>
      <c r="D1700" t="s">
        <v>20</v>
      </c>
      <c r="E1700" t="s">
        <v>21</v>
      </c>
      <c r="F1700" t="s">
        <v>46</v>
      </c>
      <c r="G1700" t="s">
        <v>47</v>
      </c>
      <c r="H1700" t="s">
        <v>48</v>
      </c>
      <c r="I1700" s="5">
        <v>0.06</v>
      </c>
      <c r="J1700">
        <f t="shared" si="78"/>
        <v>36</v>
      </c>
      <c r="K1700">
        <v>2</v>
      </c>
      <c r="L1700">
        <f t="shared" si="79"/>
        <v>34</v>
      </c>
      <c r="M1700" s="4">
        <f t="shared" si="80"/>
        <v>5.2307692307692305E-2</v>
      </c>
      <c r="N1700">
        <v>650</v>
      </c>
      <c r="O1700">
        <v>600</v>
      </c>
      <c r="P1700" t="s">
        <v>25</v>
      </c>
      <c r="Q1700" t="s">
        <v>26</v>
      </c>
      <c r="R1700" t="str">
        <f>IF(COUNTIF(Sheet2!B:B, A1700) &gt; 0, "Yes", "No")</f>
        <v>Yes</v>
      </c>
    </row>
    <row r="1701" spans="1:18" x14ac:dyDescent="0.25">
      <c r="A1701" s="3">
        <v>45352</v>
      </c>
      <c r="B1701" t="s">
        <v>498</v>
      </c>
      <c r="C1701" t="s">
        <v>79</v>
      </c>
      <c r="D1701" t="s">
        <v>20</v>
      </c>
      <c r="E1701" t="s">
        <v>21</v>
      </c>
      <c r="F1701" t="s">
        <v>49</v>
      </c>
      <c r="G1701" t="s">
        <v>50</v>
      </c>
      <c r="H1701" t="s">
        <v>49</v>
      </c>
      <c r="I1701" s="5">
        <v>0.04</v>
      </c>
      <c r="J1701">
        <f t="shared" si="78"/>
        <v>24</v>
      </c>
      <c r="K1701">
        <v>2</v>
      </c>
      <c r="L1701">
        <f t="shared" si="79"/>
        <v>22</v>
      </c>
      <c r="M1701" s="4">
        <f t="shared" si="80"/>
        <v>3.3846153846153845E-2</v>
      </c>
      <c r="N1701">
        <v>650</v>
      </c>
      <c r="O1701">
        <v>600</v>
      </c>
      <c r="P1701" t="s">
        <v>25</v>
      </c>
      <c r="Q1701" t="s">
        <v>26</v>
      </c>
      <c r="R1701" t="str">
        <f>IF(COUNTIF(Sheet2!B:B, A1701) &gt; 0, "Yes", "No")</f>
        <v>Yes</v>
      </c>
    </row>
    <row r="1702" spans="1:18" x14ac:dyDescent="0.25">
      <c r="A1702" s="3">
        <v>45355</v>
      </c>
      <c r="B1702" t="s">
        <v>498</v>
      </c>
      <c r="C1702" t="s">
        <v>19</v>
      </c>
      <c r="D1702" t="s">
        <v>20</v>
      </c>
      <c r="E1702" t="s">
        <v>21</v>
      </c>
      <c r="F1702" t="s">
        <v>22</v>
      </c>
      <c r="G1702" t="s">
        <v>52</v>
      </c>
      <c r="H1702" t="s">
        <v>370</v>
      </c>
      <c r="I1702">
        <v>8.5000000000000006E-2</v>
      </c>
      <c r="J1702">
        <f t="shared" si="78"/>
        <v>61.2</v>
      </c>
      <c r="K1702">
        <v>2</v>
      </c>
      <c r="L1702">
        <f t="shared" si="79"/>
        <v>59.2</v>
      </c>
      <c r="M1702" s="4">
        <f t="shared" si="80"/>
        <v>7.400000000000001E-2</v>
      </c>
      <c r="N1702">
        <v>800</v>
      </c>
      <c r="O1702">
        <v>720</v>
      </c>
      <c r="P1702" t="s">
        <v>25</v>
      </c>
      <c r="Q1702" t="s">
        <v>26</v>
      </c>
      <c r="R1702" t="str">
        <f>IF(COUNTIF(Sheet2!B:B, A1702) &gt; 0, "Yes", "No")</f>
        <v>No</v>
      </c>
    </row>
    <row r="1703" spans="1:18" x14ac:dyDescent="0.25">
      <c r="A1703" s="3">
        <v>45355</v>
      </c>
      <c r="B1703" t="s">
        <v>498</v>
      </c>
      <c r="C1703" t="s">
        <v>19</v>
      </c>
      <c r="D1703" t="s">
        <v>20</v>
      </c>
      <c r="E1703" t="s">
        <v>21</v>
      </c>
      <c r="F1703" t="s">
        <v>27</v>
      </c>
      <c r="G1703" t="s">
        <v>115</v>
      </c>
      <c r="H1703" t="s">
        <v>115</v>
      </c>
      <c r="I1703">
        <v>0.11</v>
      </c>
      <c r="J1703">
        <f t="shared" si="78"/>
        <v>79.2</v>
      </c>
      <c r="K1703">
        <v>2</v>
      </c>
      <c r="L1703">
        <f t="shared" si="79"/>
        <v>77.2</v>
      </c>
      <c r="M1703" s="4">
        <f t="shared" si="80"/>
        <v>9.6500000000000002E-2</v>
      </c>
      <c r="N1703">
        <v>800</v>
      </c>
      <c r="O1703">
        <v>720</v>
      </c>
      <c r="P1703" t="s">
        <v>25</v>
      </c>
      <c r="Q1703" t="s">
        <v>26</v>
      </c>
      <c r="R1703" t="str">
        <f>IF(COUNTIF(Sheet2!B:B, A1703) &gt; 0, "Yes", "No")</f>
        <v>No</v>
      </c>
    </row>
    <row r="1704" spans="1:18" x14ac:dyDescent="0.25">
      <c r="A1704" s="3">
        <v>45355</v>
      </c>
      <c r="B1704" t="s">
        <v>498</v>
      </c>
      <c r="C1704" t="s">
        <v>19</v>
      </c>
      <c r="D1704" t="s">
        <v>20</v>
      </c>
      <c r="E1704" t="s">
        <v>21</v>
      </c>
      <c r="F1704" t="s">
        <v>30</v>
      </c>
      <c r="G1704" t="s">
        <v>31</v>
      </c>
      <c r="H1704" t="s">
        <v>32</v>
      </c>
      <c r="I1704">
        <v>0.09</v>
      </c>
      <c r="J1704">
        <f t="shared" si="78"/>
        <v>64.8</v>
      </c>
      <c r="K1704">
        <v>1</v>
      </c>
      <c r="L1704">
        <f t="shared" si="79"/>
        <v>63.8</v>
      </c>
      <c r="M1704" s="4">
        <f t="shared" si="80"/>
        <v>7.9750000000000001E-2</v>
      </c>
      <c r="N1704">
        <v>800</v>
      </c>
      <c r="O1704">
        <v>720</v>
      </c>
      <c r="P1704" t="s">
        <v>25</v>
      </c>
      <c r="Q1704" t="s">
        <v>26</v>
      </c>
      <c r="R1704" t="str">
        <f>IF(COUNTIF(Sheet2!B:B, A1704) &gt; 0, "Yes", "No")</f>
        <v>No</v>
      </c>
    </row>
    <row r="1705" spans="1:18" x14ac:dyDescent="0.25">
      <c r="A1705" s="3">
        <v>45355</v>
      </c>
      <c r="B1705" t="s">
        <v>498</v>
      </c>
      <c r="C1705" t="s">
        <v>19</v>
      </c>
      <c r="D1705" t="s">
        <v>33</v>
      </c>
      <c r="E1705" t="s">
        <v>21</v>
      </c>
      <c r="F1705" t="s">
        <v>34</v>
      </c>
      <c r="G1705" t="s">
        <v>35</v>
      </c>
      <c r="H1705" t="s">
        <v>36</v>
      </c>
      <c r="I1705">
        <v>0.15</v>
      </c>
      <c r="J1705">
        <f t="shared" si="78"/>
        <v>75</v>
      </c>
      <c r="K1705">
        <v>1</v>
      </c>
      <c r="L1705">
        <f t="shared" si="79"/>
        <v>74</v>
      </c>
      <c r="M1705" s="4">
        <f t="shared" si="80"/>
        <v>0.13214285714285715</v>
      </c>
      <c r="N1705">
        <v>560</v>
      </c>
      <c r="O1705">
        <v>500</v>
      </c>
      <c r="P1705" t="s">
        <v>25</v>
      </c>
      <c r="Q1705" t="s">
        <v>26</v>
      </c>
      <c r="R1705" t="str">
        <f>IF(COUNTIF(Sheet2!B:B, A1705) &gt; 0, "Yes", "No")</f>
        <v>No</v>
      </c>
    </row>
    <row r="1706" spans="1:18" x14ac:dyDescent="0.25">
      <c r="A1706" s="3">
        <v>45355</v>
      </c>
      <c r="B1706" t="s">
        <v>498</v>
      </c>
      <c r="C1706" t="s">
        <v>19</v>
      </c>
      <c r="D1706" t="s">
        <v>20</v>
      </c>
      <c r="E1706" t="s">
        <v>21</v>
      </c>
      <c r="F1706" t="s">
        <v>37</v>
      </c>
      <c r="G1706" t="s">
        <v>38</v>
      </c>
      <c r="H1706" t="s">
        <v>39</v>
      </c>
      <c r="I1706">
        <v>0.03</v>
      </c>
      <c r="J1706">
        <f t="shared" si="78"/>
        <v>21.599999999999998</v>
      </c>
      <c r="K1706">
        <v>1</v>
      </c>
      <c r="L1706">
        <f t="shared" si="79"/>
        <v>20.599999999999998</v>
      </c>
      <c r="M1706" s="4">
        <f t="shared" si="80"/>
        <v>2.5749999999999999E-2</v>
      </c>
      <c r="N1706">
        <v>800</v>
      </c>
      <c r="O1706">
        <v>720</v>
      </c>
      <c r="P1706" t="s">
        <v>25</v>
      </c>
      <c r="Q1706" t="s">
        <v>26</v>
      </c>
      <c r="R1706" t="str">
        <f>IF(COUNTIF(Sheet2!B:B, A1706) &gt; 0, "Yes", "No")</f>
        <v>No</v>
      </c>
    </row>
    <row r="1707" spans="1:18" x14ac:dyDescent="0.25">
      <c r="A1707" s="3">
        <v>45355</v>
      </c>
      <c r="B1707" t="s">
        <v>498</v>
      </c>
      <c r="C1707" t="s">
        <v>19</v>
      </c>
      <c r="D1707" t="s">
        <v>20</v>
      </c>
      <c r="E1707" t="s">
        <v>21</v>
      </c>
      <c r="F1707" t="s">
        <v>40</v>
      </c>
      <c r="G1707" t="s">
        <v>61</v>
      </c>
      <c r="H1707" t="s">
        <v>62</v>
      </c>
      <c r="I1707">
        <v>4.4999999999999998E-2</v>
      </c>
      <c r="J1707">
        <f t="shared" si="78"/>
        <v>32.4</v>
      </c>
      <c r="K1707">
        <v>2</v>
      </c>
      <c r="L1707">
        <f t="shared" si="79"/>
        <v>30.4</v>
      </c>
      <c r="M1707" s="4">
        <f t="shared" si="80"/>
        <v>3.7999999999999999E-2</v>
      </c>
      <c r="N1707">
        <v>800</v>
      </c>
      <c r="O1707">
        <v>720</v>
      </c>
      <c r="P1707" t="s">
        <v>25</v>
      </c>
      <c r="Q1707" t="s">
        <v>26</v>
      </c>
      <c r="R1707" t="str">
        <f>IF(COUNTIF(Sheet2!B:B, A1707) &gt; 0, "Yes", "No")</f>
        <v>No</v>
      </c>
    </row>
    <row r="1708" spans="1:18" x14ac:dyDescent="0.25">
      <c r="A1708" s="3">
        <v>45355</v>
      </c>
      <c r="B1708" t="s">
        <v>498</v>
      </c>
      <c r="C1708" t="s">
        <v>19</v>
      </c>
      <c r="D1708" t="s">
        <v>20</v>
      </c>
      <c r="E1708" t="s">
        <v>21</v>
      </c>
      <c r="F1708" t="s">
        <v>43</v>
      </c>
      <c r="G1708" t="s">
        <v>288</v>
      </c>
      <c r="H1708" t="s">
        <v>289</v>
      </c>
      <c r="I1708">
        <v>0.11</v>
      </c>
      <c r="J1708">
        <f t="shared" si="78"/>
        <v>79.2</v>
      </c>
      <c r="K1708">
        <v>2</v>
      </c>
      <c r="L1708">
        <f t="shared" si="79"/>
        <v>77.2</v>
      </c>
      <c r="M1708" s="4">
        <f t="shared" si="80"/>
        <v>9.6500000000000002E-2</v>
      </c>
      <c r="N1708">
        <v>800</v>
      </c>
      <c r="O1708">
        <v>720</v>
      </c>
      <c r="P1708" t="s">
        <v>25</v>
      </c>
      <c r="Q1708" t="s">
        <v>26</v>
      </c>
      <c r="R1708" t="str">
        <f>IF(COUNTIF(Sheet2!B:B, A1708) &gt; 0, "Yes", "No")</f>
        <v>No</v>
      </c>
    </row>
    <row r="1709" spans="1:18" x14ac:dyDescent="0.25">
      <c r="A1709" s="3">
        <v>45355</v>
      </c>
      <c r="B1709" t="s">
        <v>498</v>
      </c>
      <c r="C1709" t="s">
        <v>19</v>
      </c>
      <c r="D1709" t="s">
        <v>20</v>
      </c>
      <c r="E1709" t="s">
        <v>21</v>
      </c>
      <c r="F1709" t="s">
        <v>46</v>
      </c>
      <c r="G1709" t="s">
        <v>92</v>
      </c>
      <c r="H1709" t="s">
        <v>473</v>
      </c>
      <c r="I1709">
        <v>8.5000000000000006E-2</v>
      </c>
      <c r="J1709">
        <f t="shared" si="78"/>
        <v>61.2</v>
      </c>
      <c r="K1709">
        <v>2</v>
      </c>
      <c r="L1709">
        <f t="shared" si="79"/>
        <v>59.2</v>
      </c>
      <c r="M1709" s="4">
        <f t="shared" si="80"/>
        <v>7.400000000000001E-2</v>
      </c>
      <c r="N1709">
        <v>800</v>
      </c>
      <c r="O1709">
        <v>720</v>
      </c>
      <c r="P1709" t="s">
        <v>25</v>
      </c>
      <c r="Q1709" t="s">
        <v>26</v>
      </c>
      <c r="R1709" t="str">
        <f>IF(COUNTIF(Sheet2!B:B, A1709) &gt; 0, "Yes", "No")</f>
        <v>No</v>
      </c>
    </row>
    <row r="1710" spans="1:18" x14ac:dyDescent="0.25">
      <c r="A1710" s="3">
        <v>45355</v>
      </c>
      <c r="B1710" t="s">
        <v>498</v>
      </c>
      <c r="C1710" t="s">
        <v>19</v>
      </c>
      <c r="D1710" t="s">
        <v>20</v>
      </c>
      <c r="E1710" t="s">
        <v>21</v>
      </c>
      <c r="F1710" t="s">
        <v>49</v>
      </c>
      <c r="G1710" t="s">
        <v>50</v>
      </c>
      <c r="H1710" t="s">
        <v>49</v>
      </c>
      <c r="I1710">
        <v>0.09</v>
      </c>
      <c r="J1710">
        <f t="shared" si="78"/>
        <v>64.8</v>
      </c>
      <c r="K1710">
        <v>2</v>
      </c>
      <c r="L1710">
        <f t="shared" si="79"/>
        <v>62.8</v>
      </c>
      <c r="M1710" s="4">
        <f t="shared" si="80"/>
        <v>7.85E-2</v>
      </c>
      <c r="N1710">
        <v>800</v>
      </c>
      <c r="O1710">
        <v>720</v>
      </c>
      <c r="P1710" t="s">
        <v>25</v>
      </c>
      <c r="Q1710" t="s">
        <v>26</v>
      </c>
      <c r="R1710" t="str">
        <f>IF(COUNTIF(Sheet2!B:B, A1710) &gt; 0, "Yes", "No")</f>
        <v>No</v>
      </c>
    </row>
    <row r="1711" spans="1:18" x14ac:dyDescent="0.25">
      <c r="A1711" s="3">
        <v>45356</v>
      </c>
      <c r="B1711" t="s">
        <v>498</v>
      </c>
      <c r="C1711" t="s">
        <v>105</v>
      </c>
      <c r="D1711" t="s">
        <v>20</v>
      </c>
      <c r="E1711" t="s">
        <v>67</v>
      </c>
      <c r="F1711" t="s">
        <v>22</v>
      </c>
      <c r="G1711" t="s">
        <v>52</v>
      </c>
      <c r="H1711" t="s">
        <v>68</v>
      </c>
      <c r="I1711">
        <v>8.5000000000000006E-2</v>
      </c>
      <c r="J1711">
        <f t="shared" si="78"/>
        <v>56.95</v>
      </c>
      <c r="K1711">
        <v>0</v>
      </c>
      <c r="L1711">
        <f t="shared" si="79"/>
        <v>56.95</v>
      </c>
      <c r="M1711" s="4">
        <f t="shared" si="80"/>
        <v>7.5933333333333339E-2</v>
      </c>
      <c r="N1711">
        <v>750</v>
      </c>
      <c r="O1711">
        <v>670</v>
      </c>
      <c r="P1711" t="s">
        <v>25</v>
      </c>
      <c r="Q1711" t="s">
        <v>26</v>
      </c>
      <c r="R1711" t="str">
        <f>IF(COUNTIF(Sheet2!B:B, A1711) &gt; 0, "Yes", "No")</f>
        <v>No</v>
      </c>
    </row>
    <row r="1712" spans="1:18" x14ac:dyDescent="0.25">
      <c r="A1712" s="3">
        <v>45356</v>
      </c>
      <c r="B1712" t="s">
        <v>498</v>
      </c>
      <c r="C1712" t="s">
        <v>105</v>
      </c>
      <c r="D1712" t="s">
        <v>20</v>
      </c>
      <c r="E1712" t="s">
        <v>67</v>
      </c>
      <c r="F1712" t="s">
        <v>27</v>
      </c>
      <c r="G1712" t="s">
        <v>28</v>
      </c>
      <c r="H1712" t="s">
        <v>474</v>
      </c>
      <c r="I1712">
        <v>0.11</v>
      </c>
      <c r="J1712">
        <f t="shared" si="78"/>
        <v>73.7</v>
      </c>
      <c r="K1712">
        <v>1</v>
      </c>
      <c r="L1712">
        <f t="shared" si="79"/>
        <v>72.7</v>
      </c>
      <c r="M1712" s="4">
        <f t="shared" si="80"/>
        <v>9.6933333333333344E-2</v>
      </c>
      <c r="N1712">
        <v>750</v>
      </c>
      <c r="O1712">
        <v>670</v>
      </c>
      <c r="P1712" t="s">
        <v>25</v>
      </c>
      <c r="Q1712" t="s">
        <v>26</v>
      </c>
      <c r="R1712" t="str">
        <f>IF(COUNTIF(Sheet2!B:B, A1712) &gt; 0, "Yes", "No")</f>
        <v>No</v>
      </c>
    </row>
    <row r="1713" spans="1:18" x14ac:dyDescent="0.25">
      <c r="A1713" s="3">
        <v>45356</v>
      </c>
      <c r="B1713" t="s">
        <v>498</v>
      </c>
      <c r="C1713" t="s">
        <v>105</v>
      </c>
      <c r="D1713" t="s">
        <v>20</v>
      </c>
      <c r="E1713" t="s">
        <v>67</v>
      </c>
      <c r="F1713" t="s">
        <v>30</v>
      </c>
      <c r="G1713" t="s">
        <v>31</v>
      </c>
      <c r="H1713" t="s">
        <v>172</v>
      </c>
      <c r="I1713">
        <v>0.09</v>
      </c>
      <c r="J1713">
        <f t="shared" si="78"/>
        <v>60.3</v>
      </c>
      <c r="K1713">
        <v>1</v>
      </c>
      <c r="L1713">
        <f t="shared" si="79"/>
        <v>59.3</v>
      </c>
      <c r="M1713" s="4">
        <f t="shared" si="80"/>
        <v>7.906666666666666E-2</v>
      </c>
      <c r="N1713">
        <v>750</v>
      </c>
      <c r="O1713">
        <v>670</v>
      </c>
      <c r="P1713" t="s">
        <v>25</v>
      </c>
      <c r="Q1713" t="s">
        <v>26</v>
      </c>
      <c r="R1713" t="str">
        <f>IF(COUNTIF(Sheet2!B:B, A1713) &gt; 0, "Yes", "No")</f>
        <v>No</v>
      </c>
    </row>
    <row r="1714" spans="1:18" x14ac:dyDescent="0.25">
      <c r="A1714" s="3">
        <v>45356</v>
      </c>
      <c r="B1714" t="s">
        <v>498</v>
      </c>
      <c r="C1714" t="s">
        <v>105</v>
      </c>
      <c r="D1714" t="s">
        <v>20</v>
      </c>
      <c r="E1714" t="s">
        <v>67</v>
      </c>
      <c r="F1714" t="s">
        <v>37</v>
      </c>
      <c r="G1714" t="s">
        <v>87</v>
      </c>
      <c r="H1714" t="s">
        <v>99</v>
      </c>
      <c r="I1714">
        <v>3.5000000000000003E-2</v>
      </c>
      <c r="J1714">
        <f t="shared" si="78"/>
        <v>23.450000000000003</v>
      </c>
      <c r="K1714">
        <v>1</v>
      </c>
      <c r="L1714">
        <f t="shared" si="79"/>
        <v>22.450000000000003</v>
      </c>
      <c r="M1714" s="4">
        <f t="shared" si="80"/>
        <v>2.9933333333333336E-2</v>
      </c>
      <c r="N1714">
        <v>750</v>
      </c>
      <c r="O1714">
        <v>670</v>
      </c>
      <c r="P1714" t="s">
        <v>25</v>
      </c>
      <c r="Q1714" t="s">
        <v>26</v>
      </c>
      <c r="R1714" t="str">
        <f>IF(COUNTIF(Sheet2!B:B, A1714) &gt; 0, "Yes", "No")</f>
        <v>No</v>
      </c>
    </row>
    <row r="1715" spans="1:18" x14ac:dyDescent="0.25">
      <c r="A1715" s="3">
        <v>45356</v>
      </c>
      <c r="B1715" t="s">
        <v>498</v>
      </c>
      <c r="C1715" t="s">
        <v>105</v>
      </c>
      <c r="D1715" t="s">
        <v>20</v>
      </c>
      <c r="E1715" t="s">
        <v>67</v>
      </c>
      <c r="F1715" t="s">
        <v>40</v>
      </c>
      <c r="G1715" t="s">
        <v>137</v>
      </c>
      <c r="H1715" t="s">
        <v>138</v>
      </c>
      <c r="I1715">
        <v>0.05</v>
      </c>
      <c r="J1715">
        <f t="shared" si="78"/>
        <v>33.5</v>
      </c>
      <c r="K1715">
        <v>0</v>
      </c>
      <c r="L1715">
        <f t="shared" si="79"/>
        <v>33.5</v>
      </c>
      <c r="M1715" s="4">
        <f t="shared" si="80"/>
        <v>4.4666666666666667E-2</v>
      </c>
      <c r="N1715">
        <v>750</v>
      </c>
      <c r="O1715">
        <v>670</v>
      </c>
      <c r="P1715" t="s">
        <v>25</v>
      </c>
      <c r="Q1715" t="s">
        <v>26</v>
      </c>
      <c r="R1715" t="str">
        <f>IF(COUNTIF(Sheet2!B:B, A1715) &gt; 0, "Yes", "No")</f>
        <v>No</v>
      </c>
    </row>
    <row r="1716" spans="1:18" x14ac:dyDescent="0.25">
      <c r="A1716" s="3">
        <v>45356</v>
      </c>
      <c r="B1716" t="s">
        <v>498</v>
      </c>
      <c r="C1716" t="s">
        <v>105</v>
      </c>
      <c r="D1716" t="s">
        <v>20</v>
      </c>
      <c r="E1716" t="s">
        <v>67</v>
      </c>
      <c r="F1716" t="s">
        <v>43</v>
      </c>
      <c r="G1716" t="s">
        <v>44</v>
      </c>
      <c r="H1716" t="s">
        <v>502</v>
      </c>
      <c r="I1716">
        <v>0.11</v>
      </c>
      <c r="J1716">
        <f t="shared" si="78"/>
        <v>73.7</v>
      </c>
      <c r="K1716">
        <v>0</v>
      </c>
      <c r="L1716">
        <f t="shared" si="79"/>
        <v>73.7</v>
      </c>
      <c r="M1716" s="4">
        <f t="shared" si="80"/>
        <v>9.8266666666666669E-2</v>
      </c>
      <c r="N1716">
        <v>750</v>
      </c>
      <c r="O1716">
        <v>670</v>
      </c>
      <c r="P1716" t="s">
        <v>25</v>
      </c>
      <c r="Q1716" t="s">
        <v>26</v>
      </c>
      <c r="R1716" t="str">
        <f>IF(COUNTIF(Sheet2!B:B, A1716) &gt; 0, "Yes", "No")</f>
        <v>No</v>
      </c>
    </row>
    <row r="1717" spans="1:18" x14ac:dyDescent="0.25">
      <c r="A1717" s="3">
        <v>45356</v>
      </c>
      <c r="B1717" t="s">
        <v>498</v>
      </c>
      <c r="C1717" t="s">
        <v>105</v>
      </c>
      <c r="D1717" t="s">
        <v>20</v>
      </c>
      <c r="E1717" t="s">
        <v>67</v>
      </c>
      <c r="F1717" t="s">
        <v>46</v>
      </c>
      <c r="G1717" t="s">
        <v>92</v>
      </c>
      <c r="H1717" t="s">
        <v>430</v>
      </c>
      <c r="I1717">
        <v>8.5000000000000006E-2</v>
      </c>
      <c r="J1717">
        <f t="shared" si="78"/>
        <v>56.95</v>
      </c>
      <c r="K1717">
        <v>0</v>
      </c>
      <c r="L1717">
        <f t="shared" si="79"/>
        <v>56.95</v>
      </c>
      <c r="M1717" s="4">
        <f t="shared" si="80"/>
        <v>7.5933333333333339E-2</v>
      </c>
      <c r="N1717">
        <v>750</v>
      </c>
      <c r="O1717">
        <v>670</v>
      </c>
      <c r="P1717" t="s">
        <v>25</v>
      </c>
      <c r="Q1717" t="s">
        <v>26</v>
      </c>
      <c r="R1717" t="str">
        <f>IF(COUNTIF(Sheet2!B:B, A1717) &gt; 0, "Yes", "No")</f>
        <v>No</v>
      </c>
    </row>
    <row r="1718" spans="1:18" x14ac:dyDescent="0.25">
      <c r="A1718" s="3">
        <v>45356</v>
      </c>
      <c r="B1718" t="s">
        <v>498</v>
      </c>
      <c r="C1718" t="s">
        <v>105</v>
      </c>
      <c r="D1718" t="s">
        <v>20</v>
      </c>
      <c r="E1718" t="s">
        <v>67</v>
      </c>
      <c r="F1718" t="s">
        <v>49</v>
      </c>
      <c r="G1718" t="s">
        <v>50</v>
      </c>
      <c r="H1718" t="s">
        <v>49</v>
      </c>
      <c r="I1718">
        <v>0.09</v>
      </c>
      <c r="J1718">
        <f t="shared" si="78"/>
        <v>60.3</v>
      </c>
      <c r="K1718">
        <v>2</v>
      </c>
      <c r="L1718">
        <f t="shared" si="79"/>
        <v>58.3</v>
      </c>
      <c r="M1718" s="4">
        <f t="shared" si="80"/>
        <v>7.7733333333333335E-2</v>
      </c>
      <c r="N1718">
        <v>750</v>
      </c>
      <c r="O1718">
        <v>670</v>
      </c>
      <c r="P1718" t="s">
        <v>25</v>
      </c>
      <c r="Q1718" t="s">
        <v>26</v>
      </c>
      <c r="R1718" t="str">
        <f>IF(COUNTIF(Sheet2!B:B, A1718) &gt; 0, "Yes", "No")</f>
        <v>No</v>
      </c>
    </row>
    <row r="1719" spans="1:18" x14ac:dyDescent="0.25">
      <c r="A1719" s="3">
        <v>45357</v>
      </c>
      <c r="B1719" t="s">
        <v>498</v>
      </c>
      <c r="C1719" t="s">
        <v>51</v>
      </c>
      <c r="D1719" t="s">
        <v>20</v>
      </c>
      <c r="E1719" t="s">
        <v>21</v>
      </c>
      <c r="F1719" t="s">
        <v>22</v>
      </c>
      <c r="G1719" t="s">
        <v>52</v>
      </c>
      <c r="H1719" t="s">
        <v>53</v>
      </c>
      <c r="I1719">
        <v>8.5000000000000006E-2</v>
      </c>
      <c r="J1719">
        <f t="shared" si="78"/>
        <v>65.45</v>
      </c>
      <c r="K1719">
        <v>7</v>
      </c>
      <c r="L1719">
        <f t="shared" si="79"/>
        <v>58.45</v>
      </c>
      <c r="M1719" s="4">
        <f t="shared" si="80"/>
        <v>6.876470588235295E-2</v>
      </c>
      <c r="N1719">
        <v>850</v>
      </c>
      <c r="O1719">
        <v>770</v>
      </c>
      <c r="P1719" t="s">
        <v>25</v>
      </c>
      <c r="Q1719" t="s">
        <v>26</v>
      </c>
      <c r="R1719" t="str">
        <f>IF(COUNTIF(Sheet2!B:B, A1719) &gt; 0, "Yes", "No")</f>
        <v>No</v>
      </c>
    </row>
    <row r="1720" spans="1:18" x14ac:dyDescent="0.25">
      <c r="A1720" s="3">
        <v>45357</v>
      </c>
      <c r="B1720" t="s">
        <v>498</v>
      </c>
      <c r="C1720" t="s">
        <v>51</v>
      </c>
      <c r="D1720" t="s">
        <v>20</v>
      </c>
      <c r="E1720" t="s">
        <v>21</v>
      </c>
      <c r="F1720" t="s">
        <v>27</v>
      </c>
      <c r="G1720" t="s">
        <v>28</v>
      </c>
      <c r="H1720" t="s">
        <v>54</v>
      </c>
      <c r="I1720">
        <v>0.11</v>
      </c>
      <c r="J1720">
        <f t="shared" si="78"/>
        <v>84.7</v>
      </c>
      <c r="K1720">
        <v>0</v>
      </c>
      <c r="L1720">
        <f t="shared" si="79"/>
        <v>84.7</v>
      </c>
      <c r="M1720" s="4">
        <f t="shared" si="80"/>
        <v>9.9647058823529422E-2</v>
      </c>
      <c r="N1720">
        <v>850</v>
      </c>
      <c r="O1720">
        <v>770</v>
      </c>
      <c r="P1720" t="s">
        <v>25</v>
      </c>
      <c r="Q1720" t="s">
        <v>26</v>
      </c>
      <c r="R1720" t="str">
        <f>IF(COUNTIF(Sheet2!B:B, A1720) &gt; 0, "Yes", "No")</f>
        <v>No</v>
      </c>
    </row>
    <row r="1721" spans="1:18" x14ac:dyDescent="0.25">
      <c r="A1721" s="3">
        <v>45357</v>
      </c>
      <c r="B1721" t="s">
        <v>498</v>
      </c>
      <c r="C1721" t="s">
        <v>51</v>
      </c>
      <c r="D1721" t="s">
        <v>20</v>
      </c>
      <c r="E1721" t="s">
        <v>21</v>
      </c>
      <c r="F1721" t="s">
        <v>30</v>
      </c>
      <c r="G1721" t="s">
        <v>55</v>
      </c>
      <c r="H1721" t="s">
        <v>56</v>
      </c>
      <c r="I1721">
        <v>0.09</v>
      </c>
      <c r="J1721">
        <f t="shared" si="78"/>
        <v>69.3</v>
      </c>
      <c r="K1721">
        <v>0</v>
      </c>
      <c r="L1721">
        <f t="shared" si="79"/>
        <v>69.3</v>
      </c>
      <c r="M1721" s="4">
        <f t="shared" si="80"/>
        <v>8.1529411764705878E-2</v>
      </c>
      <c r="N1721">
        <v>850</v>
      </c>
      <c r="O1721">
        <v>770</v>
      </c>
      <c r="P1721" t="s">
        <v>25</v>
      </c>
      <c r="Q1721" t="s">
        <v>26</v>
      </c>
      <c r="R1721" t="str">
        <f>IF(COUNTIF(Sheet2!B:B, A1721) &gt; 0, "Yes", "No")</f>
        <v>No</v>
      </c>
    </row>
    <row r="1722" spans="1:18" x14ac:dyDescent="0.25">
      <c r="A1722" s="3">
        <v>45357</v>
      </c>
      <c r="B1722" t="s">
        <v>498</v>
      </c>
      <c r="C1722" t="s">
        <v>51</v>
      </c>
      <c r="D1722" t="s">
        <v>33</v>
      </c>
      <c r="E1722" t="s">
        <v>21</v>
      </c>
      <c r="F1722" t="s">
        <v>34</v>
      </c>
      <c r="G1722" t="s">
        <v>57</v>
      </c>
      <c r="H1722" t="s">
        <v>58</v>
      </c>
      <c r="I1722">
        <v>0.15</v>
      </c>
      <c r="J1722">
        <f t="shared" si="78"/>
        <v>81</v>
      </c>
      <c r="K1722">
        <v>3</v>
      </c>
      <c r="L1722">
        <f t="shared" si="79"/>
        <v>78</v>
      </c>
      <c r="M1722" s="4">
        <f t="shared" si="80"/>
        <v>0.13109243697478992</v>
      </c>
      <c r="N1722">
        <v>595</v>
      </c>
      <c r="O1722">
        <v>540</v>
      </c>
      <c r="P1722" t="s">
        <v>25</v>
      </c>
      <c r="Q1722" t="s">
        <v>26</v>
      </c>
      <c r="R1722" t="str">
        <f>IF(COUNTIF(Sheet2!B:B, A1722) &gt; 0, "Yes", "No")</f>
        <v>No</v>
      </c>
    </row>
    <row r="1723" spans="1:18" x14ac:dyDescent="0.25">
      <c r="A1723" s="3">
        <v>45357</v>
      </c>
      <c r="B1723" t="s">
        <v>498</v>
      </c>
      <c r="C1723" t="s">
        <v>51</v>
      </c>
      <c r="D1723" t="s">
        <v>20</v>
      </c>
      <c r="E1723" t="s">
        <v>21</v>
      </c>
      <c r="F1723" t="s">
        <v>37</v>
      </c>
      <c r="G1723" t="s">
        <v>117</v>
      </c>
      <c r="H1723" t="s">
        <v>476</v>
      </c>
      <c r="I1723">
        <v>0.03</v>
      </c>
      <c r="J1723">
        <f t="shared" si="78"/>
        <v>23.099999999999998</v>
      </c>
      <c r="K1723">
        <v>0</v>
      </c>
      <c r="L1723">
        <f t="shared" si="79"/>
        <v>23.099999999999998</v>
      </c>
      <c r="M1723" s="4">
        <f t="shared" si="80"/>
        <v>2.7176470588235292E-2</v>
      </c>
      <c r="N1723">
        <v>850</v>
      </c>
      <c r="O1723">
        <v>770</v>
      </c>
      <c r="P1723" t="s">
        <v>25</v>
      </c>
      <c r="Q1723" t="s">
        <v>26</v>
      </c>
      <c r="R1723" t="str">
        <f>IF(COUNTIF(Sheet2!B:B, A1723) &gt; 0, "Yes", "No")</f>
        <v>No</v>
      </c>
    </row>
    <row r="1724" spans="1:18" x14ac:dyDescent="0.25">
      <c r="A1724" s="3">
        <v>45357</v>
      </c>
      <c r="B1724" t="s">
        <v>498</v>
      </c>
      <c r="C1724" t="s">
        <v>51</v>
      </c>
      <c r="D1724" t="s">
        <v>20</v>
      </c>
      <c r="E1724" t="s">
        <v>21</v>
      </c>
      <c r="F1724" t="s">
        <v>40</v>
      </c>
      <c r="G1724" t="s">
        <v>41</v>
      </c>
      <c r="H1724" t="s">
        <v>42</v>
      </c>
      <c r="I1724">
        <v>4.4999999999999998E-2</v>
      </c>
      <c r="J1724">
        <f t="shared" si="78"/>
        <v>34.65</v>
      </c>
      <c r="K1724">
        <v>0</v>
      </c>
      <c r="L1724">
        <f t="shared" si="79"/>
        <v>34.65</v>
      </c>
      <c r="M1724" s="4">
        <f t="shared" si="80"/>
        <v>4.0764705882352939E-2</v>
      </c>
      <c r="N1724">
        <v>850</v>
      </c>
      <c r="O1724">
        <v>770</v>
      </c>
      <c r="P1724" t="s">
        <v>25</v>
      </c>
      <c r="Q1724" t="s">
        <v>26</v>
      </c>
      <c r="R1724" t="str">
        <f>IF(COUNTIF(Sheet2!B:B, A1724) &gt; 0, "Yes", "No")</f>
        <v>No</v>
      </c>
    </row>
    <row r="1725" spans="1:18" x14ac:dyDescent="0.25">
      <c r="A1725" s="3">
        <v>45357</v>
      </c>
      <c r="B1725" t="s">
        <v>498</v>
      </c>
      <c r="C1725" t="s">
        <v>51</v>
      </c>
      <c r="D1725" t="s">
        <v>20</v>
      </c>
      <c r="E1725" t="s">
        <v>21</v>
      </c>
      <c r="F1725" t="s">
        <v>43</v>
      </c>
      <c r="G1725" t="s">
        <v>111</v>
      </c>
      <c r="H1725" t="s">
        <v>475</v>
      </c>
      <c r="I1725">
        <v>0.11</v>
      </c>
      <c r="J1725">
        <f t="shared" si="78"/>
        <v>84.7</v>
      </c>
      <c r="K1725">
        <v>3</v>
      </c>
      <c r="L1725">
        <f t="shared" si="79"/>
        <v>81.7</v>
      </c>
      <c r="M1725" s="4">
        <f t="shared" si="80"/>
        <v>9.611764705882353E-2</v>
      </c>
      <c r="N1725">
        <v>850</v>
      </c>
      <c r="O1725">
        <v>770</v>
      </c>
      <c r="P1725" t="s">
        <v>25</v>
      </c>
      <c r="Q1725" t="s">
        <v>26</v>
      </c>
      <c r="R1725" t="str">
        <f>IF(COUNTIF(Sheet2!B:B, A1725) &gt; 0, "Yes", "No")</f>
        <v>No</v>
      </c>
    </row>
    <row r="1726" spans="1:18" x14ac:dyDescent="0.25">
      <c r="A1726" s="3">
        <v>45357</v>
      </c>
      <c r="B1726" t="s">
        <v>498</v>
      </c>
      <c r="C1726" t="s">
        <v>51</v>
      </c>
      <c r="D1726" t="s">
        <v>20</v>
      </c>
      <c r="E1726" t="s">
        <v>21</v>
      </c>
      <c r="F1726" t="s">
        <v>46</v>
      </c>
      <c r="G1726" t="s">
        <v>92</v>
      </c>
      <c r="H1726" t="s">
        <v>275</v>
      </c>
      <c r="I1726">
        <v>8.5000000000000006E-2</v>
      </c>
      <c r="J1726">
        <f t="shared" si="78"/>
        <v>65.45</v>
      </c>
      <c r="K1726">
        <v>4</v>
      </c>
      <c r="L1726">
        <f t="shared" si="79"/>
        <v>61.45</v>
      </c>
      <c r="M1726" s="4">
        <f t="shared" si="80"/>
        <v>7.2294117647058828E-2</v>
      </c>
      <c r="N1726">
        <v>850</v>
      </c>
      <c r="O1726">
        <v>770</v>
      </c>
      <c r="P1726" t="s">
        <v>25</v>
      </c>
      <c r="Q1726" t="s">
        <v>26</v>
      </c>
      <c r="R1726" t="str">
        <f>IF(COUNTIF(Sheet2!B:B, A1726) &gt; 0, "Yes", "No")</f>
        <v>No</v>
      </c>
    </row>
    <row r="1727" spans="1:18" x14ac:dyDescent="0.25">
      <c r="A1727" s="3">
        <v>45357</v>
      </c>
      <c r="B1727" t="s">
        <v>498</v>
      </c>
      <c r="C1727" t="s">
        <v>51</v>
      </c>
      <c r="D1727" t="s">
        <v>20</v>
      </c>
      <c r="E1727" t="s">
        <v>21</v>
      </c>
      <c r="F1727" t="s">
        <v>49</v>
      </c>
      <c r="G1727" t="s">
        <v>50</v>
      </c>
      <c r="H1727" t="s">
        <v>49</v>
      </c>
      <c r="I1727">
        <v>0.09</v>
      </c>
      <c r="J1727">
        <f t="shared" si="78"/>
        <v>69.3</v>
      </c>
      <c r="K1727">
        <v>0</v>
      </c>
      <c r="L1727">
        <f t="shared" si="79"/>
        <v>69.3</v>
      </c>
      <c r="M1727" s="4">
        <f t="shared" si="80"/>
        <v>8.1529411764705878E-2</v>
      </c>
      <c r="N1727">
        <v>850</v>
      </c>
      <c r="O1727">
        <v>770</v>
      </c>
      <c r="P1727" t="s">
        <v>25</v>
      </c>
      <c r="Q1727" t="s">
        <v>26</v>
      </c>
      <c r="R1727" t="str">
        <f>IF(COUNTIF(Sheet2!B:B, A1727) &gt; 0, "Yes", "No")</f>
        <v>No</v>
      </c>
    </row>
    <row r="1728" spans="1:18" x14ac:dyDescent="0.25">
      <c r="A1728" s="3">
        <v>45358</v>
      </c>
      <c r="B1728" t="s">
        <v>498</v>
      </c>
      <c r="C1728" t="s">
        <v>66</v>
      </c>
      <c r="D1728" t="s">
        <v>20</v>
      </c>
      <c r="E1728" t="s">
        <v>67</v>
      </c>
      <c r="F1728" t="s">
        <v>22</v>
      </c>
      <c r="G1728" t="s">
        <v>94</v>
      </c>
      <c r="H1728" t="s">
        <v>199</v>
      </c>
      <c r="I1728">
        <v>8.5000000000000006E-2</v>
      </c>
      <c r="J1728">
        <f t="shared" si="78"/>
        <v>57.800000000000004</v>
      </c>
      <c r="K1728">
        <v>0</v>
      </c>
      <c r="L1728">
        <f t="shared" si="79"/>
        <v>57.800000000000004</v>
      </c>
      <c r="M1728" s="4">
        <f t="shared" si="80"/>
        <v>7.7066666666666672E-2</v>
      </c>
      <c r="N1728">
        <v>750</v>
      </c>
      <c r="O1728">
        <v>680</v>
      </c>
      <c r="P1728" t="s">
        <v>283</v>
      </c>
      <c r="Q1728" t="s">
        <v>320</v>
      </c>
      <c r="R1728" t="str">
        <f>IF(COUNTIF(Sheet2!B:B, A1728) &gt; 0, "Yes", "No")</f>
        <v>No</v>
      </c>
    </row>
    <row r="1729" spans="1:18" x14ac:dyDescent="0.25">
      <c r="A1729" s="3">
        <v>45358</v>
      </c>
      <c r="B1729" t="s">
        <v>498</v>
      </c>
      <c r="C1729" t="s">
        <v>66</v>
      </c>
      <c r="D1729" t="s">
        <v>20</v>
      </c>
      <c r="E1729" t="s">
        <v>67</v>
      </c>
      <c r="F1729" t="s">
        <v>27</v>
      </c>
      <c r="G1729" t="s">
        <v>28</v>
      </c>
      <c r="H1729" t="s">
        <v>69</v>
      </c>
      <c r="I1729">
        <v>0.11</v>
      </c>
      <c r="J1729">
        <f t="shared" si="78"/>
        <v>74.8</v>
      </c>
      <c r="K1729">
        <v>2</v>
      </c>
      <c r="L1729">
        <f t="shared" si="79"/>
        <v>72.8</v>
      </c>
      <c r="M1729" s="4">
        <f t="shared" si="80"/>
        <v>9.7066666666666662E-2</v>
      </c>
      <c r="N1729">
        <v>750</v>
      </c>
      <c r="O1729">
        <v>680</v>
      </c>
      <c r="P1729" t="s">
        <v>283</v>
      </c>
      <c r="Q1729" t="s">
        <v>320</v>
      </c>
      <c r="R1729" t="str">
        <f>IF(COUNTIF(Sheet2!B:B, A1729) &gt; 0, "Yes", "No")</f>
        <v>No</v>
      </c>
    </row>
    <row r="1730" spans="1:18" x14ac:dyDescent="0.25">
      <c r="A1730" s="3">
        <v>45358</v>
      </c>
      <c r="B1730" t="s">
        <v>498</v>
      </c>
      <c r="C1730" t="s">
        <v>66</v>
      </c>
      <c r="D1730" t="s">
        <v>20</v>
      </c>
      <c r="E1730" t="s">
        <v>67</v>
      </c>
      <c r="F1730" t="s">
        <v>30</v>
      </c>
      <c r="G1730" t="s">
        <v>31</v>
      </c>
      <c r="H1730" t="s">
        <v>70</v>
      </c>
      <c r="I1730">
        <v>0.09</v>
      </c>
      <c r="J1730">
        <f t="shared" si="78"/>
        <v>61.199999999999996</v>
      </c>
      <c r="K1730">
        <v>0</v>
      </c>
      <c r="L1730">
        <f t="shared" si="79"/>
        <v>61.199999999999996</v>
      </c>
      <c r="M1730" s="4">
        <f t="shared" si="80"/>
        <v>8.1599999999999992E-2</v>
      </c>
      <c r="N1730">
        <v>750</v>
      </c>
      <c r="O1730">
        <v>680</v>
      </c>
      <c r="P1730" t="s">
        <v>283</v>
      </c>
      <c r="Q1730" t="s">
        <v>320</v>
      </c>
      <c r="R1730" t="str">
        <f>IF(COUNTIF(Sheet2!B:B, A1730) &gt; 0, "Yes", "No")</f>
        <v>No</v>
      </c>
    </row>
    <row r="1731" spans="1:18" x14ac:dyDescent="0.25">
      <c r="A1731" s="3">
        <v>45358</v>
      </c>
      <c r="B1731" t="s">
        <v>498</v>
      </c>
      <c r="C1731" t="s">
        <v>66</v>
      </c>
      <c r="D1731" t="s">
        <v>20</v>
      </c>
      <c r="E1731" t="s">
        <v>67</v>
      </c>
      <c r="F1731" t="s">
        <v>37</v>
      </c>
      <c r="G1731" t="s">
        <v>117</v>
      </c>
      <c r="H1731" t="s">
        <v>118</v>
      </c>
      <c r="I1731">
        <v>3.5000000000000003E-2</v>
      </c>
      <c r="J1731">
        <f t="shared" ref="J1731:J1794" si="81">I1731*O1731</f>
        <v>23.8</v>
      </c>
      <c r="K1731">
        <v>1</v>
      </c>
      <c r="L1731">
        <f t="shared" ref="L1731:L1794" si="82">J1731-K1731</f>
        <v>22.8</v>
      </c>
      <c r="M1731" s="4">
        <f t="shared" ref="M1731:M1794" si="83">((I1731*O1731)-K1731)/N1731</f>
        <v>3.04E-2</v>
      </c>
      <c r="N1731">
        <v>750</v>
      </c>
      <c r="O1731">
        <v>680</v>
      </c>
      <c r="P1731" t="s">
        <v>283</v>
      </c>
      <c r="Q1731" t="s">
        <v>320</v>
      </c>
      <c r="R1731" t="str">
        <f>IF(COUNTIF(Sheet2!B:B, A1731) &gt; 0, "Yes", "No")</f>
        <v>No</v>
      </c>
    </row>
    <row r="1732" spans="1:18" x14ac:dyDescent="0.25">
      <c r="A1732" s="3">
        <v>45358</v>
      </c>
      <c r="B1732" t="s">
        <v>498</v>
      </c>
      <c r="C1732" t="s">
        <v>66</v>
      </c>
      <c r="D1732" t="s">
        <v>20</v>
      </c>
      <c r="E1732" t="s">
        <v>67</v>
      </c>
      <c r="F1732" t="s">
        <v>40</v>
      </c>
      <c r="G1732" t="s">
        <v>73</v>
      </c>
      <c r="H1732" t="s">
        <v>74</v>
      </c>
      <c r="I1732">
        <v>0.05</v>
      </c>
      <c r="J1732">
        <f t="shared" si="81"/>
        <v>34</v>
      </c>
      <c r="K1732">
        <v>0</v>
      </c>
      <c r="L1732">
        <f t="shared" si="82"/>
        <v>34</v>
      </c>
      <c r="M1732" s="4">
        <f t="shared" si="83"/>
        <v>4.5333333333333337E-2</v>
      </c>
      <c r="N1732">
        <v>750</v>
      </c>
      <c r="O1732">
        <v>680</v>
      </c>
      <c r="P1732" t="s">
        <v>283</v>
      </c>
      <c r="Q1732" t="s">
        <v>320</v>
      </c>
      <c r="R1732" t="str">
        <f>IF(COUNTIF(Sheet2!B:B, A1732) &gt; 0, "Yes", "No")</f>
        <v>No</v>
      </c>
    </row>
    <row r="1733" spans="1:18" x14ac:dyDescent="0.25">
      <c r="A1733" s="3">
        <v>45358</v>
      </c>
      <c r="B1733" t="s">
        <v>498</v>
      </c>
      <c r="C1733" t="s">
        <v>66</v>
      </c>
      <c r="D1733" t="s">
        <v>20</v>
      </c>
      <c r="E1733" t="s">
        <v>67</v>
      </c>
      <c r="F1733" t="s">
        <v>43</v>
      </c>
      <c r="G1733" t="s">
        <v>128</v>
      </c>
      <c r="H1733" t="s">
        <v>129</v>
      </c>
      <c r="I1733">
        <v>0.11</v>
      </c>
      <c r="J1733">
        <f t="shared" si="81"/>
        <v>74.8</v>
      </c>
      <c r="K1733">
        <v>0</v>
      </c>
      <c r="L1733">
        <f t="shared" si="82"/>
        <v>74.8</v>
      </c>
      <c r="M1733" s="4">
        <f t="shared" si="83"/>
        <v>9.9733333333333327E-2</v>
      </c>
      <c r="N1733">
        <v>750</v>
      </c>
      <c r="O1733">
        <v>680</v>
      </c>
      <c r="P1733" t="s">
        <v>283</v>
      </c>
      <c r="Q1733" t="s">
        <v>320</v>
      </c>
      <c r="R1733" t="str">
        <f>IF(COUNTIF(Sheet2!B:B, A1733) &gt; 0, "Yes", "No")</f>
        <v>No</v>
      </c>
    </row>
    <row r="1734" spans="1:18" x14ac:dyDescent="0.25">
      <c r="A1734" s="3">
        <v>45358</v>
      </c>
      <c r="B1734" t="s">
        <v>498</v>
      </c>
      <c r="C1734" t="s">
        <v>66</v>
      </c>
      <c r="D1734" t="s">
        <v>20</v>
      </c>
      <c r="E1734" t="s">
        <v>67</v>
      </c>
      <c r="F1734" t="s">
        <v>46</v>
      </c>
      <c r="G1734" t="s">
        <v>47</v>
      </c>
      <c r="H1734" t="s">
        <v>48</v>
      </c>
      <c r="I1734">
        <v>8.5000000000000006E-2</v>
      </c>
      <c r="J1734">
        <f t="shared" si="81"/>
        <v>57.800000000000004</v>
      </c>
      <c r="K1734">
        <v>2</v>
      </c>
      <c r="L1734">
        <f t="shared" si="82"/>
        <v>55.800000000000004</v>
      </c>
      <c r="M1734" s="4">
        <f t="shared" si="83"/>
        <v>7.4400000000000008E-2</v>
      </c>
      <c r="N1734">
        <v>750</v>
      </c>
      <c r="O1734">
        <v>680</v>
      </c>
      <c r="P1734" t="s">
        <v>283</v>
      </c>
      <c r="Q1734" t="s">
        <v>320</v>
      </c>
      <c r="R1734" t="str">
        <f>IF(COUNTIF(Sheet2!B:B, A1734) &gt; 0, "Yes", "No")</f>
        <v>No</v>
      </c>
    </row>
    <row r="1735" spans="1:18" x14ac:dyDescent="0.25">
      <c r="A1735" s="3">
        <v>45358</v>
      </c>
      <c r="B1735" t="s">
        <v>498</v>
      </c>
      <c r="C1735" t="s">
        <v>66</v>
      </c>
      <c r="D1735" t="s">
        <v>20</v>
      </c>
      <c r="E1735" t="s">
        <v>67</v>
      </c>
      <c r="F1735" t="s">
        <v>49</v>
      </c>
      <c r="G1735" t="s">
        <v>50</v>
      </c>
      <c r="H1735" t="s">
        <v>49</v>
      </c>
      <c r="I1735">
        <v>0.09</v>
      </c>
      <c r="J1735">
        <f t="shared" si="81"/>
        <v>61.199999999999996</v>
      </c>
      <c r="K1735">
        <v>0</v>
      </c>
      <c r="L1735">
        <f t="shared" si="82"/>
        <v>61.199999999999996</v>
      </c>
      <c r="M1735" s="4">
        <f t="shared" si="83"/>
        <v>8.1599999999999992E-2</v>
      </c>
      <c r="N1735">
        <v>750</v>
      </c>
      <c r="O1735">
        <v>680</v>
      </c>
      <c r="P1735" t="s">
        <v>283</v>
      </c>
      <c r="Q1735" t="s">
        <v>320</v>
      </c>
      <c r="R1735" t="str">
        <f>IF(COUNTIF(Sheet2!B:B, A1735) &gt; 0, "Yes", "No")</f>
        <v>No</v>
      </c>
    </row>
    <row r="1736" spans="1:18" x14ac:dyDescent="0.25">
      <c r="A1736" s="3">
        <v>45359</v>
      </c>
      <c r="B1736" t="s">
        <v>498</v>
      </c>
      <c r="C1736" t="s">
        <v>79</v>
      </c>
      <c r="D1736" t="s">
        <v>20</v>
      </c>
      <c r="E1736" t="s">
        <v>21</v>
      </c>
      <c r="F1736" t="s">
        <v>22</v>
      </c>
      <c r="G1736" t="s">
        <v>23</v>
      </c>
      <c r="H1736" t="s">
        <v>80</v>
      </c>
      <c r="I1736" s="5">
        <v>0.06</v>
      </c>
      <c r="J1736">
        <f t="shared" si="81"/>
        <v>33</v>
      </c>
      <c r="K1736">
        <v>4</v>
      </c>
      <c r="L1736">
        <f t="shared" si="82"/>
        <v>29</v>
      </c>
      <c r="M1736" s="4">
        <f t="shared" si="83"/>
        <v>4.8333333333333332E-2</v>
      </c>
      <c r="N1736">
        <v>600</v>
      </c>
      <c r="O1736">
        <v>550</v>
      </c>
      <c r="P1736" t="s">
        <v>341</v>
      </c>
      <c r="Q1736" t="s">
        <v>320</v>
      </c>
      <c r="R1736" t="str">
        <f>IF(COUNTIF(Sheet2!B:B, A1736) &gt; 0, "Yes", "No")</f>
        <v>Yes</v>
      </c>
    </row>
    <row r="1737" spans="1:18" x14ac:dyDescent="0.25">
      <c r="A1737" s="3">
        <v>45359</v>
      </c>
      <c r="B1737" t="s">
        <v>498</v>
      </c>
      <c r="C1737" t="s">
        <v>79</v>
      </c>
      <c r="D1737" t="s">
        <v>20</v>
      </c>
      <c r="E1737" t="s">
        <v>21</v>
      </c>
      <c r="F1737" t="s">
        <v>27</v>
      </c>
      <c r="G1737" t="s">
        <v>81</v>
      </c>
      <c r="H1737" t="s">
        <v>479</v>
      </c>
      <c r="I1737" s="5">
        <v>0.1</v>
      </c>
      <c r="J1737">
        <f t="shared" si="81"/>
        <v>55</v>
      </c>
      <c r="K1737">
        <v>3</v>
      </c>
      <c r="L1737">
        <f t="shared" si="82"/>
        <v>52</v>
      </c>
      <c r="M1737" s="4">
        <f t="shared" si="83"/>
        <v>8.666666666666667E-2</v>
      </c>
      <c r="N1737">
        <v>600</v>
      </c>
      <c r="O1737">
        <v>550</v>
      </c>
      <c r="P1737" t="s">
        <v>341</v>
      </c>
      <c r="Q1737" t="s">
        <v>320</v>
      </c>
      <c r="R1737" t="str">
        <f>IF(COUNTIF(Sheet2!B:B, A1737) &gt; 0, "Yes", "No")</f>
        <v>Yes</v>
      </c>
    </row>
    <row r="1738" spans="1:18" x14ac:dyDescent="0.25">
      <c r="A1738" s="3">
        <v>45359</v>
      </c>
      <c r="B1738" t="s">
        <v>498</v>
      </c>
      <c r="C1738" t="s">
        <v>79</v>
      </c>
      <c r="D1738" t="s">
        <v>20</v>
      </c>
      <c r="E1738" t="s">
        <v>21</v>
      </c>
      <c r="F1738" t="s">
        <v>30</v>
      </c>
      <c r="G1738" t="s">
        <v>55</v>
      </c>
      <c r="H1738" t="s">
        <v>183</v>
      </c>
      <c r="I1738" s="5">
        <v>0.06</v>
      </c>
      <c r="J1738">
        <f t="shared" si="81"/>
        <v>33</v>
      </c>
      <c r="K1738">
        <v>2</v>
      </c>
      <c r="L1738">
        <f t="shared" si="82"/>
        <v>31</v>
      </c>
      <c r="M1738" s="4">
        <f t="shared" si="83"/>
        <v>5.1666666666666666E-2</v>
      </c>
      <c r="N1738">
        <v>600</v>
      </c>
      <c r="O1738">
        <v>550</v>
      </c>
      <c r="P1738" t="s">
        <v>341</v>
      </c>
      <c r="Q1738" t="s">
        <v>320</v>
      </c>
      <c r="R1738" t="str">
        <f>IF(COUNTIF(Sheet2!B:B, A1738) &gt; 0, "Yes", "No")</f>
        <v>Yes</v>
      </c>
    </row>
    <row r="1739" spans="1:18" x14ac:dyDescent="0.25">
      <c r="A1739" s="3">
        <v>45359</v>
      </c>
      <c r="B1739" t="s">
        <v>498</v>
      </c>
      <c r="C1739" t="s">
        <v>79</v>
      </c>
      <c r="D1739" t="s">
        <v>33</v>
      </c>
      <c r="E1739" t="s">
        <v>21</v>
      </c>
      <c r="F1739" t="s">
        <v>84</v>
      </c>
      <c r="G1739" t="s">
        <v>85</v>
      </c>
      <c r="H1739" t="s">
        <v>201</v>
      </c>
      <c r="I1739" s="5">
        <v>0.3</v>
      </c>
      <c r="J1739">
        <f t="shared" si="81"/>
        <v>115.5</v>
      </c>
      <c r="K1739">
        <v>0</v>
      </c>
      <c r="L1739">
        <f t="shared" si="82"/>
        <v>115.5</v>
      </c>
      <c r="M1739" s="4">
        <f t="shared" si="83"/>
        <v>0.27500000000000002</v>
      </c>
      <c r="N1739">
        <v>420</v>
      </c>
      <c r="O1739">
        <v>385</v>
      </c>
      <c r="P1739" t="s">
        <v>341</v>
      </c>
      <c r="Q1739" t="s">
        <v>320</v>
      </c>
      <c r="R1739" t="str">
        <f>IF(COUNTIF(Sheet2!B:B, A1739) &gt; 0, "Yes", "No")</f>
        <v>Yes</v>
      </c>
    </row>
    <row r="1740" spans="1:18" x14ac:dyDescent="0.25">
      <c r="A1740" s="3">
        <v>45359</v>
      </c>
      <c r="B1740" t="s">
        <v>498</v>
      </c>
      <c r="C1740" t="s">
        <v>79</v>
      </c>
      <c r="D1740" t="s">
        <v>20</v>
      </c>
      <c r="E1740" t="s">
        <v>21</v>
      </c>
      <c r="F1740" t="s">
        <v>37</v>
      </c>
      <c r="G1740" t="s">
        <v>87</v>
      </c>
      <c r="H1740" t="s">
        <v>88</v>
      </c>
      <c r="I1740" s="5">
        <v>2.5000000000000001E-2</v>
      </c>
      <c r="J1740">
        <f t="shared" si="81"/>
        <v>13.75</v>
      </c>
      <c r="K1740">
        <v>3</v>
      </c>
      <c r="L1740">
        <f t="shared" si="82"/>
        <v>10.75</v>
      </c>
      <c r="M1740" s="4">
        <f t="shared" si="83"/>
        <v>1.7916666666666668E-2</v>
      </c>
      <c r="N1740">
        <v>600</v>
      </c>
      <c r="O1740">
        <v>550</v>
      </c>
      <c r="P1740" t="s">
        <v>341</v>
      </c>
      <c r="Q1740" t="s">
        <v>320</v>
      </c>
      <c r="R1740" t="str">
        <f>IF(COUNTIF(Sheet2!B:B, A1740) &gt; 0, "Yes", "No")</f>
        <v>Yes</v>
      </c>
    </row>
    <row r="1741" spans="1:18" x14ac:dyDescent="0.25">
      <c r="A1741" s="3">
        <v>45359</v>
      </c>
      <c r="B1741" t="s">
        <v>498</v>
      </c>
      <c r="C1741" t="s">
        <v>79</v>
      </c>
      <c r="D1741" t="s">
        <v>20</v>
      </c>
      <c r="E1741" t="s">
        <v>21</v>
      </c>
      <c r="F1741" t="s">
        <v>40</v>
      </c>
      <c r="G1741" t="s">
        <v>127</v>
      </c>
      <c r="H1741" t="s">
        <v>127</v>
      </c>
      <c r="I1741" s="5">
        <v>0.04</v>
      </c>
      <c r="J1741">
        <f t="shared" si="81"/>
        <v>22</v>
      </c>
      <c r="K1741">
        <v>4</v>
      </c>
      <c r="L1741">
        <f t="shared" si="82"/>
        <v>18</v>
      </c>
      <c r="M1741" s="4">
        <f t="shared" si="83"/>
        <v>0.03</v>
      </c>
      <c r="N1741">
        <v>600</v>
      </c>
      <c r="O1741">
        <v>550</v>
      </c>
      <c r="P1741" t="s">
        <v>341</v>
      </c>
      <c r="Q1741" t="s">
        <v>320</v>
      </c>
      <c r="R1741" t="str">
        <f>IF(COUNTIF(Sheet2!B:B, A1741) &gt; 0, "Yes", "No")</f>
        <v>Yes</v>
      </c>
    </row>
    <row r="1742" spans="1:18" x14ac:dyDescent="0.25">
      <c r="A1742" s="3">
        <v>45359</v>
      </c>
      <c r="B1742" t="s">
        <v>498</v>
      </c>
      <c r="C1742" t="s">
        <v>79</v>
      </c>
      <c r="D1742" t="s">
        <v>20</v>
      </c>
      <c r="E1742" t="s">
        <v>21</v>
      </c>
      <c r="F1742" t="s">
        <v>43</v>
      </c>
      <c r="G1742" t="s">
        <v>75</v>
      </c>
      <c r="H1742" t="s">
        <v>456</v>
      </c>
      <c r="I1742" s="5">
        <v>7.0000000000000007E-2</v>
      </c>
      <c r="J1742">
        <f t="shared" si="81"/>
        <v>38.500000000000007</v>
      </c>
      <c r="K1742">
        <v>4</v>
      </c>
      <c r="L1742">
        <f t="shared" si="82"/>
        <v>34.500000000000007</v>
      </c>
      <c r="M1742" s="4">
        <f t="shared" si="83"/>
        <v>5.7500000000000009E-2</v>
      </c>
      <c r="N1742">
        <v>600</v>
      </c>
      <c r="O1742">
        <v>550</v>
      </c>
      <c r="P1742" t="s">
        <v>341</v>
      </c>
      <c r="Q1742" t="s">
        <v>320</v>
      </c>
      <c r="R1742" t="str">
        <f>IF(COUNTIF(Sheet2!B:B, A1742) &gt; 0, "Yes", "No")</f>
        <v>Yes</v>
      </c>
    </row>
    <row r="1743" spans="1:18" x14ac:dyDescent="0.25">
      <c r="A1743" s="3">
        <v>45359</v>
      </c>
      <c r="B1743" t="s">
        <v>498</v>
      </c>
      <c r="C1743" t="s">
        <v>79</v>
      </c>
      <c r="D1743" t="s">
        <v>20</v>
      </c>
      <c r="E1743" t="s">
        <v>21</v>
      </c>
      <c r="F1743" t="s">
        <v>46</v>
      </c>
      <c r="G1743" t="s">
        <v>47</v>
      </c>
      <c r="H1743" t="s">
        <v>480</v>
      </c>
      <c r="I1743" s="5">
        <v>0.06</v>
      </c>
      <c r="J1743">
        <f t="shared" si="81"/>
        <v>33</v>
      </c>
      <c r="K1743">
        <v>4</v>
      </c>
      <c r="L1743">
        <f t="shared" si="82"/>
        <v>29</v>
      </c>
      <c r="M1743" s="4">
        <f t="shared" si="83"/>
        <v>4.8333333333333332E-2</v>
      </c>
      <c r="N1743">
        <v>600</v>
      </c>
      <c r="O1743">
        <v>550</v>
      </c>
      <c r="P1743" t="s">
        <v>341</v>
      </c>
      <c r="Q1743" t="s">
        <v>320</v>
      </c>
      <c r="R1743" t="str">
        <f>IF(COUNTIF(Sheet2!B:B, A1743) &gt; 0, "Yes", "No")</f>
        <v>Yes</v>
      </c>
    </row>
    <row r="1744" spans="1:18" x14ac:dyDescent="0.25">
      <c r="A1744" s="3">
        <v>45359</v>
      </c>
      <c r="B1744" t="s">
        <v>498</v>
      </c>
      <c r="C1744" t="s">
        <v>79</v>
      </c>
      <c r="D1744" t="s">
        <v>20</v>
      </c>
      <c r="E1744" t="s">
        <v>21</v>
      </c>
      <c r="F1744" t="s">
        <v>49</v>
      </c>
      <c r="G1744" t="s">
        <v>50</v>
      </c>
      <c r="H1744" t="s">
        <v>49</v>
      </c>
      <c r="I1744" s="5">
        <v>0.04</v>
      </c>
      <c r="J1744">
        <f t="shared" si="81"/>
        <v>22</v>
      </c>
      <c r="K1744">
        <v>3</v>
      </c>
      <c r="L1744">
        <f t="shared" si="82"/>
        <v>19</v>
      </c>
      <c r="M1744" s="4">
        <f t="shared" si="83"/>
        <v>3.1666666666666669E-2</v>
      </c>
      <c r="N1744">
        <v>600</v>
      </c>
      <c r="O1744">
        <v>550</v>
      </c>
      <c r="P1744" t="s">
        <v>341</v>
      </c>
      <c r="Q1744" t="s">
        <v>320</v>
      </c>
      <c r="R1744" t="str">
        <f>IF(COUNTIF(Sheet2!B:B, A1744) &gt; 0, "Yes", "No")</f>
        <v>Yes</v>
      </c>
    </row>
    <row r="1745" spans="1:18" x14ac:dyDescent="0.25">
      <c r="A1745" s="3">
        <v>45362</v>
      </c>
      <c r="B1745" t="s">
        <v>498</v>
      </c>
      <c r="C1745" t="s">
        <v>19</v>
      </c>
      <c r="D1745" t="s">
        <v>20</v>
      </c>
      <c r="E1745" t="s">
        <v>21</v>
      </c>
      <c r="F1745" t="s">
        <v>22</v>
      </c>
      <c r="G1745" t="s">
        <v>94</v>
      </c>
      <c r="H1745" t="s">
        <v>143</v>
      </c>
      <c r="I1745">
        <v>8.5000000000000006E-2</v>
      </c>
      <c r="J1745">
        <f t="shared" si="81"/>
        <v>57.800000000000004</v>
      </c>
      <c r="K1745">
        <v>0.5</v>
      </c>
      <c r="L1745">
        <f t="shared" si="82"/>
        <v>57.300000000000004</v>
      </c>
      <c r="M1745" s="4">
        <f t="shared" si="83"/>
        <v>7.640000000000001E-2</v>
      </c>
      <c r="N1745">
        <v>750</v>
      </c>
      <c r="O1745">
        <v>680</v>
      </c>
      <c r="P1745" t="s">
        <v>25</v>
      </c>
      <c r="Q1745" t="s">
        <v>26</v>
      </c>
      <c r="R1745" t="str">
        <f>IF(COUNTIF(Sheet2!B:B, A1745) &gt; 0, "Yes", "No")</f>
        <v>No</v>
      </c>
    </row>
    <row r="1746" spans="1:18" x14ac:dyDescent="0.25">
      <c r="A1746" s="3">
        <v>45362</v>
      </c>
      <c r="B1746" t="s">
        <v>498</v>
      </c>
      <c r="C1746" t="s">
        <v>19</v>
      </c>
      <c r="D1746" t="s">
        <v>20</v>
      </c>
      <c r="E1746" t="s">
        <v>21</v>
      </c>
      <c r="F1746" t="s">
        <v>27</v>
      </c>
      <c r="G1746" t="s">
        <v>780</v>
      </c>
      <c r="H1746" t="s">
        <v>503</v>
      </c>
      <c r="I1746">
        <v>0.11</v>
      </c>
      <c r="J1746">
        <f t="shared" si="81"/>
        <v>74.8</v>
      </c>
      <c r="K1746">
        <v>1</v>
      </c>
      <c r="L1746">
        <f t="shared" si="82"/>
        <v>73.8</v>
      </c>
      <c r="M1746" s="4">
        <f t="shared" si="83"/>
        <v>9.8400000000000001E-2</v>
      </c>
      <c r="N1746">
        <v>750</v>
      </c>
      <c r="O1746">
        <v>680</v>
      </c>
      <c r="P1746" t="s">
        <v>25</v>
      </c>
      <c r="Q1746" t="s">
        <v>26</v>
      </c>
      <c r="R1746" t="str">
        <f>IF(COUNTIF(Sheet2!B:B, A1746) &gt; 0, "Yes", "No")</f>
        <v>No</v>
      </c>
    </row>
    <row r="1747" spans="1:18" x14ac:dyDescent="0.25">
      <c r="A1747" s="3">
        <v>45362</v>
      </c>
      <c r="B1747" t="s">
        <v>498</v>
      </c>
      <c r="C1747" t="s">
        <v>19</v>
      </c>
      <c r="D1747" t="s">
        <v>20</v>
      </c>
      <c r="E1747" t="s">
        <v>21</v>
      </c>
      <c r="F1747" t="s">
        <v>30</v>
      </c>
      <c r="G1747" t="s">
        <v>55</v>
      </c>
      <c r="H1747" t="s">
        <v>183</v>
      </c>
      <c r="I1747">
        <v>0.09</v>
      </c>
      <c r="J1747">
        <f t="shared" si="81"/>
        <v>61.199999999999996</v>
      </c>
      <c r="K1747">
        <v>1</v>
      </c>
      <c r="L1747">
        <f t="shared" si="82"/>
        <v>60.199999999999996</v>
      </c>
      <c r="M1747" s="4">
        <f t="shared" si="83"/>
        <v>8.0266666666666667E-2</v>
      </c>
      <c r="N1747">
        <v>750</v>
      </c>
      <c r="O1747">
        <v>680</v>
      </c>
      <c r="P1747" t="s">
        <v>25</v>
      </c>
      <c r="Q1747" t="s">
        <v>26</v>
      </c>
      <c r="R1747" t="str">
        <f>IF(COUNTIF(Sheet2!B:B, A1747) &gt; 0, "Yes", "No")</f>
        <v>No</v>
      </c>
    </row>
    <row r="1748" spans="1:18" x14ac:dyDescent="0.25">
      <c r="A1748" s="3">
        <v>45362</v>
      </c>
      <c r="B1748" t="s">
        <v>498</v>
      </c>
      <c r="C1748" t="s">
        <v>19</v>
      </c>
      <c r="D1748" t="s">
        <v>33</v>
      </c>
      <c r="E1748" t="s">
        <v>21</v>
      </c>
      <c r="F1748" t="s">
        <v>34</v>
      </c>
      <c r="G1748" t="s">
        <v>35</v>
      </c>
      <c r="H1748" t="s">
        <v>504</v>
      </c>
      <c r="I1748">
        <v>0.15</v>
      </c>
      <c r="J1748">
        <f t="shared" si="81"/>
        <v>71.25</v>
      </c>
      <c r="K1748">
        <v>0</v>
      </c>
      <c r="L1748">
        <f t="shared" si="82"/>
        <v>71.25</v>
      </c>
      <c r="M1748" s="4">
        <f t="shared" si="83"/>
        <v>0.1357142857142857</v>
      </c>
      <c r="N1748">
        <v>525</v>
      </c>
      <c r="O1748">
        <v>475</v>
      </c>
      <c r="P1748" t="s">
        <v>25</v>
      </c>
      <c r="Q1748" t="s">
        <v>26</v>
      </c>
      <c r="R1748" t="str">
        <f>IF(COUNTIF(Sheet2!B:B, A1748) &gt; 0, "Yes", "No")</f>
        <v>No</v>
      </c>
    </row>
    <row r="1749" spans="1:18" x14ac:dyDescent="0.25">
      <c r="A1749" s="3">
        <v>45362</v>
      </c>
      <c r="B1749" t="s">
        <v>498</v>
      </c>
      <c r="C1749" t="s">
        <v>19</v>
      </c>
      <c r="D1749" t="s">
        <v>20</v>
      </c>
      <c r="E1749" t="s">
        <v>21</v>
      </c>
      <c r="F1749" t="s">
        <v>37</v>
      </c>
      <c r="G1749" t="s">
        <v>59</v>
      </c>
      <c r="H1749" t="s">
        <v>442</v>
      </c>
      <c r="I1749">
        <v>0.03</v>
      </c>
      <c r="J1749">
        <f t="shared" si="81"/>
        <v>20.399999999999999</v>
      </c>
      <c r="K1749">
        <v>1</v>
      </c>
      <c r="L1749">
        <f t="shared" si="82"/>
        <v>19.399999999999999</v>
      </c>
      <c r="M1749" s="4">
        <f t="shared" si="83"/>
        <v>2.5866666666666666E-2</v>
      </c>
      <c r="N1749">
        <v>750</v>
      </c>
      <c r="O1749">
        <v>680</v>
      </c>
      <c r="P1749" t="s">
        <v>25</v>
      </c>
      <c r="Q1749" t="s">
        <v>26</v>
      </c>
      <c r="R1749" t="str">
        <f>IF(COUNTIF(Sheet2!B:B, A1749) &gt; 0, "Yes", "No")</f>
        <v>No</v>
      </c>
    </row>
    <row r="1750" spans="1:18" x14ac:dyDescent="0.25">
      <c r="A1750" s="3">
        <v>45362</v>
      </c>
      <c r="B1750" t="s">
        <v>498</v>
      </c>
      <c r="C1750" t="s">
        <v>19</v>
      </c>
      <c r="D1750" t="s">
        <v>20</v>
      </c>
      <c r="E1750" t="s">
        <v>21</v>
      </c>
      <c r="F1750" t="s">
        <v>40</v>
      </c>
      <c r="G1750" t="s">
        <v>364</v>
      </c>
      <c r="H1750" t="s">
        <v>505</v>
      </c>
      <c r="I1750">
        <v>4.4999999999999998E-2</v>
      </c>
      <c r="J1750">
        <f t="shared" si="81"/>
        <v>30.599999999999998</v>
      </c>
      <c r="K1750">
        <v>2</v>
      </c>
      <c r="L1750">
        <f t="shared" si="82"/>
        <v>28.599999999999998</v>
      </c>
      <c r="M1750" s="4">
        <f t="shared" si="83"/>
        <v>3.8133333333333332E-2</v>
      </c>
      <c r="N1750">
        <v>750</v>
      </c>
      <c r="O1750">
        <v>680</v>
      </c>
      <c r="P1750" t="s">
        <v>25</v>
      </c>
      <c r="Q1750" t="s">
        <v>26</v>
      </c>
      <c r="R1750" t="str">
        <f>IF(COUNTIF(Sheet2!B:B, A1750) &gt; 0, "Yes", "No")</f>
        <v>No</v>
      </c>
    </row>
    <row r="1751" spans="1:18" x14ac:dyDescent="0.25">
      <c r="A1751" s="3">
        <v>45362</v>
      </c>
      <c r="B1751" t="s">
        <v>498</v>
      </c>
      <c r="C1751" t="s">
        <v>19</v>
      </c>
      <c r="D1751" t="s">
        <v>20</v>
      </c>
      <c r="E1751" t="s">
        <v>21</v>
      </c>
      <c r="F1751" t="s">
        <v>43</v>
      </c>
      <c r="G1751" t="s">
        <v>111</v>
      </c>
      <c r="H1751" t="s">
        <v>475</v>
      </c>
      <c r="I1751">
        <v>0.11</v>
      </c>
      <c r="J1751">
        <f t="shared" si="81"/>
        <v>74.8</v>
      </c>
      <c r="K1751">
        <v>0.5</v>
      </c>
      <c r="L1751">
        <f t="shared" si="82"/>
        <v>74.3</v>
      </c>
      <c r="M1751" s="4">
        <f t="shared" si="83"/>
        <v>9.9066666666666664E-2</v>
      </c>
      <c r="N1751">
        <v>750</v>
      </c>
      <c r="O1751">
        <v>680</v>
      </c>
      <c r="P1751" t="s">
        <v>25</v>
      </c>
      <c r="Q1751" t="s">
        <v>26</v>
      </c>
      <c r="R1751" t="str">
        <f>IF(COUNTIF(Sheet2!B:B, A1751) &gt; 0, "Yes", "No")</f>
        <v>No</v>
      </c>
    </row>
    <row r="1752" spans="1:18" x14ac:dyDescent="0.25">
      <c r="A1752" s="3">
        <v>45362</v>
      </c>
      <c r="B1752" t="s">
        <v>498</v>
      </c>
      <c r="C1752" t="s">
        <v>19</v>
      </c>
      <c r="D1752" t="s">
        <v>20</v>
      </c>
      <c r="E1752" t="s">
        <v>21</v>
      </c>
      <c r="F1752" t="s">
        <v>46</v>
      </c>
      <c r="G1752" t="s">
        <v>47</v>
      </c>
      <c r="H1752" t="s">
        <v>228</v>
      </c>
      <c r="I1752">
        <v>8.5000000000000006E-2</v>
      </c>
      <c r="J1752">
        <f t="shared" si="81"/>
        <v>57.800000000000004</v>
      </c>
      <c r="K1752">
        <v>1</v>
      </c>
      <c r="L1752">
        <f t="shared" si="82"/>
        <v>56.800000000000004</v>
      </c>
      <c r="M1752" s="4">
        <f t="shared" si="83"/>
        <v>7.5733333333333333E-2</v>
      </c>
      <c r="N1752">
        <v>750</v>
      </c>
      <c r="O1752">
        <v>680</v>
      </c>
      <c r="P1752" t="s">
        <v>25</v>
      </c>
      <c r="Q1752" t="s">
        <v>26</v>
      </c>
      <c r="R1752" t="str">
        <f>IF(COUNTIF(Sheet2!B:B, A1752) &gt; 0, "Yes", "No")</f>
        <v>No</v>
      </c>
    </row>
    <row r="1753" spans="1:18" x14ac:dyDescent="0.25">
      <c r="A1753" s="3">
        <v>45362</v>
      </c>
      <c r="B1753" t="s">
        <v>498</v>
      </c>
      <c r="C1753" t="s">
        <v>19</v>
      </c>
      <c r="D1753" t="s">
        <v>20</v>
      </c>
      <c r="E1753" t="s">
        <v>21</v>
      </c>
      <c r="F1753" t="s">
        <v>49</v>
      </c>
      <c r="G1753" t="s">
        <v>50</v>
      </c>
      <c r="H1753" t="s">
        <v>49</v>
      </c>
      <c r="I1753">
        <v>0.09</v>
      </c>
      <c r="J1753">
        <f t="shared" si="81"/>
        <v>61.199999999999996</v>
      </c>
      <c r="K1753">
        <v>1</v>
      </c>
      <c r="L1753">
        <f t="shared" si="82"/>
        <v>60.199999999999996</v>
      </c>
      <c r="M1753" s="4">
        <f t="shared" si="83"/>
        <v>8.0266666666666667E-2</v>
      </c>
      <c r="N1753">
        <v>750</v>
      </c>
      <c r="O1753">
        <v>680</v>
      </c>
      <c r="P1753" t="s">
        <v>25</v>
      </c>
      <c r="Q1753" t="s">
        <v>26</v>
      </c>
      <c r="R1753" t="str">
        <f>IF(COUNTIF(Sheet2!B:B, A1753) &gt; 0, "Yes", "No")</f>
        <v>No</v>
      </c>
    </row>
    <row r="1754" spans="1:18" x14ac:dyDescent="0.25">
      <c r="A1754" s="3">
        <v>45363</v>
      </c>
      <c r="B1754" t="s">
        <v>498</v>
      </c>
      <c r="C1754" t="s">
        <v>105</v>
      </c>
      <c r="D1754" t="s">
        <v>20</v>
      </c>
      <c r="E1754" t="s">
        <v>67</v>
      </c>
      <c r="F1754" t="s">
        <v>22</v>
      </c>
      <c r="G1754" t="s">
        <v>122</v>
      </c>
      <c r="H1754" t="s">
        <v>260</v>
      </c>
      <c r="I1754">
        <v>8.5000000000000006E-2</v>
      </c>
      <c r="J1754">
        <f t="shared" si="81"/>
        <v>57.800000000000004</v>
      </c>
      <c r="K1754">
        <v>0</v>
      </c>
      <c r="L1754">
        <f t="shared" si="82"/>
        <v>57.800000000000004</v>
      </c>
      <c r="M1754" s="4">
        <f t="shared" si="83"/>
        <v>7.7066666666666672E-2</v>
      </c>
      <c r="N1754">
        <v>750</v>
      </c>
      <c r="O1754">
        <v>680</v>
      </c>
      <c r="P1754" t="s">
        <v>25</v>
      </c>
      <c r="Q1754" t="s">
        <v>26</v>
      </c>
      <c r="R1754" t="str">
        <f>IF(COUNTIF(Sheet2!B:B, A1754) &gt; 0, "Yes", "No")</f>
        <v>No</v>
      </c>
    </row>
    <row r="1755" spans="1:18" x14ac:dyDescent="0.25">
      <c r="A1755" s="3">
        <v>45363</v>
      </c>
      <c r="B1755" t="s">
        <v>498</v>
      </c>
      <c r="C1755" t="s">
        <v>105</v>
      </c>
      <c r="D1755" t="s">
        <v>20</v>
      </c>
      <c r="E1755" t="s">
        <v>67</v>
      </c>
      <c r="F1755" t="s">
        <v>27</v>
      </c>
      <c r="G1755" t="s">
        <v>28</v>
      </c>
      <c r="H1755" t="s">
        <v>506</v>
      </c>
      <c r="I1755">
        <v>0.11</v>
      </c>
      <c r="J1755">
        <f t="shared" si="81"/>
        <v>74.8</v>
      </c>
      <c r="K1755">
        <v>2</v>
      </c>
      <c r="L1755">
        <f t="shared" si="82"/>
        <v>72.8</v>
      </c>
      <c r="M1755" s="4">
        <f t="shared" si="83"/>
        <v>9.7066666666666662E-2</v>
      </c>
      <c r="N1755">
        <v>750</v>
      </c>
      <c r="O1755">
        <v>680</v>
      </c>
      <c r="P1755" t="s">
        <v>25</v>
      </c>
      <c r="Q1755" t="s">
        <v>26</v>
      </c>
      <c r="R1755" t="str">
        <f>IF(COUNTIF(Sheet2!B:B, A1755) &gt; 0, "Yes", "No")</f>
        <v>No</v>
      </c>
    </row>
    <row r="1756" spans="1:18" x14ac:dyDescent="0.25">
      <c r="A1756" s="3">
        <v>45363</v>
      </c>
      <c r="B1756" t="s">
        <v>498</v>
      </c>
      <c r="C1756" t="s">
        <v>105</v>
      </c>
      <c r="D1756" t="s">
        <v>20</v>
      </c>
      <c r="E1756" t="s">
        <v>67</v>
      </c>
      <c r="F1756" t="s">
        <v>30</v>
      </c>
      <c r="G1756" t="s">
        <v>55</v>
      </c>
      <c r="H1756" t="s">
        <v>125</v>
      </c>
      <c r="I1756">
        <v>0.09</v>
      </c>
      <c r="J1756">
        <f t="shared" si="81"/>
        <v>61.199999999999996</v>
      </c>
      <c r="K1756">
        <v>1</v>
      </c>
      <c r="L1756">
        <f t="shared" si="82"/>
        <v>60.199999999999996</v>
      </c>
      <c r="M1756" s="4">
        <f t="shared" si="83"/>
        <v>8.0266666666666667E-2</v>
      </c>
      <c r="N1756">
        <v>750</v>
      </c>
      <c r="O1756">
        <v>680</v>
      </c>
      <c r="P1756" t="s">
        <v>25</v>
      </c>
      <c r="Q1756" t="s">
        <v>26</v>
      </c>
      <c r="R1756" t="str">
        <f>IF(COUNTIF(Sheet2!B:B, A1756) &gt; 0, "Yes", "No")</f>
        <v>No</v>
      </c>
    </row>
    <row r="1757" spans="1:18" x14ac:dyDescent="0.25">
      <c r="A1757" s="3">
        <v>45363</v>
      </c>
      <c r="B1757" t="s">
        <v>498</v>
      </c>
      <c r="C1757" t="s">
        <v>105</v>
      </c>
      <c r="D1757" t="s">
        <v>20</v>
      </c>
      <c r="E1757" t="s">
        <v>67</v>
      </c>
      <c r="F1757" t="s">
        <v>37</v>
      </c>
      <c r="G1757" t="s">
        <v>262</v>
      </c>
      <c r="H1757" t="s">
        <v>507</v>
      </c>
      <c r="I1757">
        <v>3.5000000000000003E-2</v>
      </c>
      <c r="J1757">
        <f t="shared" si="81"/>
        <v>23.8</v>
      </c>
      <c r="K1757">
        <v>0</v>
      </c>
      <c r="L1757">
        <f t="shared" si="82"/>
        <v>23.8</v>
      </c>
      <c r="M1757" s="4">
        <f t="shared" si="83"/>
        <v>3.1733333333333336E-2</v>
      </c>
      <c r="N1757">
        <v>750</v>
      </c>
      <c r="O1757">
        <v>680</v>
      </c>
      <c r="P1757" t="s">
        <v>25</v>
      </c>
      <c r="Q1757" t="s">
        <v>26</v>
      </c>
      <c r="R1757" t="str">
        <f>IF(COUNTIF(Sheet2!B:B, A1757) &gt; 0, "Yes", "No")</f>
        <v>No</v>
      </c>
    </row>
    <row r="1758" spans="1:18" x14ac:dyDescent="0.25">
      <c r="A1758" s="3">
        <v>45363</v>
      </c>
      <c r="B1758" t="s">
        <v>498</v>
      </c>
      <c r="C1758" t="s">
        <v>105</v>
      </c>
      <c r="D1758" t="s">
        <v>20</v>
      </c>
      <c r="E1758" t="s">
        <v>67</v>
      </c>
      <c r="F1758" t="s">
        <v>40</v>
      </c>
      <c r="G1758" t="s">
        <v>127</v>
      </c>
      <c r="H1758" t="s">
        <v>358</v>
      </c>
      <c r="I1758">
        <v>0.05</v>
      </c>
      <c r="J1758">
        <f t="shared" si="81"/>
        <v>34</v>
      </c>
      <c r="K1758">
        <v>1</v>
      </c>
      <c r="L1758">
        <f t="shared" si="82"/>
        <v>33</v>
      </c>
      <c r="M1758" s="4">
        <f t="shared" si="83"/>
        <v>4.3999999999999997E-2</v>
      </c>
      <c r="N1758">
        <v>750</v>
      </c>
      <c r="O1758">
        <v>680</v>
      </c>
      <c r="P1758" t="s">
        <v>25</v>
      </c>
      <c r="Q1758" t="s">
        <v>26</v>
      </c>
      <c r="R1758" t="str">
        <f>IF(COUNTIF(Sheet2!B:B, A1758) &gt; 0, "Yes", "No")</f>
        <v>No</v>
      </c>
    </row>
    <row r="1759" spans="1:18" x14ac:dyDescent="0.25">
      <c r="A1759" s="3">
        <v>45363</v>
      </c>
      <c r="B1759" t="s">
        <v>498</v>
      </c>
      <c r="C1759" t="s">
        <v>105</v>
      </c>
      <c r="D1759" t="s">
        <v>20</v>
      </c>
      <c r="E1759" t="s">
        <v>67</v>
      </c>
      <c r="F1759" t="s">
        <v>43</v>
      </c>
      <c r="G1759" t="s">
        <v>139</v>
      </c>
      <c r="H1759" t="s">
        <v>508</v>
      </c>
      <c r="I1759">
        <v>0.11</v>
      </c>
      <c r="J1759">
        <f t="shared" si="81"/>
        <v>74.8</v>
      </c>
      <c r="K1759">
        <v>0</v>
      </c>
      <c r="L1759">
        <f t="shared" si="82"/>
        <v>74.8</v>
      </c>
      <c r="M1759" s="4">
        <f t="shared" si="83"/>
        <v>9.9733333333333327E-2</v>
      </c>
      <c r="N1759">
        <v>750</v>
      </c>
      <c r="O1759">
        <v>680</v>
      </c>
      <c r="P1759" t="s">
        <v>25</v>
      </c>
      <c r="Q1759" t="s">
        <v>26</v>
      </c>
      <c r="R1759" t="str">
        <f>IF(COUNTIF(Sheet2!B:B, A1759) &gt; 0, "Yes", "No")</f>
        <v>No</v>
      </c>
    </row>
    <row r="1760" spans="1:18" x14ac:dyDescent="0.25">
      <c r="A1760" s="3">
        <v>45363</v>
      </c>
      <c r="B1760" t="s">
        <v>498</v>
      </c>
      <c r="C1760" t="s">
        <v>105</v>
      </c>
      <c r="D1760" t="s">
        <v>20</v>
      </c>
      <c r="E1760" t="s">
        <v>67</v>
      </c>
      <c r="F1760" t="s">
        <v>46</v>
      </c>
      <c r="G1760" t="s">
        <v>412</v>
      </c>
      <c r="H1760" t="s">
        <v>491</v>
      </c>
      <c r="I1760">
        <v>8.5000000000000006E-2</v>
      </c>
      <c r="J1760">
        <f t="shared" si="81"/>
        <v>57.800000000000004</v>
      </c>
      <c r="K1760">
        <v>0</v>
      </c>
      <c r="L1760">
        <f t="shared" si="82"/>
        <v>57.800000000000004</v>
      </c>
      <c r="M1760" s="4">
        <f t="shared" si="83"/>
        <v>7.7066666666666672E-2</v>
      </c>
      <c r="N1760">
        <v>750</v>
      </c>
      <c r="O1760">
        <v>680</v>
      </c>
      <c r="P1760" t="s">
        <v>25</v>
      </c>
      <c r="Q1760" t="s">
        <v>26</v>
      </c>
      <c r="R1760" t="str">
        <f>IF(COUNTIF(Sheet2!B:B, A1760) &gt; 0, "Yes", "No")</f>
        <v>No</v>
      </c>
    </row>
    <row r="1761" spans="1:18" x14ac:dyDescent="0.25">
      <c r="A1761" s="3">
        <v>45363</v>
      </c>
      <c r="B1761" t="s">
        <v>498</v>
      </c>
      <c r="C1761" t="s">
        <v>105</v>
      </c>
      <c r="D1761" t="s">
        <v>20</v>
      </c>
      <c r="E1761" t="s">
        <v>67</v>
      </c>
      <c r="F1761" t="s">
        <v>49</v>
      </c>
      <c r="G1761" t="s">
        <v>50</v>
      </c>
      <c r="H1761" t="s">
        <v>49</v>
      </c>
      <c r="I1761">
        <v>0.09</v>
      </c>
      <c r="J1761">
        <f t="shared" si="81"/>
        <v>61.199999999999996</v>
      </c>
      <c r="K1761">
        <v>2.5</v>
      </c>
      <c r="L1761">
        <f t="shared" si="82"/>
        <v>58.699999999999996</v>
      </c>
      <c r="M1761" s="4">
        <f t="shared" si="83"/>
        <v>7.8266666666666665E-2</v>
      </c>
      <c r="N1761">
        <v>750</v>
      </c>
      <c r="O1761">
        <v>680</v>
      </c>
      <c r="P1761" t="s">
        <v>25</v>
      </c>
      <c r="Q1761" t="s">
        <v>26</v>
      </c>
      <c r="R1761" t="str">
        <f>IF(COUNTIF(Sheet2!B:B, A1761) &gt; 0, "Yes", "No")</f>
        <v>No</v>
      </c>
    </row>
    <row r="1762" spans="1:18" x14ac:dyDescent="0.25">
      <c r="A1762" s="3">
        <v>45364</v>
      </c>
      <c r="B1762" t="s">
        <v>498</v>
      </c>
      <c r="C1762" t="s">
        <v>51</v>
      </c>
      <c r="D1762" t="s">
        <v>20</v>
      </c>
      <c r="E1762" t="s">
        <v>21</v>
      </c>
      <c r="F1762" t="s">
        <v>22</v>
      </c>
      <c r="G1762" t="s">
        <v>23</v>
      </c>
      <c r="H1762" t="s">
        <v>24</v>
      </c>
      <c r="I1762">
        <v>8.5000000000000006E-2</v>
      </c>
      <c r="J1762">
        <f t="shared" si="81"/>
        <v>65.45</v>
      </c>
      <c r="K1762">
        <v>0</v>
      </c>
      <c r="L1762">
        <f t="shared" si="82"/>
        <v>65.45</v>
      </c>
      <c r="M1762" s="4">
        <f t="shared" si="83"/>
        <v>7.6999999999999999E-2</v>
      </c>
      <c r="N1762">
        <v>850</v>
      </c>
      <c r="O1762">
        <v>770</v>
      </c>
      <c r="P1762" t="s">
        <v>25</v>
      </c>
      <c r="Q1762" t="s">
        <v>26</v>
      </c>
      <c r="R1762" t="str">
        <f>IF(COUNTIF(Sheet2!B:B, A1762) &gt; 0, "Yes", "No")</f>
        <v>No</v>
      </c>
    </row>
    <row r="1763" spans="1:18" x14ac:dyDescent="0.25">
      <c r="A1763" s="3">
        <v>45364</v>
      </c>
      <c r="B1763" t="s">
        <v>498</v>
      </c>
      <c r="C1763" t="s">
        <v>51</v>
      </c>
      <c r="D1763" t="s">
        <v>20</v>
      </c>
      <c r="E1763" t="s">
        <v>21</v>
      </c>
      <c r="F1763" t="s">
        <v>27</v>
      </c>
      <c r="G1763" t="s">
        <v>235</v>
      </c>
      <c r="H1763" t="s">
        <v>509</v>
      </c>
      <c r="I1763">
        <v>0.12</v>
      </c>
      <c r="J1763">
        <f t="shared" si="81"/>
        <v>92.399999999999991</v>
      </c>
      <c r="K1763">
        <v>2</v>
      </c>
      <c r="L1763">
        <f t="shared" si="82"/>
        <v>90.399999999999991</v>
      </c>
      <c r="M1763" s="4">
        <f t="shared" si="83"/>
        <v>0.10635294117647058</v>
      </c>
      <c r="N1763">
        <v>850</v>
      </c>
      <c r="O1763">
        <v>770</v>
      </c>
      <c r="P1763" t="s">
        <v>25</v>
      </c>
      <c r="Q1763" t="s">
        <v>26</v>
      </c>
      <c r="R1763" t="str">
        <f>IF(COUNTIF(Sheet2!B:B, A1763) &gt; 0, "Yes", "No")</f>
        <v>No</v>
      </c>
    </row>
    <row r="1764" spans="1:18" x14ac:dyDescent="0.25">
      <c r="A1764" s="3">
        <v>45364</v>
      </c>
      <c r="B1764" t="s">
        <v>498</v>
      </c>
      <c r="C1764" t="s">
        <v>51</v>
      </c>
      <c r="D1764" t="s">
        <v>20</v>
      </c>
      <c r="E1764" t="s">
        <v>21</v>
      </c>
      <c r="F1764" t="s">
        <v>30</v>
      </c>
      <c r="G1764" t="s">
        <v>31</v>
      </c>
      <c r="H1764" t="s">
        <v>31</v>
      </c>
      <c r="I1764">
        <v>0.09</v>
      </c>
      <c r="J1764">
        <f t="shared" si="81"/>
        <v>69.3</v>
      </c>
      <c r="K1764">
        <v>0</v>
      </c>
      <c r="L1764">
        <f t="shared" si="82"/>
        <v>69.3</v>
      </c>
      <c r="M1764" s="4">
        <f t="shared" si="83"/>
        <v>8.1529411764705878E-2</v>
      </c>
      <c r="N1764">
        <v>850</v>
      </c>
      <c r="O1764">
        <v>770</v>
      </c>
      <c r="P1764" t="s">
        <v>25</v>
      </c>
      <c r="Q1764" t="s">
        <v>26</v>
      </c>
      <c r="R1764" t="str">
        <f>IF(COUNTIF(Sheet2!B:B, A1764) &gt; 0, "Yes", "No")</f>
        <v>No</v>
      </c>
    </row>
    <row r="1765" spans="1:18" x14ac:dyDescent="0.25">
      <c r="A1765" s="3">
        <v>45364</v>
      </c>
      <c r="B1765" t="s">
        <v>498</v>
      </c>
      <c r="C1765" t="s">
        <v>51</v>
      </c>
      <c r="D1765" t="s">
        <v>33</v>
      </c>
      <c r="E1765" t="s">
        <v>21</v>
      </c>
      <c r="F1765" t="s">
        <v>34</v>
      </c>
      <c r="G1765" t="s">
        <v>57</v>
      </c>
      <c r="H1765" t="s">
        <v>192</v>
      </c>
      <c r="I1765">
        <v>0.15</v>
      </c>
      <c r="J1765">
        <f t="shared" si="81"/>
        <v>79.5</v>
      </c>
      <c r="K1765">
        <v>0</v>
      </c>
      <c r="L1765">
        <f t="shared" si="82"/>
        <v>79.5</v>
      </c>
      <c r="M1765" s="4">
        <f t="shared" si="83"/>
        <v>0.13361344537815126</v>
      </c>
      <c r="N1765">
        <v>595</v>
      </c>
      <c r="O1765">
        <v>530</v>
      </c>
      <c r="P1765" t="s">
        <v>25</v>
      </c>
      <c r="Q1765" t="s">
        <v>26</v>
      </c>
      <c r="R1765" t="str">
        <f>IF(COUNTIF(Sheet2!B:B, A1765) &gt; 0, "Yes", "No")</f>
        <v>No</v>
      </c>
    </row>
    <row r="1766" spans="1:18" x14ac:dyDescent="0.25">
      <c r="A1766" s="3">
        <v>45364</v>
      </c>
      <c r="B1766" t="s">
        <v>498</v>
      </c>
      <c r="C1766" t="s">
        <v>51</v>
      </c>
      <c r="D1766" t="s">
        <v>20</v>
      </c>
      <c r="E1766" t="s">
        <v>21</v>
      </c>
      <c r="F1766" t="s">
        <v>37</v>
      </c>
      <c r="G1766" t="s">
        <v>71</v>
      </c>
      <c r="H1766" t="s">
        <v>72</v>
      </c>
      <c r="I1766">
        <v>0.03</v>
      </c>
      <c r="J1766">
        <f t="shared" si="81"/>
        <v>23.099999999999998</v>
      </c>
      <c r="K1766">
        <v>1</v>
      </c>
      <c r="L1766">
        <f t="shared" si="82"/>
        <v>22.099999999999998</v>
      </c>
      <c r="M1766" s="4">
        <f t="shared" si="83"/>
        <v>2.5999999999999999E-2</v>
      </c>
      <c r="N1766">
        <v>850</v>
      </c>
      <c r="O1766">
        <v>770</v>
      </c>
      <c r="P1766" t="s">
        <v>25</v>
      </c>
      <c r="Q1766" t="s">
        <v>26</v>
      </c>
      <c r="R1766" t="str">
        <f>IF(COUNTIF(Sheet2!B:B, A1766) &gt; 0, "Yes", "No")</f>
        <v>No</v>
      </c>
    </row>
    <row r="1767" spans="1:18" x14ac:dyDescent="0.25">
      <c r="A1767" s="3">
        <v>45364</v>
      </c>
      <c r="B1767" t="s">
        <v>498</v>
      </c>
      <c r="C1767" t="s">
        <v>51</v>
      </c>
      <c r="D1767" t="s">
        <v>20</v>
      </c>
      <c r="E1767" t="s">
        <v>21</v>
      </c>
      <c r="F1767" t="s">
        <v>40</v>
      </c>
      <c r="G1767" t="s">
        <v>157</v>
      </c>
      <c r="H1767" t="s">
        <v>221</v>
      </c>
      <c r="I1767">
        <v>4.4999999999999998E-2</v>
      </c>
      <c r="J1767">
        <f t="shared" si="81"/>
        <v>34.65</v>
      </c>
      <c r="K1767">
        <v>1</v>
      </c>
      <c r="L1767">
        <f t="shared" si="82"/>
        <v>33.65</v>
      </c>
      <c r="M1767" s="4">
        <f t="shared" si="83"/>
        <v>3.9588235294117646E-2</v>
      </c>
      <c r="N1767">
        <v>850</v>
      </c>
      <c r="O1767">
        <v>770</v>
      </c>
      <c r="P1767" t="s">
        <v>25</v>
      </c>
      <c r="Q1767" t="s">
        <v>26</v>
      </c>
      <c r="R1767" t="str">
        <f>IF(COUNTIF(Sheet2!B:B, A1767) &gt; 0, "Yes", "No")</f>
        <v>No</v>
      </c>
    </row>
    <row r="1768" spans="1:18" x14ac:dyDescent="0.25">
      <c r="A1768" s="3">
        <v>45364</v>
      </c>
      <c r="B1768" t="s">
        <v>498</v>
      </c>
      <c r="C1768" t="s">
        <v>51</v>
      </c>
      <c r="D1768" t="s">
        <v>20</v>
      </c>
      <c r="E1768" t="s">
        <v>21</v>
      </c>
      <c r="F1768" t="s">
        <v>43</v>
      </c>
      <c r="G1768" t="s">
        <v>44</v>
      </c>
      <c r="H1768" t="s">
        <v>153</v>
      </c>
      <c r="I1768">
        <v>0.11</v>
      </c>
      <c r="J1768">
        <f t="shared" si="81"/>
        <v>84.7</v>
      </c>
      <c r="K1768">
        <v>2</v>
      </c>
      <c r="L1768">
        <f t="shared" si="82"/>
        <v>82.7</v>
      </c>
      <c r="M1768" s="4">
        <f t="shared" si="83"/>
        <v>9.7294117647058823E-2</v>
      </c>
      <c r="N1768">
        <v>850</v>
      </c>
      <c r="O1768">
        <v>770</v>
      </c>
      <c r="P1768" t="s">
        <v>25</v>
      </c>
      <c r="Q1768" t="s">
        <v>26</v>
      </c>
      <c r="R1768" t="str">
        <f>IF(COUNTIF(Sheet2!B:B, A1768) &gt; 0, "Yes", "No")</f>
        <v>No</v>
      </c>
    </row>
    <row r="1769" spans="1:18" x14ac:dyDescent="0.25">
      <c r="A1769" s="3">
        <v>45364</v>
      </c>
      <c r="B1769" t="s">
        <v>498</v>
      </c>
      <c r="C1769" t="s">
        <v>51</v>
      </c>
      <c r="D1769" t="s">
        <v>20</v>
      </c>
      <c r="E1769" t="s">
        <v>21</v>
      </c>
      <c r="F1769" t="s">
        <v>46</v>
      </c>
      <c r="G1769" t="s">
        <v>47</v>
      </c>
      <c r="H1769" t="s">
        <v>510</v>
      </c>
      <c r="I1769">
        <v>8.5000000000000006E-2</v>
      </c>
      <c r="J1769">
        <f t="shared" si="81"/>
        <v>65.45</v>
      </c>
      <c r="K1769">
        <v>2</v>
      </c>
      <c r="L1769">
        <f t="shared" si="82"/>
        <v>63.45</v>
      </c>
      <c r="M1769" s="4">
        <f t="shared" si="83"/>
        <v>7.4647058823529414E-2</v>
      </c>
      <c r="N1769">
        <v>850</v>
      </c>
      <c r="O1769">
        <v>770</v>
      </c>
      <c r="P1769" t="s">
        <v>25</v>
      </c>
      <c r="Q1769" t="s">
        <v>26</v>
      </c>
      <c r="R1769" t="str">
        <f>IF(COUNTIF(Sheet2!B:B, A1769) &gt; 0, "Yes", "No")</f>
        <v>No</v>
      </c>
    </row>
    <row r="1770" spans="1:18" x14ac:dyDescent="0.25">
      <c r="A1770" s="3">
        <v>45364</v>
      </c>
      <c r="B1770" t="s">
        <v>498</v>
      </c>
      <c r="C1770" t="s">
        <v>51</v>
      </c>
      <c r="D1770" t="s">
        <v>20</v>
      </c>
      <c r="E1770" t="s">
        <v>21</v>
      </c>
      <c r="F1770" t="s">
        <v>49</v>
      </c>
      <c r="G1770" t="s">
        <v>50</v>
      </c>
      <c r="H1770" t="s">
        <v>49</v>
      </c>
      <c r="I1770">
        <v>0.09</v>
      </c>
      <c r="J1770">
        <f t="shared" si="81"/>
        <v>69.3</v>
      </c>
      <c r="K1770">
        <v>0</v>
      </c>
      <c r="L1770">
        <f t="shared" si="82"/>
        <v>69.3</v>
      </c>
      <c r="M1770" s="4">
        <f t="shared" si="83"/>
        <v>8.1529411764705878E-2</v>
      </c>
      <c r="N1770">
        <v>850</v>
      </c>
      <c r="O1770">
        <v>770</v>
      </c>
      <c r="P1770" t="s">
        <v>25</v>
      </c>
      <c r="Q1770" t="s">
        <v>26</v>
      </c>
      <c r="R1770" t="str">
        <f>IF(COUNTIF(Sheet2!B:B, A1770) &gt; 0, "Yes", "No")</f>
        <v>No</v>
      </c>
    </row>
    <row r="1771" spans="1:18" x14ac:dyDescent="0.25">
      <c r="A1771" s="3">
        <v>45365</v>
      </c>
      <c r="B1771" t="s">
        <v>498</v>
      </c>
      <c r="C1771" t="s">
        <v>66</v>
      </c>
      <c r="D1771" t="s">
        <v>20</v>
      </c>
      <c r="E1771" t="s">
        <v>67</v>
      </c>
      <c r="F1771" t="s">
        <v>22</v>
      </c>
      <c r="G1771" t="s">
        <v>52</v>
      </c>
      <c r="H1771" t="s">
        <v>68</v>
      </c>
      <c r="I1771">
        <v>8.5000000000000006E-2</v>
      </c>
      <c r="J1771">
        <f t="shared" si="81"/>
        <v>57.800000000000004</v>
      </c>
      <c r="K1771">
        <v>2</v>
      </c>
      <c r="L1771">
        <f t="shared" si="82"/>
        <v>55.800000000000004</v>
      </c>
      <c r="M1771" s="4">
        <f t="shared" si="83"/>
        <v>7.4400000000000008E-2</v>
      </c>
      <c r="N1771">
        <v>750</v>
      </c>
      <c r="O1771">
        <v>680</v>
      </c>
      <c r="P1771" t="s">
        <v>25</v>
      </c>
      <c r="Q1771" t="s">
        <v>26</v>
      </c>
      <c r="R1771" t="str">
        <f>IF(COUNTIF(Sheet2!B:B, A1771) &gt; 0, "Yes", "No")</f>
        <v>No</v>
      </c>
    </row>
    <row r="1772" spans="1:18" x14ac:dyDescent="0.25">
      <c r="A1772" s="3">
        <v>45365</v>
      </c>
      <c r="B1772" t="s">
        <v>498</v>
      </c>
      <c r="C1772" t="s">
        <v>66</v>
      </c>
      <c r="D1772" t="s">
        <v>20</v>
      </c>
      <c r="E1772" t="s">
        <v>67</v>
      </c>
      <c r="F1772" t="s">
        <v>27</v>
      </c>
      <c r="G1772" t="s">
        <v>190</v>
      </c>
      <c r="H1772" t="s">
        <v>511</v>
      </c>
      <c r="I1772">
        <v>0.11</v>
      </c>
      <c r="J1772">
        <f t="shared" si="81"/>
        <v>74.8</v>
      </c>
      <c r="K1772">
        <v>2</v>
      </c>
      <c r="L1772">
        <f t="shared" si="82"/>
        <v>72.8</v>
      </c>
      <c r="M1772" s="4">
        <f t="shared" si="83"/>
        <v>9.7066666666666662E-2</v>
      </c>
      <c r="N1772">
        <v>750</v>
      </c>
      <c r="O1772">
        <v>680</v>
      </c>
      <c r="P1772" t="s">
        <v>25</v>
      </c>
      <c r="Q1772" t="s">
        <v>26</v>
      </c>
      <c r="R1772" t="str">
        <f>IF(COUNTIF(Sheet2!B:B, A1772) &gt; 0, "Yes", "No")</f>
        <v>No</v>
      </c>
    </row>
    <row r="1773" spans="1:18" x14ac:dyDescent="0.25">
      <c r="A1773" s="3">
        <v>45365</v>
      </c>
      <c r="B1773" t="s">
        <v>498</v>
      </c>
      <c r="C1773" t="s">
        <v>66</v>
      </c>
      <c r="D1773" t="s">
        <v>20</v>
      </c>
      <c r="E1773" t="s">
        <v>67</v>
      </c>
      <c r="F1773" t="s">
        <v>30</v>
      </c>
      <c r="G1773" t="s">
        <v>31</v>
      </c>
      <c r="H1773" t="s">
        <v>172</v>
      </c>
      <c r="I1773">
        <v>0.09</v>
      </c>
      <c r="J1773">
        <f t="shared" si="81"/>
        <v>61.199999999999996</v>
      </c>
      <c r="K1773">
        <v>1</v>
      </c>
      <c r="L1773">
        <f t="shared" si="82"/>
        <v>60.199999999999996</v>
      </c>
      <c r="M1773" s="4">
        <f t="shared" si="83"/>
        <v>8.0266666666666667E-2</v>
      </c>
      <c r="N1773">
        <v>750</v>
      </c>
      <c r="O1773">
        <v>680</v>
      </c>
      <c r="P1773" t="s">
        <v>25</v>
      </c>
      <c r="Q1773" t="s">
        <v>26</v>
      </c>
      <c r="R1773" t="str">
        <f>IF(COUNTIF(Sheet2!B:B, A1773) &gt; 0, "Yes", "No")</f>
        <v>No</v>
      </c>
    </row>
    <row r="1774" spans="1:18" x14ac:dyDescent="0.25">
      <c r="A1774" s="3">
        <v>45365</v>
      </c>
      <c r="B1774" t="s">
        <v>498</v>
      </c>
      <c r="C1774" t="s">
        <v>66</v>
      </c>
      <c r="D1774" t="s">
        <v>20</v>
      </c>
      <c r="E1774" t="s">
        <v>67</v>
      </c>
      <c r="F1774" t="s">
        <v>37</v>
      </c>
      <c r="G1774" t="s">
        <v>108</v>
      </c>
      <c r="H1774" t="s">
        <v>266</v>
      </c>
      <c r="I1774">
        <v>3.5000000000000003E-2</v>
      </c>
      <c r="J1774">
        <f t="shared" si="81"/>
        <v>23.8</v>
      </c>
      <c r="K1774">
        <v>0</v>
      </c>
      <c r="L1774">
        <f t="shared" si="82"/>
        <v>23.8</v>
      </c>
      <c r="M1774" s="4">
        <f t="shared" si="83"/>
        <v>3.1733333333333336E-2</v>
      </c>
      <c r="N1774">
        <v>750</v>
      </c>
      <c r="O1774">
        <v>680</v>
      </c>
      <c r="P1774" t="s">
        <v>25</v>
      </c>
      <c r="Q1774" t="s">
        <v>26</v>
      </c>
      <c r="R1774" t="str">
        <f>IF(COUNTIF(Sheet2!B:B, A1774) &gt; 0, "Yes", "No")</f>
        <v>No</v>
      </c>
    </row>
    <row r="1775" spans="1:18" x14ac:dyDescent="0.25">
      <c r="A1775" s="3">
        <v>45365</v>
      </c>
      <c r="B1775" t="s">
        <v>498</v>
      </c>
      <c r="C1775" t="s">
        <v>66</v>
      </c>
      <c r="D1775" t="s">
        <v>20</v>
      </c>
      <c r="E1775" t="s">
        <v>67</v>
      </c>
      <c r="F1775" t="s">
        <v>40</v>
      </c>
      <c r="G1775" t="s">
        <v>402</v>
      </c>
      <c r="H1775" t="s">
        <v>402</v>
      </c>
      <c r="I1775">
        <v>0.05</v>
      </c>
      <c r="J1775">
        <f t="shared" si="81"/>
        <v>34</v>
      </c>
      <c r="K1775">
        <v>2</v>
      </c>
      <c r="L1775">
        <f t="shared" si="82"/>
        <v>32</v>
      </c>
      <c r="M1775" s="4">
        <f t="shared" si="83"/>
        <v>4.2666666666666665E-2</v>
      </c>
      <c r="N1775">
        <v>750</v>
      </c>
      <c r="O1775">
        <v>680</v>
      </c>
      <c r="P1775" t="s">
        <v>25</v>
      </c>
      <c r="Q1775" t="s">
        <v>26</v>
      </c>
      <c r="R1775" t="str">
        <f>IF(COUNTIF(Sheet2!B:B, A1775) &gt; 0, "Yes", "No")</f>
        <v>No</v>
      </c>
    </row>
    <row r="1776" spans="1:18" x14ac:dyDescent="0.25">
      <c r="A1776" s="3">
        <v>45365</v>
      </c>
      <c r="B1776" t="s">
        <v>498</v>
      </c>
      <c r="C1776" t="s">
        <v>66</v>
      </c>
      <c r="D1776" t="s">
        <v>20</v>
      </c>
      <c r="E1776" t="s">
        <v>67</v>
      </c>
      <c r="F1776" t="s">
        <v>43</v>
      </c>
      <c r="G1776" t="s">
        <v>252</v>
      </c>
      <c r="H1776" t="s">
        <v>512</v>
      </c>
      <c r="I1776">
        <v>0.11</v>
      </c>
      <c r="J1776">
        <f t="shared" si="81"/>
        <v>74.8</v>
      </c>
      <c r="K1776">
        <v>2</v>
      </c>
      <c r="L1776">
        <f t="shared" si="82"/>
        <v>72.8</v>
      </c>
      <c r="M1776" s="4">
        <f t="shared" si="83"/>
        <v>9.7066666666666662E-2</v>
      </c>
      <c r="N1776">
        <v>750</v>
      </c>
      <c r="O1776">
        <v>680</v>
      </c>
      <c r="P1776" t="s">
        <v>25</v>
      </c>
      <c r="Q1776" t="s">
        <v>26</v>
      </c>
      <c r="R1776" t="str">
        <f>IF(COUNTIF(Sheet2!B:B, A1776) &gt; 0, "Yes", "No")</f>
        <v>No</v>
      </c>
    </row>
    <row r="1777" spans="1:18" x14ac:dyDescent="0.25">
      <c r="A1777" s="3">
        <v>45365</v>
      </c>
      <c r="B1777" t="s">
        <v>498</v>
      </c>
      <c r="C1777" t="s">
        <v>66</v>
      </c>
      <c r="D1777" t="s">
        <v>20</v>
      </c>
      <c r="E1777" t="s">
        <v>67</v>
      </c>
      <c r="F1777" t="s">
        <v>46</v>
      </c>
      <c r="G1777" t="s">
        <v>92</v>
      </c>
      <c r="H1777" t="s">
        <v>513</v>
      </c>
      <c r="I1777">
        <v>8.5000000000000006E-2</v>
      </c>
      <c r="J1777">
        <f t="shared" si="81"/>
        <v>57.800000000000004</v>
      </c>
      <c r="K1777">
        <v>0</v>
      </c>
      <c r="L1777">
        <f t="shared" si="82"/>
        <v>57.800000000000004</v>
      </c>
      <c r="M1777" s="4">
        <f t="shared" si="83"/>
        <v>7.7066666666666672E-2</v>
      </c>
      <c r="N1777">
        <v>750</v>
      </c>
      <c r="O1777">
        <v>680</v>
      </c>
      <c r="P1777" t="s">
        <v>25</v>
      </c>
      <c r="Q1777" t="s">
        <v>26</v>
      </c>
      <c r="R1777" t="str">
        <f>IF(COUNTIF(Sheet2!B:B, A1777) &gt; 0, "Yes", "No")</f>
        <v>No</v>
      </c>
    </row>
    <row r="1778" spans="1:18" x14ac:dyDescent="0.25">
      <c r="A1778" s="3">
        <v>45365</v>
      </c>
      <c r="B1778" t="s">
        <v>498</v>
      </c>
      <c r="C1778" t="s">
        <v>66</v>
      </c>
      <c r="D1778" t="s">
        <v>20</v>
      </c>
      <c r="E1778" t="s">
        <v>67</v>
      </c>
      <c r="F1778" t="s">
        <v>49</v>
      </c>
      <c r="G1778" t="s">
        <v>50</v>
      </c>
      <c r="H1778" t="s">
        <v>49</v>
      </c>
      <c r="I1778">
        <v>0.09</v>
      </c>
      <c r="J1778">
        <f t="shared" si="81"/>
        <v>61.199999999999996</v>
      </c>
      <c r="K1778">
        <v>0</v>
      </c>
      <c r="L1778">
        <f t="shared" si="82"/>
        <v>61.199999999999996</v>
      </c>
      <c r="M1778" s="4">
        <f t="shared" si="83"/>
        <v>8.1599999999999992E-2</v>
      </c>
      <c r="N1778">
        <v>750</v>
      </c>
      <c r="O1778">
        <v>680</v>
      </c>
      <c r="P1778" t="s">
        <v>25</v>
      </c>
      <c r="Q1778" t="s">
        <v>26</v>
      </c>
      <c r="R1778" t="str">
        <f>IF(COUNTIF(Sheet2!B:B, A1778) &gt; 0, "Yes", "No")</f>
        <v>No</v>
      </c>
    </row>
    <row r="1779" spans="1:18" x14ac:dyDescent="0.25">
      <c r="A1779" s="3">
        <v>45366</v>
      </c>
      <c r="B1779" t="s">
        <v>498</v>
      </c>
      <c r="C1779" t="s">
        <v>79</v>
      </c>
      <c r="D1779" t="s">
        <v>20</v>
      </c>
      <c r="E1779" t="s">
        <v>21</v>
      </c>
      <c r="F1779" t="s">
        <v>22</v>
      </c>
      <c r="G1779" t="s">
        <v>23</v>
      </c>
      <c r="H1779" t="s">
        <v>24</v>
      </c>
      <c r="I1779" s="5">
        <v>0.06</v>
      </c>
      <c r="J1779">
        <f t="shared" si="81"/>
        <v>36</v>
      </c>
      <c r="K1779">
        <v>1</v>
      </c>
      <c r="L1779">
        <f t="shared" si="82"/>
        <v>35</v>
      </c>
      <c r="M1779" s="4">
        <f t="shared" si="83"/>
        <v>5.3846153846153849E-2</v>
      </c>
      <c r="N1779">
        <v>650</v>
      </c>
      <c r="O1779">
        <v>600</v>
      </c>
      <c r="P1779" t="s">
        <v>25</v>
      </c>
      <c r="Q1779" t="s">
        <v>26</v>
      </c>
      <c r="R1779" t="str">
        <f>IF(COUNTIF(Sheet2!B:B, A1779) &gt; 0, "Yes", "No")</f>
        <v>Yes</v>
      </c>
    </row>
    <row r="1780" spans="1:18" x14ac:dyDescent="0.25">
      <c r="A1780" s="3">
        <v>45366</v>
      </c>
      <c r="B1780" t="s">
        <v>498</v>
      </c>
      <c r="C1780" t="s">
        <v>79</v>
      </c>
      <c r="D1780" t="s">
        <v>20</v>
      </c>
      <c r="E1780" t="s">
        <v>21</v>
      </c>
      <c r="F1780" t="s">
        <v>27</v>
      </c>
      <c r="G1780" t="s">
        <v>81</v>
      </c>
      <c r="H1780" t="s">
        <v>514</v>
      </c>
      <c r="I1780" s="5">
        <v>0.1</v>
      </c>
      <c r="J1780">
        <f t="shared" si="81"/>
        <v>60</v>
      </c>
      <c r="K1780">
        <v>2</v>
      </c>
      <c r="L1780">
        <f t="shared" si="82"/>
        <v>58</v>
      </c>
      <c r="M1780" s="4">
        <f t="shared" si="83"/>
        <v>8.9230769230769225E-2</v>
      </c>
      <c r="N1780">
        <v>650</v>
      </c>
      <c r="O1780">
        <v>600</v>
      </c>
      <c r="P1780" t="s">
        <v>25</v>
      </c>
      <c r="Q1780" t="s">
        <v>26</v>
      </c>
      <c r="R1780" t="str">
        <f>IF(COUNTIF(Sheet2!B:B, A1780) &gt; 0, "Yes", "No")</f>
        <v>Yes</v>
      </c>
    </row>
    <row r="1781" spans="1:18" x14ac:dyDescent="0.25">
      <c r="A1781" s="3">
        <v>45366</v>
      </c>
      <c r="B1781" t="s">
        <v>498</v>
      </c>
      <c r="C1781" t="s">
        <v>79</v>
      </c>
      <c r="D1781" t="s">
        <v>20</v>
      </c>
      <c r="E1781" t="s">
        <v>21</v>
      </c>
      <c r="F1781" t="s">
        <v>30</v>
      </c>
      <c r="G1781" t="s">
        <v>31</v>
      </c>
      <c r="H1781" t="s">
        <v>70</v>
      </c>
      <c r="I1781" s="5">
        <v>0.06</v>
      </c>
      <c r="J1781">
        <f t="shared" si="81"/>
        <v>36</v>
      </c>
      <c r="K1781">
        <v>2</v>
      </c>
      <c r="L1781">
        <f t="shared" si="82"/>
        <v>34</v>
      </c>
      <c r="M1781" s="4">
        <f t="shared" si="83"/>
        <v>5.2307692307692305E-2</v>
      </c>
      <c r="N1781">
        <v>650</v>
      </c>
      <c r="O1781">
        <v>600</v>
      </c>
      <c r="P1781" t="s">
        <v>25</v>
      </c>
      <c r="Q1781" t="s">
        <v>26</v>
      </c>
      <c r="R1781" t="str">
        <f>IF(COUNTIF(Sheet2!B:B, A1781) &gt; 0, "Yes", "No")</f>
        <v>Yes</v>
      </c>
    </row>
    <row r="1782" spans="1:18" x14ac:dyDescent="0.25">
      <c r="A1782" s="3">
        <v>45366</v>
      </c>
      <c r="B1782" t="s">
        <v>498</v>
      </c>
      <c r="C1782" t="s">
        <v>79</v>
      </c>
      <c r="D1782" t="s">
        <v>33</v>
      </c>
      <c r="E1782" t="s">
        <v>21</v>
      </c>
      <c r="F1782" t="s">
        <v>84</v>
      </c>
      <c r="G1782" t="s">
        <v>85</v>
      </c>
      <c r="H1782" t="s">
        <v>163</v>
      </c>
      <c r="I1782" s="5">
        <v>0.3</v>
      </c>
      <c r="J1782">
        <f t="shared" si="81"/>
        <v>126</v>
      </c>
      <c r="K1782">
        <v>0</v>
      </c>
      <c r="L1782">
        <f t="shared" si="82"/>
        <v>126</v>
      </c>
      <c r="M1782" s="4">
        <f t="shared" si="83"/>
        <v>0.27692307692307694</v>
      </c>
      <c r="N1782">
        <v>455</v>
      </c>
      <c r="O1782">
        <v>420</v>
      </c>
      <c r="P1782" t="s">
        <v>25</v>
      </c>
      <c r="Q1782" t="s">
        <v>26</v>
      </c>
      <c r="R1782" t="str">
        <f>IF(COUNTIF(Sheet2!B:B, A1782) &gt; 0, "Yes", "No")</f>
        <v>Yes</v>
      </c>
    </row>
    <row r="1783" spans="1:18" x14ac:dyDescent="0.25">
      <c r="A1783" s="3">
        <v>45366</v>
      </c>
      <c r="B1783" t="s">
        <v>498</v>
      </c>
      <c r="C1783" t="s">
        <v>79</v>
      </c>
      <c r="D1783" t="s">
        <v>20</v>
      </c>
      <c r="E1783" t="s">
        <v>21</v>
      </c>
      <c r="F1783" t="s">
        <v>37</v>
      </c>
      <c r="G1783" t="s">
        <v>38</v>
      </c>
      <c r="H1783" t="s">
        <v>515</v>
      </c>
      <c r="I1783" s="5">
        <v>2.5000000000000001E-2</v>
      </c>
      <c r="J1783">
        <f t="shared" si="81"/>
        <v>15</v>
      </c>
      <c r="K1783">
        <v>1</v>
      </c>
      <c r="L1783">
        <f t="shared" si="82"/>
        <v>14</v>
      </c>
      <c r="M1783" s="4">
        <f t="shared" si="83"/>
        <v>2.1538461538461538E-2</v>
      </c>
      <c r="N1783">
        <v>650</v>
      </c>
      <c r="O1783">
        <v>600</v>
      </c>
      <c r="P1783" t="s">
        <v>25</v>
      </c>
      <c r="Q1783" t="s">
        <v>26</v>
      </c>
      <c r="R1783" t="str">
        <f>IF(COUNTIF(Sheet2!B:B, A1783) &gt; 0, "Yes", "No")</f>
        <v>Yes</v>
      </c>
    </row>
    <row r="1784" spans="1:18" x14ac:dyDescent="0.25">
      <c r="A1784" s="3">
        <v>45366</v>
      </c>
      <c r="B1784" t="s">
        <v>498</v>
      </c>
      <c r="C1784" t="s">
        <v>79</v>
      </c>
      <c r="D1784" t="s">
        <v>20</v>
      </c>
      <c r="E1784" t="s">
        <v>21</v>
      </c>
      <c r="F1784" t="s">
        <v>40</v>
      </c>
      <c r="G1784" t="s">
        <v>364</v>
      </c>
      <c r="H1784" t="s">
        <v>516</v>
      </c>
      <c r="I1784" s="5">
        <v>0.04</v>
      </c>
      <c r="J1784">
        <f t="shared" si="81"/>
        <v>24</v>
      </c>
      <c r="K1784">
        <v>2</v>
      </c>
      <c r="L1784">
        <f t="shared" si="82"/>
        <v>22</v>
      </c>
      <c r="M1784" s="4">
        <f t="shared" si="83"/>
        <v>3.3846153846153845E-2</v>
      </c>
      <c r="N1784">
        <v>650</v>
      </c>
      <c r="O1784">
        <v>600</v>
      </c>
      <c r="P1784" t="s">
        <v>25</v>
      </c>
      <c r="Q1784" t="s">
        <v>26</v>
      </c>
      <c r="R1784" t="str">
        <f>IF(COUNTIF(Sheet2!B:B, A1784) &gt; 0, "Yes", "No")</f>
        <v>Yes</v>
      </c>
    </row>
    <row r="1785" spans="1:18" x14ac:dyDescent="0.25">
      <c r="A1785" s="3">
        <v>45366</v>
      </c>
      <c r="B1785" t="s">
        <v>498</v>
      </c>
      <c r="C1785" t="s">
        <v>79</v>
      </c>
      <c r="D1785" t="s">
        <v>20</v>
      </c>
      <c r="E1785" t="s">
        <v>21</v>
      </c>
      <c r="F1785" t="s">
        <v>43</v>
      </c>
      <c r="G1785" t="s">
        <v>90</v>
      </c>
      <c r="H1785" t="s">
        <v>517</v>
      </c>
      <c r="I1785" s="5">
        <v>7.0000000000000007E-2</v>
      </c>
      <c r="J1785">
        <f t="shared" si="81"/>
        <v>42.000000000000007</v>
      </c>
      <c r="K1785">
        <v>1</v>
      </c>
      <c r="L1785">
        <f t="shared" si="82"/>
        <v>41.000000000000007</v>
      </c>
      <c r="M1785" s="4">
        <f t="shared" si="83"/>
        <v>6.3076923076923086E-2</v>
      </c>
      <c r="N1785">
        <v>650</v>
      </c>
      <c r="O1785">
        <v>600</v>
      </c>
      <c r="P1785" t="s">
        <v>25</v>
      </c>
      <c r="Q1785" t="s">
        <v>26</v>
      </c>
      <c r="R1785" t="str">
        <f>IF(COUNTIF(Sheet2!B:B, A1785) &gt; 0, "Yes", "No")</f>
        <v>Yes</v>
      </c>
    </row>
    <row r="1786" spans="1:18" x14ac:dyDescent="0.25">
      <c r="A1786" s="3">
        <v>45366</v>
      </c>
      <c r="B1786" t="s">
        <v>498</v>
      </c>
      <c r="C1786" t="s">
        <v>79</v>
      </c>
      <c r="D1786" t="s">
        <v>20</v>
      </c>
      <c r="E1786" t="s">
        <v>21</v>
      </c>
      <c r="F1786" t="s">
        <v>46</v>
      </c>
      <c r="G1786" t="s">
        <v>47</v>
      </c>
      <c r="H1786" t="s">
        <v>518</v>
      </c>
      <c r="I1786" s="5">
        <v>5.5E-2</v>
      </c>
      <c r="J1786">
        <f t="shared" si="81"/>
        <v>33</v>
      </c>
      <c r="K1786">
        <v>3</v>
      </c>
      <c r="L1786">
        <f t="shared" si="82"/>
        <v>30</v>
      </c>
      <c r="M1786" s="4">
        <f t="shared" si="83"/>
        <v>4.6153846153846156E-2</v>
      </c>
      <c r="N1786">
        <v>650</v>
      </c>
      <c r="O1786">
        <v>600</v>
      </c>
      <c r="P1786" t="s">
        <v>25</v>
      </c>
      <c r="Q1786" t="s">
        <v>26</v>
      </c>
      <c r="R1786" t="str">
        <f>IF(COUNTIF(Sheet2!B:B, A1786) &gt; 0, "Yes", "No")</f>
        <v>Yes</v>
      </c>
    </row>
    <row r="1787" spans="1:18" x14ac:dyDescent="0.25">
      <c r="A1787" s="3">
        <v>45366</v>
      </c>
      <c r="B1787" t="s">
        <v>498</v>
      </c>
      <c r="C1787" t="s">
        <v>79</v>
      </c>
      <c r="D1787" t="s">
        <v>20</v>
      </c>
      <c r="E1787" t="s">
        <v>21</v>
      </c>
      <c r="F1787" t="s">
        <v>49</v>
      </c>
      <c r="G1787" t="s">
        <v>50</v>
      </c>
      <c r="H1787" t="s">
        <v>49</v>
      </c>
      <c r="I1787" s="5">
        <v>0.04</v>
      </c>
      <c r="J1787">
        <f t="shared" si="81"/>
        <v>24</v>
      </c>
      <c r="K1787">
        <v>5</v>
      </c>
      <c r="L1787">
        <f t="shared" si="82"/>
        <v>19</v>
      </c>
      <c r="M1787" s="4">
        <f t="shared" si="83"/>
        <v>2.923076923076923E-2</v>
      </c>
      <c r="N1787">
        <v>650</v>
      </c>
      <c r="O1787">
        <v>600</v>
      </c>
      <c r="P1787" t="s">
        <v>25</v>
      </c>
      <c r="Q1787" t="s">
        <v>26</v>
      </c>
      <c r="R1787" t="str">
        <f>IF(COUNTIF(Sheet2!B:B, A1787) &gt; 0, "Yes", "No")</f>
        <v>Yes</v>
      </c>
    </row>
    <row r="1788" spans="1:18" x14ac:dyDescent="0.25">
      <c r="A1788" s="3">
        <v>45369</v>
      </c>
      <c r="B1788" t="s">
        <v>498</v>
      </c>
      <c r="C1788" t="s">
        <v>19</v>
      </c>
      <c r="D1788" t="s">
        <v>20</v>
      </c>
      <c r="E1788" t="s">
        <v>21</v>
      </c>
      <c r="F1788" t="s">
        <v>22</v>
      </c>
      <c r="G1788" t="s">
        <v>94</v>
      </c>
      <c r="H1788" t="s">
        <v>95</v>
      </c>
      <c r="I1788">
        <v>8.5000000000000006E-2</v>
      </c>
      <c r="J1788">
        <f t="shared" si="81"/>
        <v>61.2</v>
      </c>
      <c r="K1788">
        <v>2</v>
      </c>
      <c r="L1788">
        <f t="shared" si="82"/>
        <v>59.2</v>
      </c>
      <c r="M1788" s="4">
        <f t="shared" si="83"/>
        <v>7.400000000000001E-2</v>
      </c>
      <c r="N1788">
        <v>800</v>
      </c>
      <c r="O1788">
        <v>720</v>
      </c>
      <c r="P1788" t="s">
        <v>25</v>
      </c>
      <c r="Q1788" t="s">
        <v>26</v>
      </c>
      <c r="R1788" t="str">
        <f>IF(COUNTIF(Sheet2!B:B, A1788) &gt; 0, "Yes", "No")</f>
        <v>No</v>
      </c>
    </row>
    <row r="1789" spans="1:18" x14ac:dyDescent="0.25">
      <c r="A1789" s="3">
        <v>45369</v>
      </c>
      <c r="B1789" t="s">
        <v>498</v>
      </c>
      <c r="C1789" t="s">
        <v>19</v>
      </c>
      <c r="D1789" t="s">
        <v>20</v>
      </c>
      <c r="E1789" t="s">
        <v>21</v>
      </c>
      <c r="F1789" t="s">
        <v>27</v>
      </c>
      <c r="G1789" t="s">
        <v>28</v>
      </c>
      <c r="H1789" t="s">
        <v>204</v>
      </c>
      <c r="I1789">
        <v>0.11</v>
      </c>
      <c r="J1789">
        <f t="shared" si="81"/>
        <v>79.2</v>
      </c>
      <c r="K1789">
        <v>4</v>
      </c>
      <c r="L1789">
        <f t="shared" si="82"/>
        <v>75.2</v>
      </c>
      <c r="M1789" s="4">
        <f t="shared" si="83"/>
        <v>9.4E-2</v>
      </c>
      <c r="N1789">
        <v>800</v>
      </c>
      <c r="O1789">
        <v>720</v>
      </c>
      <c r="P1789" t="s">
        <v>25</v>
      </c>
      <c r="Q1789" t="s">
        <v>26</v>
      </c>
      <c r="R1789" t="str">
        <f>IF(COUNTIF(Sheet2!B:B, A1789) &gt; 0, "Yes", "No")</f>
        <v>No</v>
      </c>
    </row>
    <row r="1790" spans="1:18" x14ac:dyDescent="0.25">
      <c r="A1790" s="3">
        <v>45369</v>
      </c>
      <c r="B1790" t="s">
        <v>498</v>
      </c>
      <c r="C1790" t="s">
        <v>19</v>
      </c>
      <c r="D1790" t="s">
        <v>20</v>
      </c>
      <c r="E1790" t="s">
        <v>21</v>
      </c>
      <c r="F1790" t="s">
        <v>30</v>
      </c>
      <c r="G1790" t="s">
        <v>55</v>
      </c>
      <c r="H1790" t="s">
        <v>125</v>
      </c>
      <c r="I1790">
        <v>0.09</v>
      </c>
      <c r="J1790">
        <f t="shared" si="81"/>
        <v>64.8</v>
      </c>
      <c r="K1790">
        <v>2</v>
      </c>
      <c r="L1790">
        <f t="shared" si="82"/>
        <v>62.8</v>
      </c>
      <c r="M1790" s="4">
        <f t="shared" si="83"/>
        <v>7.85E-2</v>
      </c>
      <c r="N1790">
        <v>800</v>
      </c>
      <c r="O1790">
        <v>720</v>
      </c>
      <c r="P1790" t="s">
        <v>25</v>
      </c>
      <c r="Q1790" t="s">
        <v>26</v>
      </c>
      <c r="R1790" t="str">
        <f>IF(COUNTIF(Sheet2!B:B, A1790) &gt; 0, "Yes", "No")</f>
        <v>No</v>
      </c>
    </row>
    <row r="1791" spans="1:18" x14ac:dyDescent="0.25">
      <c r="A1791" s="3">
        <v>45369</v>
      </c>
      <c r="B1791" t="s">
        <v>498</v>
      </c>
      <c r="C1791" t="s">
        <v>19</v>
      </c>
      <c r="D1791" t="s">
        <v>33</v>
      </c>
      <c r="E1791" t="s">
        <v>21</v>
      </c>
      <c r="F1791" t="s">
        <v>34</v>
      </c>
      <c r="G1791" t="s">
        <v>57</v>
      </c>
      <c r="H1791" t="s">
        <v>224</v>
      </c>
      <c r="I1791">
        <v>0.15</v>
      </c>
      <c r="J1791">
        <f t="shared" si="81"/>
        <v>72</v>
      </c>
      <c r="K1791">
        <v>0</v>
      </c>
      <c r="L1791">
        <f t="shared" si="82"/>
        <v>72</v>
      </c>
      <c r="M1791" s="4">
        <f t="shared" si="83"/>
        <v>0.12857142857142856</v>
      </c>
      <c r="N1791">
        <v>560</v>
      </c>
      <c r="O1791">
        <v>480</v>
      </c>
      <c r="P1791" t="s">
        <v>25</v>
      </c>
      <c r="Q1791" t="s">
        <v>26</v>
      </c>
      <c r="R1791" t="str">
        <f>IF(COUNTIF(Sheet2!B:B, A1791) &gt; 0, "Yes", "No")</f>
        <v>No</v>
      </c>
    </row>
    <row r="1792" spans="1:18" x14ac:dyDescent="0.25">
      <c r="A1792" s="3">
        <v>45369</v>
      </c>
      <c r="B1792" t="s">
        <v>498</v>
      </c>
      <c r="C1792" t="s">
        <v>19</v>
      </c>
      <c r="D1792" t="s">
        <v>20</v>
      </c>
      <c r="E1792" t="s">
        <v>21</v>
      </c>
      <c r="F1792" t="s">
        <v>37</v>
      </c>
      <c r="G1792" t="s">
        <v>117</v>
      </c>
      <c r="H1792" t="s">
        <v>118</v>
      </c>
      <c r="I1792">
        <v>0.03</v>
      </c>
      <c r="J1792">
        <f t="shared" si="81"/>
        <v>21.599999999999998</v>
      </c>
      <c r="K1792">
        <v>1</v>
      </c>
      <c r="L1792">
        <f t="shared" si="82"/>
        <v>20.599999999999998</v>
      </c>
      <c r="M1792" s="4">
        <f t="shared" si="83"/>
        <v>2.5749999999999999E-2</v>
      </c>
      <c r="N1792">
        <v>800</v>
      </c>
      <c r="O1792">
        <v>720</v>
      </c>
      <c r="P1792" t="s">
        <v>25</v>
      </c>
      <c r="Q1792" t="s">
        <v>26</v>
      </c>
      <c r="R1792" t="str">
        <f>IF(COUNTIF(Sheet2!B:B, A1792) &gt; 0, "Yes", "No")</f>
        <v>No</v>
      </c>
    </row>
    <row r="1793" spans="1:18" x14ac:dyDescent="0.25">
      <c r="A1793" s="3">
        <v>45369</v>
      </c>
      <c r="B1793" t="s">
        <v>498</v>
      </c>
      <c r="C1793" t="s">
        <v>19</v>
      </c>
      <c r="D1793" t="s">
        <v>20</v>
      </c>
      <c r="E1793" t="s">
        <v>21</v>
      </c>
      <c r="F1793" t="s">
        <v>40</v>
      </c>
      <c r="G1793" t="s">
        <v>127</v>
      </c>
      <c r="H1793" t="s">
        <v>358</v>
      </c>
      <c r="I1793">
        <v>4.4999999999999998E-2</v>
      </c>
      <c r="J1793">
        <f t="shared" si="81"/>
        <v>32.4</v>
      </c>
      <c r="K1793">
        <v>1</v>
      </c>
      <c r="L1793">
        <f t="shared" si="82"/>
        <v>31.4</v>
      </c>
      <c r="M1793" s="4">
        <f t="shared" si="83"/>
        <v>3.925E-2</v>
      </c>
      <c r="N1793">
        <v>800</v>
      </c>
      <c r="O1793">
        <v>720</v>
      </c>
      <c r="P1793" t="s">
        <v>25</v>
      </c>
      <c r="Q1793" t="s">
        <v>26</v>
      </c>
      <c r="R1793" t="str">
        <f>IF(COUNTIF(Sheet2!B:B, A1793) &gt; 0, "Yes", "No")</f>
        <v>No</v>
      </c>
    </row>
    <row r="1794" spans="1:18" x14ac:dyDescent="0.25">
      <c r="A1794" s="3">
        <v>45369</v>
      </c>
      <c r="B1794" t="s">
        <v>498</v>
      </c>
      <c r="C1794" t="s">
        <v>19</v>
      </c>
      <c r="D1794" t="s">
        <v>20</v>
      </c>
      <c r="E1794" t="s">
        <v>21</v>
      </c>
      <c r="F1794" t="s">
        <v>43</v>
      </c>
      <c r="G1794" t="s">
        <v>44</v>
      </c>
      <c r="H1794" t="s">
        <v>429</v>
      </c>
      <c r="I1794">
        <v>0.11</v>
      </c>
      <c r="J1794">
        <f t="shared" si="81"/>
        <v>79.2</v>
      </c>
      <c r="K1794">
        <v>2</v>
      </c>
      <c r="L1794">
        <f t="shared" si="82"/>
        <v>77.2</v>
      </c>
      <c r="M1794" s="4">
        <f t="shared" si="83"/>
        <v>9.6500000000000002E-2</v>
      </c>
      <c r="N1794">
        <v>800</v>
      </c>
      <c r="O1794">
        <v>720</v>
      </c>
      <c r="P1794" t="s">
        <v>25</v>
      </c>
      <c r="Q1794" t="s">
        <v>26</v>
      </c>
      <c r="R1794" t="str">
        <f>IF(COUNTIF(Sheet2!B:B, A1794) &gt; 0, "Yes", "No")</f>
        <v>No</v>
      </c>
    </row>
    <row r="1795" spans="1:18" x14ac:dyDescent="0.25">
      <c r="A1795" s="3">
        <v>45369</v>
      </c>
      <c r="B1795" t="s">
        <v>498</v>
      </c>
      <c r="C1795" t="s">
        <v>19</v>
      </c>
      <c r="D1795" t="s">
        <v>20</v>
      </c>
      <c r="E1795" t="s">
        <v>21</v>
      </c>
      <c r="F1795" t="s">
        <v>46</v>
      </c>
      <c r="G1795" t="s">
        <v>169</v>
      </c>
      <c r="H1795" t="s">
        <v>519</v>
      </c>
      <c r="I1795">
        <v>8.5000000000000006E-2</v>
      </c>
      <c r="J1795">
        <f t="shared" ref="J1795:J1858" si="84">I1795*O1795</f>
        <v>61.2</v>
      </c>
      <c r="K1795">
        <v>5</v>
      </c>
      <c r="L1795">
        <f t="shared" ref="L1795:L1858" si="85">J1795-K1795</f>
        <v>56.2</v>
      </c>
      <c r="M1795" s="4">
        <f t="shared" ref="M1795:M1858" si="86">((I1795*O1795)-K1795)/N1795</f>
        <v>7.0250000000000007E-2</v>
      </c>
      <c r="N1795">
        <v>800</v>
      </c>
      <c r="O1795">
        <v>720</v>
      </c>
      <c r="P1795" t="s">
        <v>25</v>
      </c>
      <c r="Q1795" t="s">
        <v>26</v>
      </c>
      <c r="R1795" t="str">
        <f>IF(COUNTIF(Sheet2!B:B, A1795) &gt; 0, "Yes", "No")</f>
        <v>No</v>
      </c>
    </row>
    <row r="1796" spans="1:18" x14ac:dyDescent="0.25">
      <c r="A1796" s="3">
        <v>45369</v>
      </c>
      <c r="B1796" t="s">
        <v>498</v>
      </c>
      <c r="C1796" t="s">
        <v>19</v>
      </c>
      <c r="D1796" t="s">
        <v>20</v>
      </c>
      <c r="E1796" t="s">
        <v>21</v>
      </c>
      <c r="F1796" t="s">
        <v>49</v>
      </c>
      <c r="G1796" t="s">
        <v>50</v>
      </c>
      <c r="H1796" t="s">
        <v>49</v>
      </c>
      <c r="I1796">
        <v>0.09</v>
      </c>
      <c r="J1796">
        <f t="shared" si="84"/>
        <v>64.8</v>
      </c>
      <c r="K1796">
        <v>3</v>
      </c>
      <c r="L1796">
        <f t="shared" si="85"/>
        <v>61.8</v>
      </c>
      <c r="M1796" s="4">
        <f t="shared" si="86"/>
        <v>7.7249999999999999E-2</v>
      </c>
      <c r="N1796">
        <v>800</v>
      </c>
      <c r="O1796">
        <v>720</v>
      </c>
      <c r="P1796" t="s">
        <v>25</v>
      </c>
      <c r="Q1796" t="s">
        <v>26</v>
      </c>
      <c r="R1796" t="str">
        <f>IF(COUNTIF(Sheet2!B:B, A1796) &gt; 0, "Yes", "No")</f>
        <v>No</v>
      </c>
    </row>
    <row r="1797" spans="1:18" x14ac:dyDescent="0.25">
      <c r="A1797" s="3">
        <v>45370</v>
      </c>
      <c r="B1797" t="s">
        <v>498</v>
      </c>
      <c r="C1797" t="s">
        <v>105</v>
      </c>
      <c r="D1797" t="s">
        <v>20</v>
      </c>
      <c r="E1797" t="s">
        <v>67</v>
      </c>
      <c r="F1797" t="s">
        <v>22</v>
      </c>
      <c r="G1797" t="s">
        <v>122</v>
      </c>
      <c r="H1797" t="s">
        <v>155</v>
      </c>
      <c r="I1797">
        <v>8.5000000000000006E-2</v>
      </c>
      <c r="J1797">
        <f t="shared" si="84"/>
        <v>61.2</v>
      </c>
      <c r="K1797">
        <v>1</v>
      </c>
      <c r="L1797">
        <f t="shared" si="85"/>
        <v>60.2</v>
      </c>
      <c r="M1797" s="4">
        <f t="shared" si="86"/>
        <v>7.5249999999999997E-2</v>
      </c>
      <c r="N1797">
        <v>800</v>
      </c>
      <c r="O1797">
        <v>720</v>
      </c>
      <c r="P1797" t="s">
        <v>25</v>
      </c>
      <c r="Q1797" t="s">
        <v>26</v>
      </c>
      <c r="R1797" t="str">
        <f>IF(COUNTIF(Sheet2!B:B, A1797) &gt; 0, "Yes", "No")</f>
        <v>No</v>
      </c>
    </row>
    <row r="1798" spans="1:18" x14ac:dyDescent="0.25">
      <c r="A1798" s="3">
        <v>45370</v>
      </c>
      <c r="B1798" t="s">
        <v>498</v>
      </c>
      <c r="C1798" t="s">
        <v>105</v>
      </c>
      <c r="D1798" t="s">
        <v>20</v>
      </c>
      <c r="E1798" t="s">
        <v>67</v>
      </c>
      <c r="F1798" t="s">
        <v>27</v>
      </c>
      <c r="G1798" t="s">
        <v>115</v>
      </c>
      <c r="H1798" t="s">
        <v>115</v>
      </c>
      <c r="I1798">
        <v>0.11</v>
      </c>
      <c r="J1798">
        <f t="shared" si="84"/>
        <v>79.2</v>
      </c>
      <c r="K1798">
        <v>6</v>
      </c>
      <c r="L1798">
        <f t="shared" si="85"/>
        <v>73.2</v>
      </c>
      <c r="M1798" s="4">
        <f t="shared" si="86"/>
        <v>9.1499999999999998E-2</v>
      </c>
      <c r="N1798">
        <v>800</v>
      </c>
      <c r="O1798">
        <v>720</v>
      </c>
      <c r="P1798" t="s">
        <v>25</v>
      </c>
      <c r="Q1798" t="s">
        <v>26</v>
      </c>
      <c r="R1798" t="str">
        <f>IF(COUNTIF(Sheet2!B:B, A1798) &gt; 0, "Yes", "No")</f>
        <v>No</v>
      </c>
    </row>
    <row r="1799" spans="1:18" x14ac:dyDescent="0.25">
      <c r="A1799" s="3">
        <v>45370</v>
      </c>
      <c r="B1799" t="s">
        <v>498</v>
      </c>
      <c r="C1799" t="s">
        <v>105</v>
      </c>
      <c r="D1799" t="s">
        <v>20</v>
      </c>
      <c r="E1799" t="s">
        <v>67</v>
      </c>
      <c r="F1799" t="s">
        <v>30</v>
      </c>
      <c r="G1799" t="s">
        <v>31</v>
      </c>
      <c r="H1799" t="s">
        <v>70</v>
      </c>
      <c r="I1799">
        <v>0.09</v>
      </c>
      <c r="J1799">
        <f t="shared" si="84"/>
        <v>64.8</v>
      </c>
      <c r="K1799">
        <v>2</v>
      </c>
      <c r="L1799">
        <f t="shared" si="85"/>
        <v>62.8</v>
      </c>
      <c r="M1799" s="4">
        <f t="shared" si="86"/>
        <v>7.85E-2</v>
      </c>
      <c r="N1799">
        <v>800</v>
      </c>
      <c r="O1799">
        <v>720</v>
      </c>
      <c r="P1799" t="s">
        <v>25</v>
      </c>
      <c r="Q1799" t="s">
        <v>26</v>
      </c>
      <c r="R1799" t="str">
        <f>IF(COUNTIF(Sheet2!B:B, A1799) &gt; 0, "Yes", "No")</f>
        <v>No</v>
      </c>
    </row>
    <row r="1800" spans="1:18" x14ac:dyDescent="0.25">
      <c r="A1800" s="3">
        <v>45370</v>
      </c>
      <c r="B1800" t="s">
        <v>498</v>
      </c>
      <c r="C1800" t="s">
        <v>105</v>
      </c>
      <c r="D1800" t="s">
        <v>20</v>
      </c>
      <c r="E1800" t="s">
        <v>67</v>
      </c>
      <c r="F1800" t="s">
        <v>37</v>
      </c>
      <c r="G1800" t="s">
        <v>108</v>
      </c>
      <c r="H1800" t="s">
        <v>126</v>
      </c>
      <c r="I1800">
        <v>3.5000000000000003E-2</v>
      </c>
      <c r="J1800">
        <f t="shared" si="84"/>
        <v>25.200000000000003</v>
      </c>
      <c r="K1800">
        <v>1</v>
      </c>
      <c r="L1800">
        <f t="shared" si="85"/>
        <v>24.200000000000003</v>
      </c>
      <c r="M1800" s="4">
        <f t="shared" si="86"/>
        <v>3.0250000000000003E-2</v>
      </c>
      <c r="N1800">
        <v>800</v>
      </c>
      <c r="O1800">
        <v>720</v>
      </c>
      <c r="P1800" t="s">
        <v>25</v>
      </c>
      <c r="Q1800" t="s">
        <v>26</v>
      </c>
      <c r="R1800" t="str">
        <f>IF(COUNTIF(Sheet2!B:B, A1800) &gt; 0, "Yes", "No")</f>
        <v>No</v>
      </c>
    </row>
    <row r="1801" spans="1:18" x14ac:dyDescent="0.25">
      <c r="A1801" s="3">
        <v>45370</v>
      </c>
      <c r="B1801" t="s">
        <v>498</v>
      </c>
      <c r="C1801" t="s">
        <v>105</v>
      </c>
      <c r="D1801" t="s">
        <v>20</v>
      </c>
      <c r="E1801" t="s">
        <v>67</v>
      </c>
      <c r="F1801" t="s">
        <v>40</v>
      </c>
      <c r="G1801" t="s">
        <v>164</v>
      </c>
      <c r="H1801" t="s">
        <v>328</v>
      </c>
      <c r="I1801">
        <v>0.05</v>
      </c>
      <c r="J1801">
        <f t="shared" si="84"/>
        <v>36</v>
      </c>
      <c r="K1801">
        <v>2</v>
      </c>
      <c r="L1801">
        <f t="shared" si="85"/>
        <v>34</v>
      </c>
      <c r="M1801" s="4">
        <f t="shared" si="86"/>
        <v>4.2500000000000003E-2</v>
      </c>
      <c r="N1801">
        <v>800</v>
      </c>
      <c r="O1801">
        <v>720</v>
      </c>
      <c r="P1801" t="s">
        <v>25</v>
      </c>
      <c r="Q1801" t="s">
        <v>26</v>
      </c>
      <c r="R1801" t="str">
        <f>IF(COUNTIF(Sheet2!B:B, A1801) &gt; 0, "Yes", "No")</f>
        <v>No</v>
      </c>
    </row>
    <row r="1802" spans="1:18" x14ac:dyDescent="0.25">
      <c r="A1802" s="3">
        <v>45370</v>
      </c>
      <c r="B1802" t="s">
        <v>498</v>
      </c>
      <c r="C1802" t="s">
        <v>105</v>
      </c>
      <c r="D1802" t="s">
        <v>20</v>
      </c>
      <c r="E1802" t="s">
        <v>67</v>
      </c>
      <c r="F1802" t="s">
        <v>43</v>
      </c>
      <c r="G1802" t="s">
        <v>90</v>
      </c>
      <c r="H1802" t="s">
        <v>208</v>
      </c>
      <c r="I1802">
        <v>0.11</v>
      </c>
      <c r="J1802">
        <f t="shared" si="84"/>
        <v>79.2</v>
      </c>
      <c r="K1802">
        <v>4</v>
      </c>
      <c r="L1802">
        <f t="shared" si="85"/>
        <v>75.2</v>
      </c>
      <c r="M1802" s="4">
        <f t="shared" si="86"/>
        <v>9.4E-2</v>
      </c>
      <c r="N1802">
        <v>800</v>
      </c>
      <c r="O1802">
        <v>720</v>
      </c>
      <c r="P1802" t="s">
        <v>25</v>
      </c>
      <c r="Q1802" t="s">
        <v>26</v>
      </c>
      <c r="R1802" t="str">
        <f>IF(COUNTIF(Sheet2!B:B, A1802) &gt; 0, "Yes", "No")</f>
        <v>No</v>
      </c>
    </row>
    <row r="1803" spans="1:18" x14ac:dyDescent="0.25">
      <c r="A1803" s="3">
        <v>45370</v>
      </c>
      <c r="B1803" t="s">
        <v>498</v>
      </c>
      <c r="C1803" t="s">
        <v>105</v>
      </c>
      <c r="D1803" t="s">
        <v>20</v>
      </c>
      <c r="E1803" t="s">
        <v>67</v>
      </c>
      <c r="F1803" t="s">
        <v>46</v>
      </c>
      <c r="G1803" t="s">
        <v>92</v>
      </c>
      <c r="H1803" t="s">
        <v>321</v>
      </c>
      <c r="I1803">
        <v>8.5000000000000006E-2</v>
      </c>
      <c r="J1803">
        <f t="shared" si="84"/>
        <v>61.2</v>
      </c>
      <c r="K1803">
        <v>1</v>
      </c>
      <c r="L1803">
        <f t="shared" si="85"/>
        <v>60.2</v>
      </c>
      <c r="M1803" s="4">
        <f t="shared" si="86"/>
        <v>7.5249999999999997E-2</v>
      </c>
      <c r="N1803">
        <v>800</v>
      </c>
      <c r="O1803">
        <v>720</v>
      </c>
      <c r="P1803" t="s">
        <v>25</v>
      </c>
      <c r="Q1803" t="s">
        <v>26</v>
      </c>
      <c r="R1803" t="str">
        <f>IF(COUNTIF(Sheet2!B:B, A1803) &gt; 0, "Yes", "No")</f>
        <v>No</v>
      </c>
    </row>
    <row r="1804" spans="1:18" x14ac:dyDescent="0.25">
      <c r="A1804" s="3">
        <v>45370</v>
      </c>
      <c r="B1804" t="s">
        <v>498</v>
      </c>
      <c r="C1804" t="s">
        <v>105</v>
      </c>
      <c r="D1804" t="s">
        <v>20</v>
      </c>
      <c r="E1804" t="s">
        <v>67</v>
      </c>
      <c r="F1804" t="s">
        <v>49</v>
      </c>
      <c r="G1804" t="s">
        <v>50</v>
      </c>
      <c r="H1804" t="s">
        <v>49</v>
      </c>
      <c r="I1804">
        <v>0.09</v>
      </c>
      <c r="J1804">
        <f t="shared" si="84"/>
        <v>64.8</v>
      </c>
      <c r="K1804">
        <v>5</v>
      </c>
      <c r="L1804">
        <f t="shared" si="85"/>
        <v>59.8</v>
      </c>
      <c r="M1804" s="4">
        <f t="shared" si="86"/>
        <v>7.4749999999999997E-2</v>
      </c>
      <c r="N1804">
        <v>800</v>
      </c>
      <c r="O1804">
        <v>720</v>
      </c>
      <c r="P1804" t="s">
        <v>25</v>
      </c>
      <c r="Q1804" t="s">
        <v>26</v>
      </c>
      <c r="R1804" t="str">
        <f>IF(COUNTIF(Sheet2!B:B, A1804) &gt; 0, "Yes", "No")</f>
        <v>No</v>
      </c>
    </row>
    <row r="1805" spans="1:18" x14ac:dyDescent="0.25">
      <c r="A1805" s="3">
        <v>45371</v>
      </c>
      <c r="B1805" t="s">
        <v>498</v>
      </c>
      <c r="C1805" t="s">
        <v>51</v>
      </c>
      <c r="D1805" t="s">
        <v>20</v>
      </c>
      <c r="E1805" t="s">
        <v>21</v>
      </c>
      <c r="F1805" t="s">
        <v>22</v>
      </c>
      <c r="G1805" t="s">
        <v>23</v>
      </c>
      <c r="H1805" t="s">
        <v>196</v>
      </c>
      <c r="I1805">
        <v>8.5000000000000006E-2</v>
      </c>
      <c r="J1805">
        <f t="shared" si="84"/>
        <v>65.45</v>
      </c>
      <c r="K1805">
        <v>1</v>
      </c>
      <c r="L1805">
        <f t="shared" si="85"/>
        <v>64.45</v>
      </c>
      <c r="M1805" s="4">
        <f t="shared" si="86"/>
        <v>7.5823529411764706E-2</v>
      </c>
      <c r="N1805">
        <v>850</v>
      </c>
      <c r="O1805">
        <v>770</v>
      </c>
      <c r="P1805" t="s">
        <v>25</v>
      </c>
      <c r="Q1805" t="s">
        <v>26</v>
      </c>
      <c r="R1805" t="str">
        <f>IF(COUNTIF(Sheet2!B:B, A1805) &gt; 0, "Yes", "No")</f>
        <v>No</v>
      </c>
    </row>
    <row r="1806" spans="1:18" x14ac:dyDescent="0.25">
      <c r="A1806" s="3">
        <v>45371</v>
      </c>
      <c r="B1806" t="s">
        <v>498</v>
      </c>
      <c r="C1806" t="s">
        <v>51</v>
      </c>
      <c r="D1806" t="s">
        <v>20</v>
      </c>
      <c r="E1806" t="s">
        <v>21</v>
      </c>
      <c r="F1806" t="s">
        <v>27</v>
      </c>
      <c r="G1806" t="s">
        <v>28</v>
      </c>
      <c r="H1806" t="s">
        <v>156</v>
      </c>
      <c r="I1806">
        <v>0.11</v>
      </c>
      <c r="J1806">
        <f t="shared" si="84"/>
        <v>84.7</v>
      </c>
      <c r="K1806">
        <v>4</v>
      </c>
      <c r="L1806">
        <f t="shared" si="85"/>
        <v>80.7</v>
      </c>
      <c r="M1806" s="4">
        <f t="shared" si="86"/>
        <v>9.4941176470588237E-2</v>
      </c>
      <c r="N1806">
        <v>850</v>
      </c>
      <c r="O1806">
        <v>770</v>
      </c>
      <c r="P1806" t="s">
        <v>25</v>
      </c>
      <c r="Q1806" t="s">
        <v>26</v>
      </c>
      <c r="R1806" t="str">
        <f>IF(COUNTIF(Sheet2!B:B, A1806) &gt; 0, "Yes", "No")</f>
        <v>No</v>
      </c>
    </row>
    <row r="1807" spans="1:18" x14ac:dyDescent="0.25">
      <c r="A1807" s="3">
        <v>45371</v>
      </c>
      <c r="B1807" t="s">
        <v>498</v>
      </c>
      <c r="C1807" t="s">
        <v>51</v>
      </c>
      <c r="D1807" t="s">
        <v>20</v>
      </c>
      <c r="E1807" t="s">
        <v>21</v>
      </c>
      <c r="F1807" t="s">
        <v>30</v>
      </c>
      <c r="G1807" t="s">
        <v>31</v>
      </c>
      <c r="H1807" t="s">
        <v>31</v>
      </c>
      <c r="I1807">
        <v>0.09</v>
      </c>
      <c r="J1807">
        <f t="shared" si="84"/>
        <v>69.3</v>
      </c>
      <c r="K1807">
        <v>3</v>
      </c>
      <c r="L1807">
        <f t="shared" si="85"/>
        <v>66.3</v>
      </c>
      <c r="M1807" s="4">
        <f t="shared" si="86"/>
        <v>7.8E-2</v>
      </c>
      <c r="N1807">
        <v>850</v>
      </c>
      <c r="O1807">
        <v>770</v>
      </c>
      <c r="P1807" t="s">
        <v>25</v>
      </c>
      <c r="Q1807" t="s">
        <v>26</v>
      </c>
      <c r="R1807" t="str">
        <f>IF(COUNTIF(Sheet2!B:B, A1807) &gt; 0, "Yes", "No")</f>
        <v>No</v>
      </c>
    </row>
    <row r="1808" spans="1:18" x14ac:dyDescent="0.25">
      <c r="A1808" s="3">
        <v>45371</v>
      </c>
      <c r="B1808" t="s">
        <v>498</v>
      </c>
      <c r="C1808" t="s">
        <v>51</v>
      </c>
      <c r="D1808" t="s">
        <v>33</v>
      </c>
      <c r="E1808" t="s">
        <v>21</v>
      </c>
      <c r="F1808" t="s">
        <v>34</v>
      </c>
      <c r="G1808" t="s">
        <v>35</v>
      </c>
      <c r="H1808" t="s">
        <v>330</v>
      </c>
      <c r="I1808">
        <v>0.15</v>
      </c>
      <c r="J1808">
        <f t="shared" si="84"/>
        <v>79.5</v>
      </c>
      <c r="K1808">
        <v>1</v>
      </c>
      <c r="L1808">
        <f t="shared" si="85"/>
        <v>78.5</v>
      </c>
      <c r="M1808" s="4">
        <f t="shared" si="86"/>
        <v>0.1319327731092437</v>
      </c>
      <c r="N1808">
        <v>595</v>
      </c>
      <c r="O1808">
        <v>530</v>
      </c>
      <c r="P1808" t="s">
        <v>25</v>
      </c>
      <c r="Q1808" t="s">
        <v>26</v>
      </c>
      <c r="R1808" t="str">
        <f>IF(COUNTIF(Sheet2!B:B, A1808) &gt; 0, "Yes", "No")</f>
        <v>No</v>
      </c>
    </row>
    <row r="1809" spans="1:18" x14ac:dyDescent="0.25">
      <c r="A1809" s="3">
        <v>45371</v>
      </c>
      <c r="B1809" t="s">
        <v>498</v>
      </c>
      <c r="C1809" t="s">
        <v>51</v>
      </c>
      <c r="D1809" t="s">
        <v>20</v>
      </c>
      <c r="E1809" t="s">
        <v>21</v>
      </c>
      <c r="F1809" t="s">
        <v>37</v>
      </c>
      <c r="G1809" t="s">
        <v>38</v>
      </c>
      <c r="H1809" t="s">
        <v>520</v>
      </c>
      <c r="I1809">
        <v>0.03</v>
      </c>
      <c r="J1809">
        <f t="shared" si="84"/>
        <v>23.099999999999998</v>
      </c>
      <c r="K1809">
        <v>2</v>
      </c>
      <c r="L1809">
        <f t="shared" si="85"/>
        <v>21.099999999999998</v>
      </c>
      <c r="M1809" s="4">
        <f t="shared" si="86"/>
        <v>2.4823529411764703E-2</v>
      </c>
      <c r="N1809">
        <v>850</v>
      </c>
      <c r="O1809">
        <v>770</v>
      </c>
      <c r="P1809" t="s">
        <v>25</v>
      </c>
      <c r="Q1809" t="s">
        <v>26</v>
      </c>
      <c r="R1809" t="str">
        <f>IF(COUNTIF(Sheet2!B:B, A1809) &gt; 0, "Yes", "No")</f>
        <v>No</v>
      </c>
    </row>
    <row r="1810" spans="1:18" x14ac:dyDescent="0.25">
      <c r="A1810" s="3">
        <v>45371</v>
      </c>
      <c r="B1810" t="s">
        <v>498</v>
      </c>
      <c r="C1810" t="s">
        <v>51</v>
      </c>
      <c r="D1810" t="s">
        <v>20</v>
      </c>
      <c r="E1810" t="s">
        <v>21</v>
      </c>
      <c r="F1810" t="s">
        <v>40</v>
      </c>
      <c r="G1810" t="s">
        <v>137</v>
      </c>
      <c r="H1810" t="s">
        <v>138</v>
      </c>
      <c r="I1810">
        <v>4.4999999999999998E-2</v>
      </c>
      <c r="J1810">
        <f t="shared" si="84"/>
        <v>34.65</v>
      </c>
      <c r="K1810">
        <v>2</v>
      </c>
      <c r="L1810">
        <f t="shared" si="85"/>
        <v>32.65</v>
      </c>
      <c r="M1810" s="4">
        <f t="shared" si="86"/>
        <v>3.8411764705882354E-2</v>
      </c>
      <c r="N1810">
        <v>850</v>
      </c>
      <c r="O1810">
        <v>770</v>
      </c>
      <c r="P1810" t="s">
        <v>25</v>
      </c>
      <c r="Q1810" t="s">
        <v>26</v>
      </c>
      <c r="R1810" t="str">
        <f>IF(COUNTIF(Sheet2!B:B, A1810) &gt; 0, "Yes", "No")</f>
        <v>No</v>
      </c>
    </row>
    <row r="1811" spans="1:18" x14ac:dyDescent="0.25">
      <c r="A1811" s="3">
        <v>45371</v>
      </c>
      <c r="B1811" t="s">
        <v>498</v>
      </c>
      <c r="C1811" t="s">
        <v>51</v>
      </c>
      <c r="D1811" t="s">
        <v>20</v>
      </c>
      <c r="E1811" t="s">
        <v>21</v>
      </c>
      <c r="F1811" t="s">
        <v>43</v>
      </c>
      <c r="G1811" t="s">
        <v>301</v>
      </c>
      <c r="H1811" t="s">
        <v>490</v>
      </c>
      <c r="I1811">
        <v>0.11</v>
      </c>
      <c r="J1811">
        <f t="shared" si="84"/>
        <v>84.7</v>
      </c>
      <c r="K1811">
        <v>2</v>
      </c>
      <c r="L1811">
        <f t="shared" si="85"/>
        <v>82.7</v>
      </c>
      <c r="M1811" s="4">
        <f t="shared" si="86"/>
        <v>9.7294117647058823E-2</v>
      </c>
      <c r="N1811">
        <v>850</v>
      </c>
      <c r="O1811">
        <v>770</v>
      </c>
      <c r="P1811" t="s">
        <v>25</v>
      </c>
      <c r="Q1811" t="s">
        <v>26</v>
      </c>
      <c r="R1811" t="str">
        <f>IF(COUNTIF(Sheet2!B:B, A1811) &gt; 0, "Yes", "No")</f>
        <v>No</v>
      </c>
    </row>
    <row r="1812" spans="1:18" x14ac:dyDescent="0.25">
      <c r="A1812" s="3">
        <v>45371</v>
      </c>
      <c r="B1812" t="s">
        <v>498</v>
      </c>
      <c r="C1812" t="s">
        <v>51</v>
      </c>
      <c r="D1812" t="s">
        <v>20</v>
      </c>
      <c r="E1812" t="s">
        <v>21</v>
      </c>
      <c r="F1812" t="s">
        <v>46</v>
      </c>
      <c r="G1812" t="s">
        <v>256</v>
      </c>
      <c r="H1812" t="s">
        <v>400</v>
      </c>
      <c r="I1812">
        <v>8.5000000000000006E-2</v>
      </c>
      <c r="J1812">
        <f t="shared" si="84"/>
        <v>65.45</v>
      </c>
      <c r="K1812">
        <v>1</v>
      </c>
      <c r="L1812">
        <f t="shared" si="85"/>
        <v>64.45</v>
      </c>
      <c r="M1812" s="4">
        <f t="shared" si="86"/>
        <v>7.5823529411764706E-2</v>
      </c>
      <c r="N1812">
        <v>850</v>
      </c>
      <c r="O1812">
        <v>770</v>
      </c>
      <c r="P1812" t="s">
        <v>25</v>
      </c>
      <c r="Q1812" t="s">
        <v>26</v>
      </c>
      <c r="R1812" t="str">
        <f>IF(COUNTIF(Sheet2!B:B, A1812) &gt; 0, "Yes", "No")</f>
        <v>No</v>
      </c>
    </row>
    <row r="1813" spans="1:18" x14ac:dyDescent="0.25">
      <c r="A1813" s="3">
        <v>45371</v>
      </c>
      <c r="B1813" t="s">
        <v>498</v>
      </c>
      <c r="C1813" t="s">
        <v>51</v>
      </c>
      <c r="D1813" t="s">
        <v>20</v>
      </c>
      <c r="E1813" t="s">
        <v>21</v>
      </c>
      <c r="F1813" t="s">
        <v>49</v>
      </c>
      <c r="G1813" t="s">
        <v>50</v>
      </c>
      <c r="H1813" t="s">
        <v>49</v>
      </c>
      <c r="I1813">
        <v>0.09</v>
      </c>
      <c r="J1813">
        <f t="shared" si="84"/>
        <v>69.3</v>
      </c>
      <c r="K1813">
        <v>3</v>
      </c>
      <c r="L1813">
        <f t="shared" si="85"/>
        <v>66.3</v>
      </c>
      <c r="M1813" s="4">
        <f t="shared" si="86"/>
        <v>7.8E-2</v>
      </c>
      <c r="N1813">
        <v>850</v>
      </c>
      <c r="O1813">
        <v>770</v>
      </c>
      <c r="P1813" t="s">
        <v>25</v>
      </c>
      <c r="Q1813" t="s">
        <v>26</v>
      </c>
      <c r="R1813" t="str">
        <f>IF(COUNTIF(Sheet2!B:B, A1813) &gt; 0, "Yes", "No")</f>
        <v>No</v>
      </c>
    </row>
    <row r="1814" spans="1:18" x14ac:dyDescent="0.25">
      <c r="A1814" s="3">
        <v>45372</v>
      </c>
      <c r="B1814" t="s">
        <v>498</v>
      </c>
      <c r="C1814" t="s">
        <v>66</v>
      </c>
      <c r="D1814" t="s">
        <v>20</v>
      </c>
      <c r="E1814" t="s">
        <v>67</v>
      </c>
      <c r="F1814" t="s">
        <v>22</v>
      </c>
      <c r="G1814" t="s">
        <v>122</v>
      </c>
      <c r="H1814" t="s">
        <v>521</v>
      </c>
      <c r="I1814">
        <v>8.5000000000000006E-2</v>
      </c>
      <c r="J1814">
        <f t="shared" si="84"/>
        <v>61.2</v>
      </c>
      <c r="K1814">
        <v>4</v>
      </c>
      <c r="L1814">
        <f t="shared" si="85"/>
        <v>57.2</v>
      </c>
      <c r="M1814" s="4">
        <f t="shared" si="86"/>
        <v>7.1500000000000008E-2</v>
      </c>
      <c r="N1814">
        <v>800</v>
      </c>
      <c r="O1814">
        <v>720</v>
      </c>
      <c r="P1814" t="s">
        <v>25</v>
      </c>
      <c r="Q1814" t="s">
        <v>26</v>
      </c>
      <c r="R1814" t="str">
        <f>IF(COUNTIF(Sheet2!B:B, A1814) &gt; 0, "Yes", "No")</f>
        <v>No</v>
      </c>
    </row>
    <row r="1815" spans="1:18" x14ac:dyDescent="0.25">
      <c r="A1815" s="3">
        <v>45372</v>
      </c>
      <c r="B1815" t="s">
        <v>498</v>
      </c>
      <c r="C1815" t="s">
        <v>66</v>
      </c>
      <c r="D1815" t="s">
        <v>20</v>
      </c>
      <c r="E1815" t="s">
        <v>67</v>
      </c>
      <c r="F1815" t="s">
        <v>27</v>
      </c>
      <c r="G1815" t="s">
        <v>28</v>
      </c>
      <c r="H1815" t="s">
        <v>522</v>
      </c>
      <c r="I1815">
        <v>0.11</v>
      </c>
      <c r="J1815">
        <f t="shared" si="84"/>
        <v>79.2</v>
      </c>
      <c r="K1815">
        <v>1</v>
      </c>
      <c r="L1815">
        <f t="shared" si="85"/>
        <v>78.2</v>
      </c>
      <c r="M1815" s="4">
        <f t="shared" si="86"/>
        <v>9.7750000000000004E-2</v>
      </c>
      <c r="N1815">
        <v>800</v>
      </c>
      <c r="O1815">
        <v>720</v>
      </c>
      <c r="P1815" t="s">
        <v>25</v>
      </c>
      <c r="Q1815" t="s">
        <v>26</v>
      </c>
      <c r="R1815" t="str">
        <f>IF(COUNTIF(Sheet2!B:B, A1815) &gt; 0, "Yes", "No")</f>
        <v>No</v>
      </c>
    </row>
    <row r="1816" spans="1:18" x14ac:dyDescent="0.25">
      <c r="A1816" s="3">
        <v>45372</v>
      </c>
      <c r="B1816" t="s">
        <v>498</v>
      </c>
      <c r="C1816" t="s">
        <v>66</v>
      </c>
      <c r="D1816" t="s">
        <v>20</v>
      </c>
      <c r="E1816" t="s">
        <v>67</v>
      </c>
      <c r="F1816" t="s">
        <v>30</v>
      </c>
      <c r="G1816" t="s">
        <v>55</v>
      </c>
      <c r="H1816" t="s">
        <v>56</v>
      </c>
      <c r="I1816">
        <v>0.09</v>
      </c>
      <c r="J1816">
        <f t="shared" si="84"/>
        <v>64.8</v>
      </c>
      <c r="K1816">
        <v>2</v>
      </c>
      <c r="L1816">
        <f t="shared" si="85"/>
        <v>62.8</v>
      </c>
      <c r="M1816" s="4">
        <f t="shared" si="86"/>
        <v>7.85E-2</v>
      </c>
      <c r="N1816">
        <v>800</v>
      </c>
      <c r="O1816">
        <v>720</v>
      </c>
      <c r="P1816" t="s">
        <v>25</v>
      </c>
      <c r="Q1816" t="s">
        <v>26</v>
      </c>
      <c r="R1816" t="str">
        <f>IF(COUNTIF(Sheet2!B:B, A1816) &gt; 0, "Yes", "No")</f>
        <v>No</v>
      </c>
    </row>
    <row r="1817" spans="1:18" x14ac:dyDescent="0.25">
      <c r="A1817" s="3">
        <v>45372</v>
      </c>
      <c r="B1817" t="s">
        <v>498</v>
      </c>
      <c r="C1817" t="s">
        <v>66</v>
      </c>
      <c r="D1817" t="s">
        <v>20</v>
      </c>
      <c r="E1817" t="s">
        <v>67</v>
      </c>
      <c r="F1817" t="s">
        <v>37</v>
      </c>
      <c r="G1817" t="s">
        <v>87</v>
      </c>
      <c r="H1817" t="s">
        <v>136</v>
      </c>
      <c r="I1817">
        <v>3.5000000000000003E-2</v>
      </c>
      <c r="J1817">
        <f t="shared" si="84"/>
        <v>25.200000000000003</v>
      </c>
      <c r="K1817">
        <v>2</v>
      </c>
      <c r="L1817">
        <f t="shared" si="85"/>
        <v>23.200000000000003</v>
      </c>
      <c r="M1817" s="4">
        <f t="shared" si="86"/>
        <v>2.9000000000000005E-2</v>
      </c>
      <c r="N1817">
        <v>800</v>
      </c>
      <c r="O1817">
        <v>720</v>
      </c>
      <c r="P1817" t="s">
        <v>25</v>
      </c>
      <c r="Q1817" t="s">
        <v>26</v>
      </c>
      <c r="R1817" t="str">
        <f>IF(COUNTIF(Sheet2!B:B, A1817) &gt; 0, "Yes", "No")</f>
        <v>No</v>
      </c>
    </row>
    <row r="1818" spans="1:18" x14ac:dyDescent="0.25">
      <c r="A1818" s="3">
        <v>45372</v>
      </c>
      <c r="B1818" t="s">
        <v>498</v>
      </c>
      <c r="C1818" t="s">
        <v>66</v>
      </c>
      <c r="D1818" t="s">
        <v>20</v>
      </c>
      <c r="E1818" t="s">
        <v>67</v>
      </c>
      <c r="F1818" t="s">
        <v>40</v>
      </c>
      <c r="G1818" t="s">
        <v>164</v>
      </c>
      <c r="H1818" t="s">
        <v>193</v>
      </c>
      <c r="I1818">
        <v>0.05</v>
      </c>
      <c r="J1818">
        <f t="shared" si="84"/>
        <v>36</v>
      </c>
      <c r="K1818">
        <v>3</v>
      </c>
      <c r="L1818">
        <f t="shared" si="85"/>
        <v>33</v>
      </c>
      <c r="M1818" s="4">
        <f t="shared" si="86"/>
        <v>4.1250000000000002E-2</v>
      </c>
      <c r="N1818">
        <v>800</v>
      </c>
      <c r="O1818">
        <v>720</v>
      </c>
      <c r="P1818" t="s">
        <v>25</v>
      </c>
      <c r="Q1818" t="s">
        <v>26</v>
      </c>
      <c r="R1818" t="str">
        <f>IF(COUNTIF(Sheet2!B:B, A1818) &gt; 0, "Yes", "No")</f>
        <v>No</v>
      </c>
    </row>
    <row r="1819" spans="1:18" x14ac:dyDescent="0.25">
      <c r="A1819" s="3">
        <v>45372</v>
      </c>
      <c r="B1819" t="s">
        <v>498</v>
      </c>
      <c r="C1819" t="s">
        <v>66</v>
      </c>
      <c r="D1819" t="s">
        <v>20</v>
      </c>
      <c r="E1819" t="s">
        <v>67</v>
      </c>
      <c r="F1819" t="s">
        <v>43</v>
      </c>
      <c r="G1819" t="s">
        <v>159</v>
      </c>
      <c r="H1819" t="s">
        <v>523</v>
      </c>
      <c r="I1819">
        <v>0.11</v>
      </c>
      <c r="J1819">
        <f t="shared" si="84"/>
        <v>79.2</v>
      </c>
      <c r="K1819">
        <v>3</v>
      </c>
      <c r="L1819">
        <f t="shared" si="85"/>
        <v>76.2</v>
      </c>
      <c r="M1819" s="4">
        <f t="shared" si="86"/>
        <v>9.5250000000000001E-2</v>
      </c>
      <c r="N1819">
        <v>800</v>
      </c>
      <c r="O1819">
        <v>720</v>
      </c>
      <c r="P1819" t="s">
        <v>25</v>
      </c>
      <c r="Q1819" t="s">
        <v>26</v>
      </c>
      <c r="R1819" t="str">
        <f>IF(COUNTIF(Sheet2!B:B, A1819) &gt; 0, "Yes", "No")</f>
        <v>No</v>
      </c>
    </row>
    <row r="1820" spans="1:18" x14ac:dyDescent="0.25">
      <c r="A1820" s="3">
        <v>45372</v>
      </c>
      <c r="B1820" t="s">
        <v>498</v>
      </c>
      <c r="C1820" t="s">
        <v>66</v>
      </c>
      <c r="D1820" t="s">
        <v>20</v>
      </c>
      <c r="E1820" t="s">
        <v>67</v>
      </c>
      <c r="F1820" t="s">
        <v>46</v>
      </c>
      <c r="G1820" t="s">
        <v>47</v>
      </c>
      <c r="H1820" t="s">
        <v>65</v>
      </c>
      <c r="I1820">
        <v>8.5000000000000006E-2</v>
      </c>
      <c r="J1820">
        <f t="shared" si="84"/>
        <v>61.2</v>
      </c>
      <c r="K1820">
        <v>3</v>
      </c>
      <c r="L1820">
        <f t="shared" si="85"/>
        <v>58.2</v>
      </c>
      <c r="M1820" s="4">
        <f t="shared" si="86"/>
        <v>7.2750000000000009E-2</v>
      </c>
      <c r="N1820">
        <v>800</v>
      </c>
      <c r="O1820">
        <v>720</v>
      </c>
      <c r="P1820" t="s">
        <v>25</v>
      </c>
      <c r="Q1820" t="s">
        <v>26</v>
      </c>
      <c r="R1820" t="str">
        <f>IF(COUNTIF(Sheet2!B:B, A1820) &gt; 0, "Yes", "No")</f>
        <v>No</v>
      </c>
    </row>
    <row r="1821" spans="1:18" x14ac:dyDescent="0.25">
      <c r="A1821" s="3">
        <v>45372</v>
      </c>
      <c r="B1821" t="s">
        <v>498</v>
      </c>
      <c r="C1821" t="s">
        <v>66</v>
      </c>
      <c r="D1821" t="s">
        <v>20</v>
      </c>
      <c r="E1821" t="s">
        <v>67</v>
      </c>
      <c r="F1821" t="s">
        <v>49</v>
      </c>
      <c r="G1821" t="s">
        <v>50</v>
      </c>
      <c r="H1821" t="s">
        <v>49</v>
      </c>
      <c r="I1821">
        <v>0.09</v>
      </c>
      <c r="J1821">
        <f t="shared" si="84"/>
        <v>64.8</v>
      </c>
      <c r="K1821">
        <v>3</v>
      </c>
      <c r="L1821">
        <f t="shared" si="85"/>
        <v>61.8</v>
      </c>
      <c r="M1821" s="4">
        <f t="shared" si="86"/>
        <v>7.7249999999999999E-2</v>
      </c>
      <c r="N1821">
        <v>800</v>
      </c>
      <c r="O1821">
        <v>720</v>
      </c>
      <c r="P1821" t="s">
        <v>25</v>
      </c>
      <c r="Q1821" t="s">
        <v>26</v>
      </c>
      <c r="R1821" t="str">
        <f>IF(COUNTIF(Sheet2!B:B, A1821) &gt; 0, "Yes", "No")</f>
        <v>No</v>
      </c>
    </row>
    <row r="1822" spans="1:18" x14ac:dyDescent="0.25">
      <c r="A1822" s="3">
        <v>45373</v>
      </c>
      <c r="B1822" t="s">
        <v>498</v>
      </c>
      <c r="C1822" t="s">
        <v>79</v>
      </c>
      <c r="D1822" t="s">
        <v>20</v>
      </c>
      <c r="E1822" t="s">
        <v>21</v>
      </c>
      <c r="F1822" t="s">
        <v>22</v>
      </c>
      <c r="G1822" t="s">
        <v>122</v>
      </c>
      <c r="H1822" t="s">
        <v>240</v>
      </c>
      <c r="I1822" s="5">
        <v>0.06</v>
      </c>
      <c r="J1822">
        <f t="shared" si="84"/>
        <v>36</v>
      </c>
      <c r="K1822">
        <v>1</v>
      </c>
      <c r="L1822">
        <f t="shared" si="85"/>
        <v>35</v>
      </c>
      <c r="M1822" s="4">
        <f t="shared" si="86"/>
        <v>5.3846153846153849E-2</v>
      </c>
      <c r="N1822">
        <v>650</v>
      </c>
      <c r="O1822">
        <v>600</v>
      </c>
      <c r="P1822" t="s">
        <v>25</v>
      </c>
      <c r="Q1822" t="s">
        <v>26</v>
      </c>
      <c r="R1822" t="str">
        <f>IF(COUNTIF(Sheet2!B:B, A1822) &gt; 0, "Yes", "No")</f>
        <v>Yes</v>
      </c>
    </row>
    <row r="1823" spans="1:18" x14ac:dyDescent="0.25">
      <c r="A1823" s="3">
        <v>45373</v>
      </c>
      <c r="B1823" t="s">
        <v>498</v>
      </c>
      <c r="C1823" t="s">
        <v>79</v>
      </c>
      <c r="D1823" t="s">
        <v>20</v>
      </c>
      <c r="E1823" t="s">
        <v>21</v>
      </c>
      <c r="F1823" t="s">
        <v>27</v>
      </c>
      <c r="G1823" t="s">
        <v>81</v>
      </c>
      <c r="H1823" t="s">
        <v>378</v>
      </c>
      <c r="I1823" s="5">
        <v>0.1</v>
      </c>
      <c r="J1823">
        <f t="shared" si="84"/>
        <v>60</v>
      </c>
      <c r="K1823">
        <v>4</v>
      </c>
      <c r="L1823">
        <f t="shared" si="85"/>
        <v>56</v>
      </c>
      <c r="M1823" s="4">
        <f t="shared" si="86"/>
        <v>8.615384615384615E-2</v>
      </c>
      <c r="N1823">
        <v>650</v>
      </c>
      <c r="O1823">
        <v>600</v>
      </c>
      <c r="P1823" t="s">
        <v>25</v>
      </c>
      <c r="Q1823" t="s">
        <v>26</v>
      </c>
      <c r="R1823" t="str">
        <f>IF(COUNTIF(Sheet2!B:B, A1823) &gt; 0, "Yes", "No")</f>
        <v>Yes</v>
      </c>
    </row>
    <row r="1824" spans="1:18" x14ac:dyDescent="0.25">
      <c r="A1824" s="3">
        <v>45373</v>
      </c>
      <c r="B1824" t="s">
        <v>498</v>
      </c>
      <c r="C1824" t="s">
        <v>79</v>
      </c>
      <c r="D1824" t="s">
        <v>20</v>
      </c>
      <c r="E1824" t="s">
        <v>21</v>
      </c>
      <c r="F1824" t="s">
        <v>30</v>
      </c>
      <c r="G1824" t="s">
        <v>55</v>
      </c>
      <c r="H1824" t="s">
        <v>183</v>
      </c>
      <c r="I1824" s="5">
        <v>0.06</v>
      </c>
      <c r="J1824">
        <f t="shared" si="84"/>
        <v>36</v>
      </c>
      <c r="K1824">
        <v>2</v>
      </c>
      <c r="L1824">
        <f t="shared" si="85"/>
        <v>34</v>
      </c>
      <c r="M1824" s="4">
        <f t="shared" si="86"/>
        <v>5.2307692307692305E-2</v>
      </c>
      <c r="N1824">
        <v>650</v>
      </c>
      <c r="O1824">
        <v>600</v>
      </c>
      <c r="P1824" t="s">
        <v>25</v>
      </c>
      <c r="Q1824" t="s">
        <v>26</v>
      </c>
      <c r="R1824" t="str">
        <f>IF(COUNTIF(Sheet2!B:B, A1824) &gt; 0, "Yes", "No")</f>
        <v>Yes</v>
      </c>
    </row>
    <row r="1825" spans="1:18" x14ac:dyDescent="0.25">
      <c r="A1825" s="3">
        <v>45373</v>
      </c>
      <c r="B1825" t="s">
        <v>498</v>
      </c>
      <c r="C1825" t="s">
        <v>79</v>
      </c>
      <c r="D1825" t="s">
        <v>33</v>
      </c>
      <c r="E1825" t="s">
        <v>21</v>
      </c>
      <c r="F1825" t="s">
        <v>84</v>
      </c>
      <c r="G1825" t="s">
        <v>85</v>
      </c>
      <c r="H1825" t="s">
        <v>455</v>
      </c>
      <c r="I1825" s="5">
        <v>0.3</v>
      </c>
      <c r="J1825">
        <f t="shared" si="84"/>
        <v>126</v>
      </c>
      <c r="K1825">
        <v>0</v>
      </c>
      <c r="L1825">
        <f t="shared" si="85"/>
        <v>126</v>
      </c>
      <c r="M1825" s="4">
        <f t="shared" si="86"/>
        <v>0.27692307692307694</v>
      </c>
      <c r="N1825">
        <v>455</v>
      </c>
      <c r="O1825">
        <v>420</v>
      </c>
      <c r="P1825" t="s">
        <v>25</v>
      </c>
      <c r="Q1825" t="s">
        <v>26</v>
      </c>
      <c r="R1825" t="str">
        <f>IF(COUNTIF(Sheet2!B:B, A1825) &gt; 0, "Yes", "No")</f>
        <v>Yes</v>
      </c>
    </row>
    <row r="1826" spans="1:18" x14ac:dyDescent="0.25">
      <c r="A1826" s="3">
        <v>45373</v>
      </c>
      <c r="B1826" t="s">
        <v>498</v>
      </c>
      <c r="C1826" t="s">
        <v>79</v>
      </c>
      <c r="D1826" t="s">
        <v>20</v>
      </c>
      <c r="E1826" t="s">
        <v>21</v>
      </c>
      <c r="F1826" t="s">
        <v>37</v>
      </c>
      <c r="G1826" t="s">
        <v>87</v>
      </c>
      <c r="H1826" t="s">
        <v>99</v>
      </c>
      <c r="I1826" s="5">
        <v>2.5000000000000001E-2</v>
      </c>
      <c r="J1826">
        <f t="shared" si="84"/>
        <v>15</v>
      </c>
      <c r="K1826">
        <v>3</v>
      </c>
      <c r="L1826">
        <f t="shared" si="85"/>
        <v>12</v>
      </c>
      <c r="M1826" s="4">
        <f t="shared" si="86"/>
        <v>1.8461538461538463E-2</v>
      </c>
      <c r="N1826">
        <v>650</v>
      </c>
      <c r="O1826">
        <v>600</v>
      </c>
      <c r="P1826" t="s">
        <v>25</v>
      </c>
      <c r="Q1826" t="s">
        <v>26</v>
      </c>
      <c r="R1826" t="str">
        <f>IF(COUNTIF(Sheet2!B:B, A1826) &gt; 0, "Yes", "No")</f>
        <v>Yes</v>
      </c>
    </row>
    <row r="1827" spans="1:18" x14ac:dyDescent="0.25">
      <c r="A1827" s="3">
        <v>45373</v>
      </c>
      <c r="B1827" t="s">
        <v>498</v>
      </c>
      <c r="C1827" t="s">
        <v>79</v>
      </c>
      <c r="D1827" t="s">
        <v>20</v>
      </c>
      <c r="E1827" t="s">
        <v>21</v>
      </c>
      <c r="F1827" t="s">
        <v>40</v>
      </c>
      <c r="G1827" t="s">
        <v>61</v>
      </c>
      <c r="H1827" t="s">
        <v>62</v>
      </c>
      <c r="I1827" s="5">
        <v>0.04</v>
      </c>
      <c r="J1827">
        <f t="shared" si="84"/>
        <v>24</v>
      </c>
      <c r="K1827">
        <v>2</v>
      </c>
      <c r="L1827">
        <f t="shared" si="85"/>
        <v>22</v>
      </c>
      <c r="M1827" s="4">
        <f t="shared" si="86"/>
        <v>3.3846153846153845E-2</v>
      </c>
      <c r="N1827">
        <v>650</v>
      </c>
      <c r="O1827">
        <v>600</v>
      </c>
      <c r="P1827" t="s">
        <v>25</v>
      </c>
      <c r="Q1827" t="s">
        <v>26</v>
      </c>
      <c r="R1827" t="str">
        <f>IF(COUNTIF(Sheet2!B:B, A1827) &gt; 0, "Yes", "No")</f>
        <v>Yes</v>
      </c>
    </row>
    <row r="1828" spans="1:18" x14ac:dyDescent="0.25">
      <c r="A1828" s="3">
        <v>45373</v>
      </c>
      <c r="B1828" t="s">
        <v>498</v>
      </c>
      <c r="C1828" t="s">
        <v>79</v>
      </c>
      <c r="D1828" t="s">
        <v>20</v>
      </c>
      <c r="E1828" t="s">
        <v>21</v>
      </c>
      <c r="F1828" t="s">
        <v>43</v>
      </c>
      <c r="G1828" t="s">
        <v>139</v>
      </c>
      <c r="H1828" t="s">
        <v>524</v>
      </c>
      <c r="I1828" s="5">
        <v>7.4999999999999997E-2</v>
      </c>
      <c r="J1828">
        <f t="shared" si="84"/>
        <v>45</v>
      </c>
      <c r="K1828">
        <v>2</v>
      </c>
      <c r="L1828">
        <f t="shared" si="85"/>
        <v>43</v>
      </c>
      <c r="M1828" s="4">
        <f t="shared" si="86"/>
        <v>6.615384615384616E-2</v>
      </c>
      <c r="N1828">
        <v>650</v>
      </c>
      <c r="O1828">
        <v>600</v>
      </c>
      <c r="P1828" t="s">
        <v>25</v>
      </c>
      <c r="Q1828" t="s">
        <v>26</v>
      </c>
      <c r="R1828" t="str">
        <f>IF(COUNTIF(Sheet2!B:B, A1828) &gt; 0, "Yes", "No")</f>
        <v>Yes</v>
      </c>
    </row>
    <row r="1829" spans="1:18" x14ac:dyDescent="0.25">
      <c r="A1829" s="3">
        <v>45373</v>
      </c>
      <c r="B1829" t="s">
        <v>498</v>
      </c>
      <c r="C1829" t="s">
        <v>79</v>
      </c>
      <c r="D1829" t="s">
        <v>20</v>
      </c>
      <c r="E1829" t="s">
        <v>21</v>
      </c>
      <c r="F1829" t="s">
        <v>46</v>
      </c>
      <c r="G1829" t="s">
        <v>47</v>
      </c>
      <c r="H1829" t="s">
        <v>525</v>
      </c>
      <c r="I1829" s="5">
        <v>5.5E-2</v>
      </c>
      <c r="J1829">
        <f t="shared" si="84"/>
        <v>33</v>
      </c>
      <c r="K1829">
        <v>4</v>
      </c>
      <c r="L1829">
        <f t="shared" si="85"/>
        <v>29</v>
      </c>
      <c r="M1829" s="4">
        <f t="shared" si="86"/>
        <v>4.4615384615384612E-2</v>
      </c>
      <c r="N1829">
        <v>650</v>
      </c>
      <c r="O1829">
        <v>600</v>
      </c>
      <c r="P1829" t="s">
        <v>25</v>
      </c>
      <c r="Q1829" t="s">
        <v>26</v>
      </c>
      <c r="R1829" t="str">
        <f>IF(COUNTIF(Sheet2!B:B, A1829) &gt; 0, "Yes", "No")</f>
        <v>Yes</v>
      </c>
    </row>
    <row r="1830" spans="1:18" x14ac:dyDescent="0.25">
      <c r="A1830" s="3">
        <v>45373</v>
      </c>
      <c r="B1830" t="s">
        <v>498</v>
      </c>
      <c r="C1830" t="s">
        <v>79</v>
      </c>
      <c r="D1830" t="s">
        <v>20</v>
      </c>
      <c r="E1830" t="s">
        <v>21</v>
      </c>
      <c r="F1830" t="s">
        <v>49</v>
      </c>
      <c r="G1830" t="s">
        <v>50</v>
      </c>
      <c r="H1830" t="s">
        <v>49</v>
      </c>
      <c r="I1830" s="5">
        <v>0.04</v>
      </c>
      <c r="J1830">
        <f t="shared" si="84"/>
        <v>24</v>
      </c>
      <c r="K1830">
        <v>1</v>
      </c>
      <c r="L1830">
        <f t="shared" si="85"/>
        <v>23</v>
      </c>
      <c r="M1830" s="4">
        <f t="shared" si="86"/>
        <v>3.5384615384615382E-2</v>
      </c>
      <c r="N1830">
        <v>650</v>
      </c>
      <c r="O1830">
        <v>600</v>
      </c>
      <c r="P1830" t="s">
        <v>25</v>
      </c>
      <c r="Q1830" t="s">
        <v>26</v>
      </c>
      <c r="R1830" t="str">
        <f>IF(COUNTIF(Sheet2!B:B, A1830) &gt; 0, "Yes", "No")</f>
        <v>Yes</v>
      </c>
    </row>
    <row r="1831" spans="1:18" x14ac:dyDescent="0.25">
      <c r="A1831" s="3">
        <v>45376</v>
      </c>
      <c r="B1831" t="s">
        <v>498</v>
      </c>
      <c r="C1831" t="s">
        <v>19</v>
      </c>
      <c r="D1831" t="s">
        <v>20</v>
      </c>
      <c r="E1831" t="s">
        <v>21</v>
      </c>
      <c r="F1831" t="s">
        <v>22</v>
      </c>
      <c r="G1831" t="s">
        <v>94</v>
      </c>
      <c r="H1831" t="s">
        <v>168</v>
      </c>
      <c r="I1831">
        <v>8.5000000000000006E-2</v>
      </c>
      <c r="J1831">
        <f t="shared" si="84"/>
        <v>46.75</v>
      </c>
      <c r="K1831">
        <v>7</v>
      </c>
      <c r="L1831">
        <f t="shared" si="85"/>
        <v>39.75</v>
      </c>
      <c r="M1831" s="4">
        <f t="shared" si="86"/>
        <v>6.6250000000000003E-2</v>
      </c>
      <c r="N1831">
        <v>600</v>
      </c>
      <c r="O1831">
        <v>550</v>
      </c>
      <c r="P1831" t="s">
        <v>341</v>
      </c>
      <c r="Q1831" t="s">
        <v>320</v>
      </c>
      <c r="R1831" t="str">
        <f>IF(COUNTIF(Sheet2!B:B, A1831) &gt; 0, "Yes", "No")</f>
        <v>No</v>
      </c>
    </row>
    <row r="1832" spans="1:18" x14ac:dyDescent="0.25">
      <c r="A1832" s="3">
        <v>45376</v>
      </c>
      <c r="B1832" t="s">
        <v>498</v>
      </c>
      <c r="C1832" t="s">
        <v>19</v>
      </c>
      <c r="D1832" t="s">
        <v>20</v>
      </c>
      <c r="E1832" t="s">
        <v>21</v>
      </c>
      <c r="F1832" t="s">
        <v>27</v>
      </c>
      <c r="G1832" t="s">
        <v>304</v>
      </c>
      <c r="H1832" t="s">
        <v>481</v>
      </c>
      <c r="I1832">
        <v>0.12</v>
      </c>
      <c r="J1832">
        <f t="shared" si="84"/>
        <v>66</v>
      </c>
      <c r="K1832">
        <v>8</v>
      </c>
      <c r="L1832">
        <f t="shared" si="85"/>
        <v>58</v>
      </c>
      <c r="M1832" s="4">
        <f t="shared" si="86"/>
        <v>9.6666666666666665E-2</v>
      </c>
      <c r="N1832">
        <v>600</v>
      </c>
      <c r="O1832">
        <v>550</v>
      </c>
      <c r="P1832" t="s">
        <v>341</v>
      </c>
      <c r="Q1832" t="s">
        <v>320</v>
      </c>
      <c r="R1832" t="str">
        <f>IF(COUNTIF(Sheet2!B:B, A1832) &gt; 0, "Yes", "No")</f>
        <v>No</v>
      </c>
    </row>
    <row r="1833" spans="1:18" x14ac:dyDescent="0.25">
      <c r="A1833" s="3">
        <v>45376</v>
      </c>
      <c r="B1833" t="s">
        <v>498</v>
      </c>
      <c r="C1833" t="s">
        <v>19</v>
      </c>
      <c r="D1833" t="s">
        <v>20</v>
      </c>
      <c r="E1833" t="s">
        <v>21</v>
      </c>
      <c r="F1833" t="s">
        <v>30</v>
      </c>
      <c r="G1833" t="s">
        <v>31</v>
      </c>
      <c r="H1833" t="s">
        <v>31</v>
      </c>
      <c r="I1833">
        <v>0.09</v>
      </c>
      <c r="J1833">
        <f t="shared" si="84"/>
        <v>49.5</v>
      </c>
      <c r="K1833">
        <v>8</v>
      </c>
      <c r="L1833">
        <f t="shared" si="85"/>
        <v>41.5</v>
      </c>
      <c r="M1833" s="4">
        <f t="shared" si="86"/>
        <v>6.9166666666666668E-2</v>
      </c>
      <c r="N1833">
        <v>600</v>
      </c>
      <c r="O1833">
        <v>550</v>
      </c>
      <c r="P1833" t="s">
        <v>341</v>
      </c>
      <c r="Q1833" t="s">
        <v>320</v>
      </c>
      <c r="R1833" t="str">
        <f>IF(COUNTIF(Sheet2!B:B, A1833) &gt; 0, "Yes", "No")</f>
        <v>No</v>
      </c>
    </row>
    <row r="1834" spans="1:18" x14ac:dyDescent="0.25">
      <c r="A1834" s="3">
        <v>45376</v>
      </c>
      <c r="B1834" t="s">
        <v>498</v>
      </c>
      <c r="C1834" t="s">
        <v>19</v>
      </c>
      <c r="D1834" t="s">
        <v>33</v>
      </c>
      <c r="E1834" t="s">
        <v>21</v>
      </c>
      <c r="F1834" t="s">
        <v>34</v>
      </c>
      <c r="G1834" t="s">
        <v>57</v>
      </c>
      <c r="H1834" t="s">
        <v>98</v>
      </c>
      <c r="I1834">
        <v>0.15</v>
      </c>
      <c r="J1834">
        <f t="shared" si="84"/>
        <v>57</v>
      </c>
      <c r="K1834">
        <v>4</v>
      </c>
      <c r="L1834">
        <f t="shared" si="85"/>
        <v>53</v>
      </c>
      <c r="M1834" s="4">
        <f t="shared" si="86"/>
        <v>0.12619047619047619</v>
      </c>
      <c r="N1834">
        <v>420</v>
      </c>
      <c r="O1834">
        <v>380</v>
      </c>
      <c r="P1834" t="s">
        <v>341</v>
      </c>
      <c r="Q1834" t="s">
        <v>320</v>
      </c>
      <c r="R1834" t="str">
        <f>IF(COUNTIF(Sheet2!B:B, A1834) &gt; 0, "Yes", "No")</f>
        <v>No</v>
      </c>
    </row>
    <row r="1835" spans="1:18" x14ac:dyDescent="0.25">
      <c r="A1835" s="3">
        <v>45376</v>
      </c>
      <c r="B1835" t="s">
        <v>498</v>
      </c>
      <c r="C1835" t="s">
        <v>19</v>
      </c>
      <c r="D1835" t="s">
        <v>20</v>
      </c>
      <c r="E1835" t="s">
        <v>21</v>
      </c>
      <c r="F1835" t="s">
        <v>37</v>
      </c>
      <c r="G1835" t="s">
        <v>117</v>
      </c>
      <c r="H1835" t="s">
        <v>118</v>
      </c>
      <c r="I1835">
        <v>0.03</v>
      </c>
      <c r="J1835">
        <f t="shared" si="84"/>
        <v>16.5</v>
      </c>
      <c r="K1835">
        <v>1</v>
      </c>
      <c r="L1835">
        <f t="shared" si="85"/>
        <v>15.5</v>
      </c>
      <c r="M1835" s="4">
        <f t="shared" si="86"/>
        <v>2.5833333333333333E-2</v>
      </c>
      <c r="N1835">
        <v>600</v>
      </c>
      <c r="O1835">
        <v>550</v>
      </c>
      <c r="P1835" t="s">
        <v>341</v>
      </c>
      <c r="Q1835" t="s">
        <v>320</v>
      </c>
      <c r="R1835" t="str">
        <f>IF(COUNTIF(Sheet2!B:B, A1835) &gt; 0, "Yes", "No")</f>
        <v>No</v>
      </c>
    </row>
    <row r="1836" spans="1:18" x14ac:dyDescent="0.25">
      <c r="A1836" s="3">
        <v>45376</v>
      </c>
      <c r="B1836" t="s">
        <v>498</v>
      </c>
      <c r="C1836" t="s">
        <v>19</v>
      </c>
      <c r="D1836" t="s">
        <v>20</v>
      </c>
      <c r="E1836" t="s">
        <v>21</v>
      </c>
      <c r="F1836" t="s">
        <v>40</v>
      </c>
      <c r="G1836" t="s">
        <v>127</v>
      </c>
      <c r="H1836" t="s">
        <v>358</v>
      </c>
      <c r="I1836">
        <v>4.4999999999999998E-2</v>
      </c>
      <c r="J1836">
        <f t="shared" si="84"/>
        <v>24.75</v>
      </c>
      <c r="K1836">
        <v>5</v>
      </c>
      <c r="L1836">
        <f t="shared" si="85"/>
        <v>19.75</v>
      </c>
      <c r="M1836" s="4">
        <f t="shared" si="86"/>
        <v>3.2916666666666664E-2</v>
      </c>
      <c r="N1836">
        <v>600</v>
      </c>
      <c r="O1836">
        <v>550</v>
      </c>
      <c r="P1836" t="s">
        <v>341</v>
      </c>
      <c r="Q1836" t="s">
        <v>320</v>
      </c>
      <c r="R1836" t="str">
        <f>IF(COUNTIF(Sheet2!B:B, A1836) &gt; 0, "Yes", "No")</f>
        <v>No</v>
      </c>
    </row>
    <row r="1837" spans="1:18" x14ac:dyDescent="0.25">
      <c r="A1837" s="3">
        <v>45376</v>
      </c>
      <c r="B1837" t="s">
        <v>498</v>
      </c>
      <c r="C1837" t="s">
        <v>19</v>
      </c>
      <c r="D1837" t="s">
        <v>20</v>
      </c>
      <c r="E1837" t="s">
        <v>21</v>
      </c>
      <c r="F1837" t="s">
        <v>43</v>
      </c>
      <c r="G1837" t="s">
        <v>359</v>
      </c>
      <c r="H1837" t="s">
        <v>360</v>
      </c>
      <c r="I1837">
        <v>0.11</v>
      </c>
      <c r="J1837">
        <f t="shared" si="84"/>
        <v>60.5</v>
      </c>
      <c r="K1837">
        <v>3</v>
      </c>
      <c r="L1837">
        <f t="shared" si="85"/>
        <v>57.5</v>
      </c>
      <c r="M1837" s="4">
        <f t="shared" si="86"/>
        <v>9.583333333333334E-2</v>
      </c>
      <c r="N1837">
        <v>600</v>
      </c>
      <c r="O1837">
        <v>550</v>
      </c>
      <c r="P1837" t="s">
        <v>341</v>
      </c>
      <c r="Q1837" t="s">
        <v>320</v>
      </c>
      <c r="R1837" t="str">
        <f>IF(COUNTIF(Sheet2!B:B, A1837) &gt; 0, "Yes", "No")</f>
        <v>No</v>
      </c>
    </row>
    <row r="1838" spans="1:18" x14ac:dyDescent="0.25">
      <c r="A1838" s="3">
        <v>45376</v>
      </c>
      <c r="B1838" t="s">
        <v>498</v>
      </c>
      <c r="C1838" t="s">
        <v>19</v>
      </c>
      <c r="D1838" t="s">
        <v>20</v>
      </c>
      <c r="E1838" t="s">
        <v>21</v>
      </c>
      <c r="F1838" t="s">
        <v>46</v>
      </c>
      <c r="G1838" t="s">
        <v>103</v>
      </c>
      <c r="H1838" t="s">
        <v>420</v>
      </c>
      <c r="I1838">
        <v>0.09</v>
      </c>
      <c r="J1838">
        <f t="shared" si="84"/>
        <v>49.5</v>
      </c>
      <c r="K1838">
        <v>4</v>
      </c>
      <c r="L1838">
        <f t="shared" si="85"/>
        <v>45.5</v>
      </c>
      <c r="M1838" s="4">
        <f t="shared" si="86"/>
        <v>7.5833333333333336E-2</v>
      </c>
      <c r="N1838">
        <v>600</v>
      </c>
      <c r="O1838">
        <v>550</v>
      </c>
      <c r="P1838" t="s">
        <v>341</v>
      </c>
      <c r="Q1838" t="s">
        <v>320</v>
      </c>
      <c r="R1838" t="str">
        <f>IF(COUNTIF(Sheet2!B:B, A1838) &gt; 0, "Yes", "No")</f>
        <v>No</v>
      </c>
    </row>
    <row r="1839" spans="1:18" x14ac:dyDescent="0.25">
      <c r="A1839" s="3">
        <v>45376</v>
      </c>
      <c r="B1839" t="s">
        <v>498</v>
      </c>
      <c r="C1839" t="s">
        <v>19</v>
      </c>
      <c r="D1839" t="s">
        <v>20</v>
      </c>
      <c r="E1839" t="s">
        <v>21</v>
      </c>
      <c r="F1839" t="s">
        <v>49</v>
      </c>
      <c r="G1839" t="s">
        <v>50</v>
      </c>
      <c r="H1839" t="s">
        <v>49</v>
      </c>
      <c r="I1839">
        <v>0.09</v>
      </c>
      <c r="J1839">
        <f t="shared" si="84"/>
        <v>49.5</v>
      </c>
      <c r="K1839">
        <v>8</v>
      </c>
      <c r="L1839">
        <f t="shared" si="85"/>
        <v>41.5</v>
      </c>
      <c r="M1839" s="4">
        <f t="shared" si="86"/>
        <v>6.9166666666666668E-2</v>
      </c>
      <c r="N1839">
        <v>600</v>
      </c>
      <c r="O1839">
        <v>550</v>
      </c>
      <c r="P1839" t="s">
        <v>341</v>
      </c>
      <c r="Q1839" t="s">
        <v>320</v>
      </c>
      <c r="R1839" t="str">
        <f>IF(COUNTIF(Sheet2!B:B, A1839) &gt; 0, "Yes", "No")</f>
        <v>No</v>
      </c>
    </row>
    <row r="1840" spans="1:18" x14ac:dyDescent="0.25">
      <c r="A1840" s="3">
        <v>45378</v>
      </c>
      <c r="B1840" t="s">
        <v>498</v>
      </c>
      <c r="C1840" t="s">
        <v>51</v>
      </c>
      <c r="D1840" t="s">
        <v>20</v>
      </c>
      <c r="E1840" t="s">
        <v>21</v>
      </c>
      <c r="F1840" t="s">
        <v>22</v>
      </c>
      <c r="G1840" t="s">
        <v>52</v>
      </c>
      <c r="H1840" t="s">
        <v>485</v>
      </c>
      <c r="I1840">
        <v>8.5000000000000006E-2</v>
      </c>
      <c r="J1840">
        <f t="shared" si="84"/>
        <v>61.2</v>
      </c>
      <c r="K1840">
        <v>3.5</v>
      </c>
      <c r="L1840">
        <f t="shared" si="85"/>
        <v>57.7</v>
      </c>
      <c r="M1840" s="4">
        <f t="shared" si="86"/>
        <v>7.2125000000000009E-2</v>
      </c>
      <c r="N1840">
        <v>800</v>
      </c>
      <c r="O1840">
        <v>720</v>
      </c>
      <c r="P1840" t="s">
        <v>25</v>
      </c>
      <c r="Q1840" t="s">
        <v>26</v>
      </c>
      <c r="R1840" t="str">
        <f>IF(COUNTIF(Sheet2!B:B, A1840) &gt; 0, "Yes", "No")</f>
        <v>No</v>
      </c>
    </row>
    <row r="1841" spans="1:18" x14ac:dyDescent="0.25">
      <c r="A1841" s="3">
        <v>45378</v>
      </c>
      <c r="B1841" t="s">
        <v>498</v>
      </c>
      <c r="C1841" t="s">
        <v>51</v>
      </c>
      <c r="D1841" t="s">
        <v>20</v>
      </c>
      <c r="E1841" t="s">
        <v>21</v>
      </c>
      <c r="F1841" t="s">
        <v>27</v>
      </c>
      <c r="G1841" t="s">
        <v>28</v>
      </c>
      <c r="H1841" t="s">
        <v>182</v>
      </c>
      <c r="I1841">
        <v>0.11</v>
      </c>
      <c r="J1841">
        <f t="shared" si="84"/>
        <v>79.2</v>
      </c>
      <c r="K1841">
        <v>3</v>
      </c>
      <c r="L1841">
        <f t="shared" si="85"/>
        <v>76.2</v>
      </c>
      <c r="M1841" s="4">
        <f t="shared" si="86"/>
        <v>9.5250000000000001E-2</v>
      </c>
      <c r="N1841">
        <v>800</v>
      </c>
      <c r="O1841">
        <v>720</v>
      </c>
      <c r="P1841" t="s">
        <v>25</v>
      </c>
      <c r="Q1841" t="s">
        <v>26</v>
      </c>
      <c r="R1841" t="str">
        <f>IF(COUNTIF(Sheet2!B:B, A1841) &gt; 0, "Yes", "No")</f>
        <v>No</v>
      </c>
    </row>
    <row r="1842" spans="1:18" x14ac:dyDescent="0.25">
      <c r="A1842" s="3">
        <v>45378</v>
      </c>
      <c r="B1842" t="s">
        <v>498</v>
      </c>
      <c r="C1842" t="s">
        <v>51</v>
      </c>
      <c r="D1842" t="s">
        <v>20</v>
      </c>
      <c r="E1842" t="s">
        <v>21</v>
      </c>
      <c r="F1842" t="s">
        <v>30</v>
      </c>
      <c r="G1842" t="s">
        <v>31</v>
      </c>
      <c r="H1842" t="s">
        <v>172</v>
      </c>
      <c r="I1842">
        <v>0.09</v>
      </c>
      <c r="J1842">
        <f t="shared" si="84"/>
        <v>64.8</v>
      </c>
      <c r="K1842">
        <v>3</v>
      </c>
      <c r="L1842">
        <f t="shared" si="85"/>
        <v>61.8</v>
      </c>
      <c r="M1842" s="4">
        <f t="shared" si="86"/>
        <v>7.7249999999999999E-2</v>
      </c>
      <c r="N1842">
        <v>800</v>
      </c>
      <c r="O1842">
        <v>720</v>
      </c>
      <c r="P1842" t="s">
        <v>25</v>
      </c>
      <c r="Q1842" t="s">
        <v>26</v>
      </c>
      <c r="R1842" t="str">
        <f>IF(COUNTIF(Sheet2!B:B, A1842) &gt; 0, "Yes", "No")</f>
        <v>No</v>
      </c>
    </row>
    <row r="1843" spans="1:18" x14ac:dyDescent="0.25">
      <c r="A1843" s="3">
        <v>45378</v>
      </c>
      <c r="B1843" t="s">
        <v>498</v>
      </c>
      <c r="C1843" t="s">
        <v>51</v>
      </c>
      <c r="D1843" t="s">
        <v>33</v>
      </c>
      <c r="E1843" t="s">
        <v>21</v>
      </c>
      <c r="F1843" t="s">
        <v>34</v>
      </c>
      <c r="G1843" t="s">
        <v>57</v>
      </c>
      <c r="H1843" t="s">
        <v>192</v>
      </c>
      <c r="I1843">
        <v>0.15</v>
      </c>
      <c r="J1843">
        <f t="shared" si="84"/>
        <v>75</v>
      </c>
      <c r="K1843">
        <v>0.5</v>
      </c>
      <c r="L1843">
        <f t="shared" si="85"/>
        <v>74.5</v>
      </c>
      <c r="M1843" s="4">
        <f t="shared" si="86"/>
        <v>0.13303571428571428</v>
      </c>
      <c r="N1843">
        <v>560</v>
      </c>
      <c r="O1843">
        <v>500</v>
      </c>
      <c r="P1843" t="s">
        <v>25</v>
      </c>
      <c r="Q1843" t="s">
        <v>26</v>
      </c>
      <c r="R1843" t="str">
        <f>IF(COUNTIF(Sheet2!B:B, A1843) &gt; 0, "Yes", "No")</f>
        <v>No</v>
      </c>
    </row>
    <row r="1844" spans="1:18" x14ac:dyDescent="0.25">
      <c r="A1844" s="3">
        <v>45378</v>
      </c>
      <c r="B1844" t="s">
        <v>498</v>
      </c>
      <c r="C1844" t="s">
        <v>51</v>
      </c>
      <c r="D1844" t="s">
        <v>20</v>
      </c>
      <c r="E1844" t="s">
        <v>21</v>
      </c>
      <c r="F1844" t="s">
        <v>37</v>
      </c>
      <c r="G1844" t="s">
        <v>71</v>
      </c>
      <c r="H1844" t="s">
        <v>151</v>
      </c>
      <c r="I1844">
        <v>0.03</v>
      </c>
      <c r="J1844">
        <f t="shared" si="84"/>
        <v>21.599999999999998</v>
      </c>
      <c r="K1844">
        <v>2</v>
      </c>
      <c r="L1844">
        <f t="shared" si="85"/>
        <v>19.599999999999998</v>
      </c>
      <c r="M1844" s="4">
        <f t="shared" si="86"/>
        <v>2.4499999999999997E-2</v>
      </c>
      <c r="N1844">
        <v>800</v>
      </c>
      <c r="O1844">
        <v>720</v>
      </c>
      <c r="P1844" t="s">
        <v>25</v>
      </c>
      <c r="Q1844" t="s">
        <v>26</v>
      </c>
      <c r="R1844" t="str">
        <f>IF(COUNTIF(Sheet2!B:B, A1844) &gt; 0, "Yes", "No")</f>
        <v>No</v>
      </c>
    </row>
    <row r="1845" spans="1:18" x14ac:dyDescent="0.25">
      <c r="A1845" s="3">
        <v>45378</v>
      </c>
      <c r="B1845" t="s">
        <v>498</v>
      </c>
      <c r="C1845" t="s">
        <v>51</v>
      </c>
      <c r="D1845" t="s">
        <v>20</v>
      </c>
      <c r="E1845" t="s">
        <v>21</v>
      </c>
      <c r="F1845" t="s">
        <v>40</v>
      </c>
      <c r="G1845" t="s">
        <v>137</v>
      </c>
      <c r="H1845" t="s">
        <v>251</v>
      </c>
      <c r="I1845">
        <v>4.4999999999999998E-2</v>
      </c>
      <c r="J1845">
        <f t="shared" si="84"/>
        <v>32.4</v>
      </c>
      <c r="K1845">
        <v>2</v>
      </c>
      <c r="L1845">
        <f t="shared" si="85"/>
        <v>30.4</v>
      </c>
      <c r="M1845" s="4">
        <f t="shared" si="86"/>
        <v>3.7999999999999999E-2</v>
      </c>
      <c r="N1845">
        <v>800</v>
      </c>
      <c r="O1845">
        <v>720</v>
      </c>
      <c r="P1845" t="s">
        <v>25</v>
      </c>
      <c r="Q1845" t="s">
        <v>26</v>
      </c>
      <c r="R1845" t="str">
        <f>IF(COUNTIF(Sheet2!B:B, A1845) &gt; 0, "Yes", "No")</f>
        <v>No</v>
      </c>
    </row>
    <row r="1846" spans="1:18" x14ac:dyDescent="0.25">
      <c r="A1846" s="3">
        <v>45378</v>
      </c>
      <c r="B1846" t="s">
        <v>498</v>
      </c>
      <c r="C1846" t="s">
        <v>51</v>
      </c>
      <c r="D1846" t="s">
        <v>20</v>
      </c>
      <c r="E1846" t="s">
        <v>21</v>
      </c>
      <c r="F1846" t="s">
        <v>43</v>
      </c>
      <c r="G1846" t="s">
        <v>44</v>
      </c>
      <c r="H1846" t="s">
        <v>264</v>
      </c>
      <c r="I1846">
        <v>0.11</v>
      </c>
      <c r="J1846">
        <f t="shared" si="84"/>
        <v>79.2</v>
      </c>
      <c r="K1846">
        <v>0.5</v>
      </c>
      <c r="L1846">
        <f t="shared" si="85"/>
        <v>78.7</v>
      </c>
      <c r="M1846" s="4">
        <f t="shared" si="86"/>
        <v>9.8375000000000004E-2</v>
      </c>
      <c r="N1846">
        <v>800</v>
      </c>
      <c r="O1846">
        <v>720</v>
      </c>
      <c r="P1846" t="s">
        <v>25</v>
      </c>
      <c r="Q1846" t="s">
        <v>26</v>
      </c>
      <c r="R1846" t="str">
        <f>IF(COUNTIF(Sheet2!B:B, A1846) &gt; 0, "Yes", "No")</f>
        <v>No</v>
      </c>
    </row>
    <row r="1847" spans="1:18" x14ac:dyDescent="0.25">
      <c r="A1847" s="3">
        <v>45378</v>
      </c>
      <c r="B1847" t="s">
        <v>498</v>
      </c>
      <c r="C1847" t="s">
        <v>51</v>
      </c>
      <c r="D1847" t="s">
        <v>20</v>
      </c>
      <c r="E1847" t="s">
        <v>21</v>
      </c>
      <c r="F1847" t="s">
        <v>46</v>
      </c>
      <c r="G1847" t="s">
        <v>47</v>
      </c>
      <c r="H1847" t="s">
        <v>319</v>
      </c>
      <c r="I1847">
        <v>8.5000000000000006E-2</v>
      </c>
      <c r="J1847">
        <f t="shared" si="84"/>
        <v>61.2</v>
      </c>
      <c r="K1847">
        <v>3.5</v>
      </c>
      <c r="L1847">
        <f t="shared" si="85"/>
        <v>57.7</v>
      </c>
      <c r="M1847" s="4">
        <f t="shared" si="86"/>
        <v>7.2125000000000009E-2</v>
      </c>
      <c r="N1847">
        <v>800</v>
      </c>
      <c r="O1847">
        <v>720</v>
      </c>
      <c r="P1847" t="s">
        <v>25</v>
      </c>
      <c r="Q1847" t="s">
        <v>26</v>
      </c>
      <c r="R1847" t="str">
        <f>IF(COUNTIF(Sheet2!B:B, A1847) &gt; 0, "Yes", "No")</f>
        <v>No</v>
      </c>
    </row>
    <row r="1848" spans="1:18" x14ac:dyDescent="0.25">
      <c r="A1848" s="3">
        <v>45378</v>
      </c>
      <c r="B1848" t="s">
        <v>498</v>
      </c>
      <c r="C1848" t="s">
        <v>51</v>
      </c>
      <c r="D1848" t="s">
        <v>20</v>
      </c>
      <c r="E1848" t="s">
        <v>21</v>
      </c>
      <c r="F1848" t="s">
        <v>49</v>
      </c>
      <c r="G1848" t="s">
        <v>50</v>
      </c>
      <c r="H1848" t="s">
        <v>49</v>
      </c>
      <c r="I1848">
        <v>0.09</v>
      </c>
      <c r="J1848">
        <f t="shared" si="84"/>
        <v>64.8</v>
      </c>
      <c r="K1848">
        <v>3</v>
      </c>
      <c r="L1848">
        <f t="shared" si="85"/>
        <v>61.8</v>
      </c>
      <c r="M1848" s="4">
        <f t="shared" si="86"/>
        <v>7.7249999999999999E-2</v>
      </c>
      <c r="N1848">
        <v>800</v>
      </c>
      <c r="O1848">
        <v>720</v>
      </c>
      <c r="P1848" t="s">
        <v>25</v>
      </c>
      <c r="Q1848" t="s">
        <v>26</v>
      </c>
      <c r="R1848" t="str">
        <f>IF(COUNTIF(Sheet2!B:B, A1848) &gt; 0, "Yes", "No")</f>
        <v>No</v>
      </c>
    </row>
    <row r="1849" spans="1:18" x14ac:dyDescent="0.25">
      <c r="A1849" s="3">
        <v>45379</v>
      </c>
      <c r="B1849" t="s">
        <v>498</v>
      </c>
      <c r="C1849" t="s">
        <v>66</v>
      </c>
      <c r="D1849" t="s">
        <v>20</v>
      </c>
      <c r="E1849" t="s">
        <v>67</v>
      </c>
      <c r="F1849" t="s">
        <v>22</v>
      </c>
      <c r="G1849" t="s">
        <v>94</v>
      </c>
      <c r="H1849" t="s">
        <v>143</v>
      </c>
      <c r="I1849">
        <v>8.5000000000000006E-2</v>
      </c>
      <c r="J1849">
        <f t="shared" si="84"/>
        <v>57.800000000000004</v>
      </c>
      <c r="K1849">
        <v>5</v>
      </c>
      <c r="L1849">
        <f t="shared" si="85"/>
        <v>52.800000000000004</v>
      </c>
      <c r="M1849" s="4">
        <f t="shared" si="86"/>
        <v>7.0400000000000004E-2</v>
      </c>
      <c r="N1849">
        <v>750</v>
      </c>
      <c r="O1849">
        <v>680</v>
      </c>
      <c r="P1849" t="s">
        <v>283</v>
      </c>
      <c r="Q1849" t="s">
        <v>320</v>
      </c>
      <c r="R1849" t="str">
        <f>IF(COUNTIF(Sheet2!B:B, A1849) &gt; 0, "Yes", "No")</f>
        <v>No</v>
      </c>
    </row>
    <row r="1850" spans="1:18" x14ac:dyDescent="0.25">
      <c r="A1850" s="3">
        <v>45379</v>
      </c>
      <c r="B1850" t="s">
        <v>498</v>
      </c>
      <c r="C1850" t="s">
        <v>66</v>
      </c>
      <c r="D1850" t="s">
        <v>20</v>
      </c>
      <c r="E1850" t="s">
        <v>67</v>
      </c>
      <c r="F1850" t="s">
        <v>27</v>
      </c>
      <c r="G1850" t="s">
        <v>28</v>
      </c>
      <c r="H1850" t="s">
        <v>229</v>
      </c>
      <c r="I1850">
        <v>0.11</v>
      </c>
      <c r="J1850">
        <f t="shared" si="84"/>
        <v>74.8</v>
      </c>
      <c r="K1850">
        <v>5</v>
      </c>
      <c r="L1850">
        <f t="shared" si="85"/>
        <v>69.8</v>
      </c>
      <c r="M1850" s="4">
        <f t="shared" si="86"/>
        <v>9.3066666666666659E-2</v>
      </c>
      <c r="N1850">
        <v>750</v>
      </c>
      <c r="O1850">
        <v>680</v>
      </c>
      <c r="P1850" t="s">
        <v>283</v>
      </c>
      <c r="Q1850" t="s">
        <v>320</v>
      </c>
      <c r="R1850" t="str">
        <f>IF(COUNTIF(Sheet2!B:B, A1850) &gt; 0, "Yes", "No")</f>
        <v>No</v>
      </c>
    </row>
    <row r="1851" spans="1:18" x14ac:dyDescent="0.25">
      <c r="A1851" s="3">
        <v>45379</v>
      </c>
      <c r="B1851" t="s">
        <v>498</v>
      </c>
      <c r="C1851" t="s">
        <v>66</v>
      </c>
      <c r="D1851" t="s">
        <v>20</v>
      </c>
      <c r="E1851" t="s">
        <v>67</v>
      </c>
      <c r="F1851" t="s">
        <v>30</v>
      </c>
      <c r="G1851" t="s">
        <v>55</v>
      </c>
      <c r="H1851" t="s">
        <v>134</v>
      </c>
      <c r="I1851">
        <v>0.09</v>
      </c>
      <c r="J1851">
        <f t="shared" si="84"/>
        <v>61.199999999999996</v>
      </c>
      <c r="K1851">
        <v>6</v>
      </c>
      <c r="L1851">
        <f t="shared" si="85"/>
        <v>55.199999999999996</v>
      </c>
      <c r="M1851" s="4">
        <f t="shared" si="86"/>
        <v>7.3599999999999999E-2</v>
      </c>
      <c r="N1851">
        <v>750</v>
      </c>
      <c r="O1851">
        <v>680</v>
      </c>
      <c r="P1851" t="s">
        <v>283</v>
      </c>
      <c r="Q1851" t="s">
        <v>320</v>
      </c>
      <c r="R1851" t="str">
        <f>IF(COUNTIF(Sheet2!B:B, A1851) &gt; 0, "Yes", "No")</f>
        <v>No</v>
      </c>
    </row>
    <row r="1852" spans="1:18" x14ac:dyDescent="0.25">
      <c r="A1852" s="3">
        <v>45379</v>
      </c>
      <c r="B1852" t="s">
        <v>498</v>
      </c>
      <c r="C1852" t="s">
        <v>66</v>
      </c>
      <c r="D1852" t="s">
        <v>20</v>
      </c>
      <c r="E1852" t="s">
        <v>67</v>
      </c>
      <c r="F1852" t="s">
        <v>37</v>
      </c>
      <c r="G1852" t="s">
        <v>87</v>
      </c>
      <c r="H1852" t="s">
        <v>136</v>
      </c>
      <c r="I1852">
        <v>3.5000000000000003E-2</v>
      </c>
      <c r="J1852">
        <f t="shared" si="84"/>
        <v>23.8</v>
      </c>
      <c r="K1852">
        <v>2</v>
      </c>
      <c r="L1852">
        <f t="shared" si="85"/>
        <v>21.8</v>
      </c>
      <c r="M1852" s="4">
        <f t="shared" si="86"/>
        <v>2.9066666666666668E-2</v>
      </c>
      <c r="N1852">
        <v>750</v>
      </c>
      <c r="O1852">
        <v>680</v>
      </c>
      <c r="P1852" t="s">
        <v>283</v>
      </c>
      <c r="Q1852" t="s">
        <v>320</v>
      </c>
      <c r="R1852" t="str">
        <f>IF(COUNTIF(Sheet2!B:B, A1852) &gt; 0, "Yes", "No")</f>
        <v>No</v>
      </c>
    </row>
    <row r="1853" spans="1:18" x14ac:dyDescent="0.25">
      <c r="A1853" s="3">
        <v>45379</v>
      </c>
      <c r="B1853" t="s">
        <v>498</v>
      </c>
      <c r="C1853" t="s">
        <v>66</v>
      </c>
      <c r="D1853" t="s">
        <v>20</v>
      </c>
      <c r="E1853" t="s">
        <v>67</v>
      </c>
      <c r="F1853" t="s">
        <v>40</v>
      </c>
      <c r="G1853" t="s">
        <v>164</v>
      </c>
      <c r="H1853" t="s">
        <v>526</v>
      </c>
      <c r="I1853">
        <v>0.05</v>
      </c>
      <c r="J1853">
        <f t="shared" si="84"/>
        <v>34</v>
      </c>
      <c r="K1853">
        <v>3</v>
      </c>
      <c r="L1853">
        <f t="shared" si="85"/>
        <v>31</v>
      </c>
      <c r="M1853" s="4">
        <f t="shared" si="86"/>
        <v>4.1333333333333333E-2</v>
      </c>
      <c r="N1853">
        <v>750</v>
      </c>
      <c r="O1853">
        <v>680</v>
      </c>
      <c r="P1853" t="s">
        <v>283</v>
      </c>
      <c r="Q1853" t="s">
        <v>320</v>
      </c>
      <c r="R1853" t="str">
        <f>IF(COUNTIF(Sheet2!B:B, A1853) &gt; 0, "Yes", "No")</f>
        <v>No</v>
      </c>
    </row>
    <row r="1854" spans="1:18" x14ac:dyDescent="0.25">
      <c r="A1854" s="3">
        <v>45379</v>
      </c>
      <c r="B1854" t="s">
        <v>498</v>
      </c>
      <c r="C1854" t="s">
        <v>66</v>
      </c>
      <c r="D1854" t="s">
        <v>20</v>
      </c>
      <c r="E1854" t="s">
        <v>67</v>
      </c>
      <c r="F1854" t="s">
        <v>43</v>
      </c>
      <c r="G1854" t="s">
        <v>75</v>
      </c>
      <c r="H1854" t="s">
        <v>75</v>
      </c>
      <c r="I1854">
        <v>0.11</v>
      </c>
      <c r="J1854">
        <f t="shared" si="84"/>
        <v>74.8</v>
      </c>
      <c r="K1854">
        <v>6</v>
      </c>
      <c r="L1854">
        <f t="shared" si="85"/>
        <v>68.8</v>
      </c>
      <c r="M1854" s="4">
        <f t="shared" si="86"/>
        <v>9.1733333333333333E-2</v>
      </c>
      <c r="N1854">
        <v>750</v>
      </c>
      <c r="O1854">
        <v>680</v>
      </c>
      <c r="P1854" t="s">
        <v>283</v>
      </c>
      <c r="Q1854" t="s">
        <v>320</v>
      </c>
      <c r="R1854" t="str">
        <f>IF(COUNTIF(Sheet2!B:B, A1854) &gt; 0, "Yes", "No")</f>
        <v>No</v>
      </c>
    </row>
    <row r="1855" spans="1:18" x14ac:dyDescent="0.25">
      <c r="A1855" s="3">
        <v>45379</v>
      </c>
      <c r="B1855" t="s">
        <v>498</v>
      </c>
      <c r="C1855" t="s">
        <v>66</v>
      </c>
      <c r="D1855" t="s">
        <v>20</v>
      </c>
      <c r="E1855" t="s">
        <v>67</v>
      </c>
      <c r="F1855" t="s">
        <v>46</v>
      </c>
      <c r="G1855" t="s">
        <v>47</v>
      </c>
      <c r="H1855" t="s">
        <v>418</v>
      </c>
      <c r="I1855">
        <v>8.5000000000000006E-2</v>
      </c>
      <c r="J1855">
        <f t="shared" si="84"/>
        <v>57.800000000000004</v>
      </c>
      <c r="K1855">
        <v>4</v>
      </c>
      <c r="L1855">
        <f t="shared" si="85"/>
        <v>53.800000000000004</v>
      </c>
      <c r="M1855" s="4">
        <f t="shared" si="86"/>
        <v>7.1733333333333343E-2</v>
      </c>
      <c r="N1855">
        <v>750</v>
      </c>
      <c r="O1855">
        <v>680</v>
      </c>
      <c r="P1855" t="s">
        <v>283</v>
      </c>
      <c r="Q1855" t="s">
        <v>320</v>
      </c>
      <c r="R1855" t="str">
        <f>IF(COUNTIF(Sheet2!B:B, A1855) &gt; 0, "Yes", "No")</f>
        <v>No</v>
      </c>
    </row>
    <row r="1856" spans="1:18" x14ac:dyDescent="0.25">
      <c r="A1856" s="3">
        <v>45379</v>
      </c>
      <c r="B1856" t="s">
        <v>498</v>
      </c>
      <c r="C1856" t="s">
        <v>66</v>
      </c>
      <c r="D1856" t="s">
        <v>20</v>
      </c>
      <c r="E1856" t="s">
        <v>67</v>
      </c>
      <c r="F1856" t="s">
        <v>49</v>
      </c>
      <c r="G1856" t="s">
        <v>50</v>
      </c>
      <c r="H1856" t="s">
        <v>49</v>
      </c>
      <c r="I1856">
        <v>0.09</v>
      </c>
      <c r="J1856">
        <f t="shared" si="84"/>
        <v>61.199999999999996</v>
      </c>
      <c r="K1856">
        <v>6</v>
      </c>
      <c r="L1856">
        <f t="shared" si="85"/>
        <v>55.199999999999996</v>
      </c>
      <c r="M1856" s="4">
        <f t="shared" si="86"/>
        <v>7.3599999999999999E-2</v>
      </c>
      <c r="N1856">
        <v>750</v>
      </c>
      <c r="O1856">
        <v>680</v>
      </c>
      <c r="P1856" t="s">
        <v>283</v>
      </c>
      <c r="Q1856" t="s">
        <v>320</v>
      </c>
      <c r="R1856" t="str">
        <f>IF(COUNTIF(Sheet2!B:B, A1856) &gt; 0, "Yes", "No")</f>
        <v>No</v>
      </c>
    </row>
    <row r="1857" spans="1:18" x14ac:dyDescent="0.25">
      <c r="A1857" s="3">
        <v>45380</v>
      </c>
      <c r="B1857" t="s">
        <v>498</v>
      </c>
      <c r="C1857" t="s">
        <v>79</v>
      </c>
      <c r="D1857" t="s">
        <v>20</v>
      </c>
      <c r="E1857" t="s">
        <v>21</v>
      </c>
      <c r="F1857" t="s">
        <v>22</v>
      </c>
      <c r="G1857" t="s">
        <v>94</v>
      </c>
      <c r="H1857" t="s">
        <v>368</v>
      </c>
      <c r="I1857" s="5">
        <v>0.06</v>
      </c>
      <c r="J1857">
        <f t="shared" si="84"/>
        <v>30</v>
      </c>
      <c r="K1857">
        <v>0.5</v>
      </c>
      <c r="L1857">
        <f t="shared" si="85"/>
        <v>29.5</v>
      </c>
      <c r="M1857" s="4">
        <f t="shared" si="86"/>
        <v>5.3636363636363635E-2</v>
      </c>
      <c r="N1857">
        <v>550</v>
      </c>
      <c r="O1857">
        <v>500</v>
      </c>
      <c r="P1857" t="s">
        <v>341</v>
      </c>
      <c r="Q1857" t="s">
        <v>320</v>
      </c>
      <c r="R1857" t="str">
        <f>IF(COUNTIF(Sheet2!B:B, A1857) &gt; 0, "Yes", "No")</f>
        <v>Yes</v>
      </c>
    </row>
    <row r="1858" spans="1:18" x14ac:dyDescent="0.25">
      <c r="A1858" s="3">
        <v>45380</v>
      </c>
      <c r="B1858" t="s">
        <v>498</v>
      </c>
      <c r="C1858" t="s">
        <v>79</v>
      </c>
      <c r="D1858" t="s">
        <v>20</v>
      </c>
      <c r="E1858" t="s">
        <v>21</v>
      </c>
      <c r="F1858" t="s">
        <v>27</v>
      </c>
      <c r="G1858" t="s">
        <v>81</v>
      </c>
      <c r="H1858" t="s">
        <v>297</v>
      </c>
      <c r="I1858" s="5">
        <v>0.1</v>
      </c>
      <c r="J1858">
        <f t="shared" si="84"/>
        <v>50</v>
      </c>
      <c r="K1858">
        <v>3</v>
      </c>
      <c r="L1858">
        <f t="shared" si="85"/>
        <v>47</v>
      </c>
      <c r="M1858" s="4">
        <f t="shared" si="86"/>
        <v>8.545454545454545E-2</v>
      </c>
      <c r="N1858">
        <v>550</v>
      </c>
      <c r="O1858">
        <v>500</v>
      </c>
      <c r="P1858" t="s">
        <v>341</v>
      </c>
      <c r="Q1858" t="s">
        <v>320</v>
      </c>
      <c r="R1858" t="str">
        <f>IF(COUNTIF(Sheet2!B:B, A1858) &gt; 0, "Yes", "No")</f>
        <v>Yes</v>
      </c>
    </row>
    <row r="1859" spans="1:18" x14ac:dyDescent="0.25">
      <c r="A1859" s="3">
        <v>45380</v>
      </c>
      <c r="B1859" t="s">
        <v>498</v>
      </c>
      <c r="C1859" t="s">
        <v>79</v>
      </c>
      <c r="D1859" t="s">
        <v>20</v>
      </c>
      <c r="E1859" t="s">
        <v>21</v>
      </c>
      <c r="F1859" t="s">
        <v>30</v>
      </c>
      <c r="G1859" t="s">
        <v>31</v>
      </c>
      <c r="H1859" t="s">
        <v>70</v>
      </c>
      <c r="I1859" s="5">
        <v>0.06</v>
      </c>
      <c r="J1859">
        <f t="shared" ref="J1859:J1922" si="87">I1859*O1859</f>
        <v>30</v>
      </c>
      <c r="K1859">
        <v>1</v>
      </c>
      <c r="L1859">
        <f t="shared" ref="L1859:L1922" si="88">J1859-K1859</f>
        <v>29</v>
      </c>
      <c r="M1859" s="4">
        <f t="shared" ref="M1859:M1922" si="89">((I1859*O1859)-K1859)/N1859</f>
        <v>5.2727272727272727E-2</v>
      </c>
      <c r="N1859">
        <v>550</v>
      </c>
      <c r="O1859">
        <v>500</v>
      </c>
      <c r="P1859" t="s">
        <v>341</v>
      </c>
      <c r="Q1859" t="s">
        <v>320</v>
      </c>
      <c r="R1859" t="str">
        <f>IF(COUNTIF(Sheet2!B:B, A1859) &gt; 0, "Yes", "No")</f>
        <v>Yes</v>
      </c>
    </row>
    <row r="1860" spans="1:18" x14ac:dyDescent="0.25">
      <c r="A1860" s="3">
        <v>45380</v>
      </c>
      <c r="B1860" t="s">
        <v>498</v>
      </c>
      <c r="C1860" t="s">
        <v>79</v>
      </c>
      <c r="D1860" t="s">
        <v>33</v>
      </c>
      <c r="E1860" t="s">
        <v>21</v>
      </c>
      <c r="F1860" t="s">
        <v>84</v>
      </c>
      <c r="G1860" t="s">
        <v>85</v>
      </c>
      <c r="H1860" t="s">
        <v>86</v>
      </c>
      <c r="I1860" s="5">
        <v>0.3</v>
      </c>
      <c r="J1860">
        <f t="shared" si="87"/>
        <v>105</v>
      </c>
      <c r="K1860">
        <v>0</v>
      </c>
      <c r="L1860">
        <f t="shared" si="88"/>
        <v>105</v>
      </c>
      <c r="M1860" s="4">
        <f t="shared" si="89"/>
        <v>0.27272727272727271</v>
      </c>
      <c r="N1860">
        <v>385</v>
      </c>
      <c r="O1860">
        <v>350</v>
      </c>
      <c r="P1860" t="s">
        <v>341</v>
      </c>
      <c r="Q1860" t="s">
        <v>320</v>
      </c>
      <c r="R1860" t="str">
        <f>IF(COUNTIF(Sheet2!B:B, A1860) &gt; 0, "Yes", "No")</f>
        <v>Yes</v>
      </c>
    </row>
    <row r="1861" spans="1:18" x14ac:dyDescent="0.25">
      <c r="A1861" s="3">
        <v>45380</v>
      </c>
      <c r="B1861" t="s">
        <v>498</v>
      </c>
      <c r="C1861" t="s">
        <v>79</v>
      </c>
      <c r="D1861" t="s">
        <v>20</v>
      </c>
      <c r="E1861" t="s">
        <v>21</v>
      </c>
      <c r="F1861" t="s">
        <v>37</v>
      </c>
      <c r="G1861" t="s">
        <v>87</v>
      </c>
      <c r="H1861" t="s">
        <v>88</v>
      </c>
      <c r="I1861" s="5">
        <v>2.5000000000000001E-2</v>
      </c>
      <c r="J1861">
        <f t="shared" si="87"/>
        <v>12.5</v>
      </c>
      <c r="K1861">
        <v>0.25</v>
      </c>
      <c r="L1861">
        <f t="shared" si="88"/>
        <v>12.25</v>
      </c>
      <c r="M1861" s="4">
        <f t="shared" si="89"/>
        <v>2.2272727272727274E-2</v>
      </c>
      <c r="N1861">
        <v>550</v>
      </c>
      <c r="O1861">
        <v>500</v>
      </c>
      <c r="P1861" t="s">
        <v>341</v>
      </c>
      <c r="Q1861" t="s">
        <v>320</v>
      </c>
      <c r="R1861" t="str">
        <f>IF(COUNTIF(Sheet2!B:B, A1861) &gt; 0, "Yes", "No")</f>
        <v>Yes</v>
      </c>
    </row>
    <row r="1862" spans="1:18" x14ac:dyDescent="0.25">
      <c r="A1862" s="3">
        <v>45380</v>
      </c>
      <c r="B1862" t="s">
        <v>498</v>
      </c>
      <c r="C1862" t="s">
        <v>79</v>
      </c>
      <c r="D1862" t="s">
        <v>20</v>
      </c>
      <c r="E1862" t="s">
        <v>21</v>
      </c>
      <c r="F1862" t="s">
        <v>40</v>
      </c>
      <c r="G1862" t="s">
        <v>164</v>
      </c>
      <c r="H1862" t="s">
        <v>193</v>
      </c>
      <c r="I1862" s="5">
        <v>0.04</v>
      </c>
      <c r="J1862">
        <f t="shared" si="87"/>
        <v>20</v>
      </c>
      <c r="K1862">
        <v>0.25</v>
      </c>
      <c r="L1862">
        <f t="shared" si="88"/>
        <v>19.75</v>
      </c>
      <c r="M1862" s="4">
        <f t="shared" si="89"/>
        <v>3.5909090909090911E-2</v>
      </c>
      <c r="N1862">
        <v>550</v>
      </c>
      <c r="O1862">
        <v>500</v>
      </c>
      <c r="P1862" t="s">
        <v>341</v>
      </c>
      <c r="Q1862" t="s">
        <v>320</v>
      </c>
      <c r="R1862" t="str">
        <f>IF(COUNTIF(Sheet2!B:B, A1862) &gt; 0, "Yes", "No")</f>
        <v>Yes</v>
      </c>
    </row>
    <row r="1863" spans="1:18" x14ac:dyDescent="0.25">
      <c r="A1863" s="3">
        <v>45380</v>
      </c>
      <c r="B1863" t="s">
        <v>498</v>
      </c>
      <c r="C1863" t="s">
        <v>79</v>
      </c>
      <c r="D1863" t="s">
        <v>20</v>
      </c>
      <c r="E1863" t="s">
        <v>21</v>
      </c>
      <c r="F1863" t="s">
        <v>43</v>
      </c>
      <c r="G1863" t="s">
        <v>90</v>
      </c>
      <c r="H1863" t="s">
        <v>343</v>
      </c>
      <c r="I1863" s="5">
        <v>7.0000000000000007E-2</v>
      </c>
      <c r="J1863">
        <f t="shared" si="87"/>
        <v>35</v>
      </c>
      <c r="K1863">
        <v>0.25</v>
      </c>
      <c r="L1863">
        <f t="shared" si="88"/>
        <v>34.75</v>
      </c>
      <c r="M1863" s="4">
        <f t="shared" si="89"/>
        <v>6.3181818181818186E-2</v>
      </c>
      <c r="N1863">
        <v>550</v>
      </c>
      <c r="O1863">
        <v>500</v>
      </c>
      <c r="P1863" t="s">
        <v>341</v>
      </c>
      <c r="Q1863" t="s">
        <v>320</v>
      </c>
      <c r="R1863" t="str">
        <f>IF(COUNTIF(Sheet2!B:B, A1863) &gt; 0, "Yes", "No")</f>
        <v>Yes</v>
      </c>
    </row>
    <row r="1864" spans="1:18" x14ac:dyDescent="0.25">
      <c r="A1864" s="3">
        <v>45380</v>
      </c>
      <c r="B1864" t="s">
        <v>498</v>
      </c>
      <c r="C1864" t="s">
        <v>79</v>
      </c>
      <c r="D1864" t="s">
        <v>20</v>
      </c>
      <c r="E1864" t="s">
        <v>21</v>
      </c>
      <c r="F1864" t="s">
        <v>46</v>
      </c>
      <c r="G1864" t="s">
        <v>77</v>
      </c>
      <c r="H1864" t="s">
        <v>245</v>
      </c>
      <c r="I1864" s="5">
        <v>0.06</v>
      </c>
      <c r="J1864">
        <f t="shared" si="87"/>
        <v>30</v>
      </c>
      <c r="K1864">
        <v>1.5</v>
      </c>
      <c r="L1864">
        <f t="shared" si="88"/>
        <v>28.5</v>
      </c>
      <c r="M1864" s="4">
        <f t="shared" si="89"/>
        <v>5.1818181818181819E-2</v>
      </c>
      <c r="N1864">
        <v>550</v>
      </c>
      <c r="O1864">
        <v>500</v>
      </c>
      <c r="P1864" t="s">
        <v>341</v>
      </c>
      <c r="Q1864" t="s">
        <v>320</v>
      </c>
      <c r="R1864" t="str">
        <f>IF(COUNTIF(Sheet2!B:B, A1864) &gt; 0, "Yes", "No")</f>
        <v>Yes</v>
      </c>
    </row>
    <row r="1865" spans="1:18" x14ac:dyDescent="0.25">
      <c r="A1865" s="3">
        <v>45380</v>
      </c>
      <c r="B1865" t="s">
        <v>498</v>
      </c>
      <c r="C1865" t="s">
        <v>79</v>
      </c>
      <c r="D1865" t="s">
        <v>20</v>
      </c>
      <c r="E1865" t="s">
        <v>21</v>
      </c>
      <c r="F1865" t="s">
        <v>49</v>
      </c>
      <c r="G1865" t="s">
        <v>50</v>
      </c>
      <c r="H1865" t="s">
        <v>49</v>
      </c>
      <c r="I1865" s="5">
        <v>0.04</v>
      </c>
      <c r="J1865">
        <f t="shared" si="87"/>
        <v>20</v>
      </c>
      <c r="K1865">
        <v>0.2</v>
      </c>
      <c r="L1865">
        <f t="shared" si="88"/>
        <v>19.8</v>
      </c>
      <c r="M1865" s="4">
        <f t="shared" si="89"/>
        <v>3.6000000000000004E-2</v>
      </c>
      <c r="N1865">
        <v>550</v>
      </c>
      <c r="O1865">
        <v>500</v>
      </c>
      <c r="P1865" t="s">
        <v>341</v>
      </c>
      <c r="Q1865" t="s">
        <v>320</v>
      </c>
      <c r="R1865" t="str">
        <f>IF(COUNTIF(Sheet2!B:B, A1865) &gt; 0, "Yes", "No")</f>
        <v>Yes</v>
      </c>
    </row>
    <row r="1866" spans="1:18" x14ac:dyDescent="0.25">
      <c r="A1866" s="3">
        <v>45383</v>
      </c>
      <c r="B1866" t="s">
        <v>18</v>
      </c>
      <c r="C1866" t="s">
        <v>19</v>
      </c>
      <c r="D1866" t="s">
        <v>20</v>
      </c>
      <c r="E1866" t="s">
        <v>21</v>
      </c>
      <c r="F1866" t="s">
        <v>22</v>
      </c>
      <c r="G1866" t="s">
        <v>52</v>
      </c>
      <c r="H1866" t="s">
        <v>246</v>
      </c>
      <c r="I1866">
        <v>8.5000000000000006E-2</v>
      </c>
      <c r="J1866">
        <f t="shared" si="87"/>
        <v>53.550000000000004</v>
      </c>
      <c r="K1866">
        <v>2</v>
      </c>
      <c r="L1866">
        <f t="shared" si="88"/>
        <v>51.550000000000004</v>
      </c>
      <c r="M1866" s="4">
        <f t="shared" si="89"/>
        <v>7.3642857142857149E-2</v>
      </c>
      <c r="N1866">
        <v>700</v>
      </c>
      <c r="O1866">
        <v>630</v>
      </c>
      <c r="P1866" t="s">
        <v>25</v>
      </c>
      <c r="Q1866" t="s">
        <v>26</v>
      </c>
      <c r="R1866" t="str">
        <f>IF(COUNTIF(Sheet2!B:B, A1866) &gt; 0, "Yes", "No")</f>
        <v>No</v>
      </c>
    </row>
    <row r="1867" spans="1:18" x14ac:dyDescent="0.25">
      <c r="A1867" s="3">
        <v>45383</v>
      </c>
      <c r="B1867" t="s">
        <v>18</v>
      </c>
      <c r="C1867" t="s">
        <v>19</v>
      </c>
      <c r="D1867" t="s">
        <v>20</v>
      </c>
      <c r="E1867" t="s">
        <v>21</v>
      </c>
      <c r="F1867" t="s">
        <v>27</v>
      </c>
      <c r="G1867" t="s">
        <v>144</v>
      </c>
      <c r="H1867" t="s">
        <v>527</v>
      </c>
      <c r="I1867">
        <v>0.11</v>
      </c>
      <c r="J1867">
        <f t="shared" si="87"/>
        <v>69.3</v>
      </c>
      <c r="K1867">
        <v>0.5</v>
      </c>
      <c r="L1867">
        <f t="shared" si="88"/>
        <v>68.8</v>
      </c>
      <c r="M1867" s="4">
        <f t="shared" si="89"/>
        <v>9.8285714285714282E-2</v>
      </c>
      <c r="N1867">
        <v>700</v>
      </c>
      <c r="O1867">
        <v>630</v>
      </c>
      <c r="P1867" t="s">
        <v>25</v>
      </c>
      <c r="Q1867" t="s">
        <v>26</v>
      </c>
      <c r="R1867" t="str">
        <f>IF(COUNTIF(Sheet2!B:B, A1867) &gt; 0, "Yes", "No")</f>
        <v>No</v>
      </c>
    </row>
    <row r="1868" spans="1:18" x14ac:dyDescent="0.25">
      <c r="A1868" s="3">
        <v>45383</v>
      </c>
      <c r="B1868" t="s">
        <v>18</v>
      </c>
      <c r="C1868" t="s">
        <v>19</v>
      </c>
      <c r="D1868" t="s">
        <v>20</v>
      </c>
      <c r="E1868" t="s">
        <v>21</v>
      </c>
      <c r="F1868" t="s">
        <v>30</v>
      </c>
      <c r="G1868" t="s">
        <v>55</v>
      </c>
      <c r="H1868" t="s">
        <v>183</v>
      </c>
      <c r="I1868">
        <v>0.09</v>
      </c>
      <c r="J1868">
        <f t="shared" si="87"/>
        <v>56.699999999999996</v>
      </c>
      <c r="K1868">
        <v>2</v>
      </c>
      <c r="L1868">
        <f t="shared" si="88"/>
        <v>54.699999999999996</v>
      </c>
      <c r="M1868" s="4">
        <f t="shared" si="89"/>
        <v>7.8142857142857139E-2</v>
      </c>
      <c r="N1868">
        <v>700</v>
      </c>
      <c r="O1868">
        <v>630</v>
      </c>
      <c r="P1868" t="s">
        <v>25</v>
      </c>
      <c r="Q1868" t="s">
        <v>26</v>
      </c>
      <c r="R1868" t="str">
        <f>IF(COUNTIF(Sheet2!B:B, A1868) &gt; 0, "Yes", "No")</f>
        <v>No</v>
      </c>
    </row>
    <row r="1869" spans="1:18" x14ac:dyDescent="0.25">
      <c r="A1869" s="3">
        <v>45383</v>
      </c>
      <c r="B1869" t="s">
        <v>18</v>
      </c>
      <c r="C1869" t="s">
        <v>19</v>
      </c>
      <c r="D1869" t="s">
        <v>33</v>
      </c>
      <c r="E1869" t="s">
        <v>21</v>
      </c>
      <c r="F1869" t="s">
        <v>34</v>
      </c>
      <c r="G1869" t="s">
        <v>57</v>
      </c>
      <c r="H1869" t="s">
        <v>528</v>
      </c>
      <c r="I1869">
        <v>0.15</v>
      </c>
      <c r="J1869">
        <f t="shared" si="87"/>
        <v>66</v>
      </c>
      <c r="K1869">
        <v>2</v>
      </c>
      <c r="L1869">
        <f t="shared" si="88"/>
        <v>64</v>
      </c>
      <c r="M1869" s="4">
        <f t="shared" si="89"/>
        <v>0.1306122448979592</v>
      </c>
      <c r="N1869">
        <v>490</v>
      </c>
      <c r="O1869">
        <v>440</v>
      </c>
      <c r="P1869" t="s">
        <v>25</v>
      </c>
      <c r="Q1869" t="s">
        <v>26</v>
      </c>
      <c r="R1869" t="str">
        <f>IF(COUNTIF(Sheet2!B:B, A1869) &gt; 0, "Yes", "No")</f>
        <v>No</v>
      </c>
    </row>
    <row r="1870" spans="1:18" x14ac:dyDescent="0.25">
      <c r="A1870" s="3">
        <v>45383</v>
      </c>
      <c r="B1870" t="s">
        <v>18</v>
      </c>
      <c r="C1870" t="s">
        <v>19</v>
      </c>
      <c r="D1870" t="s">
        <v>20</v>
      </c>
      <c r="E1870" t="s">
        <v>21</v>
      </c>
      <c r="F1870" t="s">
        <v>37</v>
      </c>
      <c r="G1870" t="s">
        <v>117</v>
      </c>
      <c r="H1870" t="s">
        <v>118</v>
      </c>
      <c r="I1870">
        <v>0.03</v>
      </c>
      <c r="J1870">
        <f t="shared" si="87"/>
        <v>18.899999999999999</v>
      </c>
      <c r="K1870">
        <v>3</v>
      </c>
      <c r="L1870">
        <f t="shared" si="88"/>
        <v>15.899999999999999</v>
      </c>
      <c r="M1870" s="4">
        <f t="shared" si="89"/>
        <v>2.2714285714285711E-2</v>
      </c>
      <c r="N1870">
        <v>700</v>
      </c>
      <c r="O1870">
        <v>630</v>
      </c>
      <c r="P1870" t="s">
        <v>25</v>
      </c>
      <c r="Q1870" t="s">
        <v>26</v>
      </c>
      <c r="R1870" t="str">
        <f>IF(COUNTIF(Sheet2!B:B, A1870) &gt; 0, "Yes", "No")</f>
        <v>No</v>
      </c>
    </row>
    <row r="1871" spans="1:18" x14ac:dyDescent="0.25">
      <c r="A1871" s="3">
        <v>45383</v>
      </c>
      <c r="B1871" t="s">
        <v>18</v>
      </c>
      <c r="C1871" t="s">
        <v>19</v>
      </c>
      <c r="D1871" t="s">
        <v>20</v>
      </c>
      <c r="E1871" t="s">
        <v>21</v>
      </c>
      <c r="F1871" t="s">
        <v>40</v>
      </c>
      <c r="G1871" t="s">
        <v>137</v>
      </c>
      <c r="H1871" t="s">
        <v>152</v>
      </c>
      <c r="I1871">
        <v>4.4999999999999998E-2</v>
      </c>
      <c r="J1871">
        <f t="shared" si="87"/>
        <v>28.349999999999998</v>
      </c>
      <c r="K1871">
        <v>3</v>
      </c>
      <c r="L1871">
        <f t="shared" si="88"/>
        <v>25.349999999999998</v>
      </c>
      <c r="M1871" s="4">
        <f t="shared" si="89"/>
        <v>3.6214285714285713E-2</v>
      </c>
      <c r="N1871">
        <v>700</v>
      </c>
      <c r="O1871">
        <v>630</v>
      </c>
      <c r="P1871" t="s">
        <v>25</v>
      </c>
      <c r="Q1871" t="s">
        <v>26</v>
      </c>
      <c r="R1871" t="str">
        <f>IF(COUNTIF(Sheet2!B:B, A1871) &gt; 0, "Yes", "No")</f>
        <v>No</v>
      </c>
    </row>
    <row r="1872" spans="1:18" x14ac:dyDescent="0.25">
      <c r="A1872" s="3">
        <v>45383</v>
      </c>
      <c r="B1872" t="s">
        <v>18</v>
      </c>
      <c r="C1872" t="s">
        <v>19</v>
      </c>
      <c r="D1872" t="s">
        <v>20</v>
      </c>
      <c r="E1872" t="s">
        <v>21</v>
      </c>
      <c r="F1872" t="s">
        <v>43</v>
      </c>
      <c r="G1872" t="s">
        <v>215</v>
      </c>
      <c r="H1872" t="s">
        <v>471</v>
      </c>
      <c r="I1872">
        <v>0.11</v>
      </c>
      <c r="J1872">
        <f t="shared" si="87"/>
        <v>69.3</v>
      </c>
      <c r="K1872">
        <v>7</v>
      </c>
      <c r="L1872">
        <f t="shared" si="88"/>
        <v>62.3</v>
      </c>
      <c r="M1872" s="4">
        <f t="shared" si="89"/>
        <v>8.8999999999999996E-2</v>
      </c>
      <c r="N1872">
        <v>700</v>
      </c>
      <c r="O1872">
        <v>630</v>
      </c>
      <c r="P1872" t="s">
        <v>25</v>
      </c>
      <c r="Q1872" t="s">
        <v>26</v>
      </c>
      <c r="R1872" t="str">
        <f>IF(COUNTIF(Sheet2!B:B, A1872) &gt; 0, "Yes", "No")</f>
        <v>No</v>
      </c>
    </row>
    <row r="1873" spans="1:18" x14ac:dyDescent="0.25">
      <c r="A1873" s="3">
        <v>45383</v>
      </c>
      <c r="B1873" t="s">
        <v>18</v>
      </c>
      <c r="C1873" t="s">
        <v>19</v>
      </c>
      <c r="D1873" t="s">
        <v>20</v>
      </c>
      <c r="E1873" t="s">
        <v>21</v>
      </c>
      <c r="F1873" t="s">
        <v>46</v>
      </c>
      <c r="G1873" t="s">
        <v>47</v>
      </c>
      <c r="H1873" t="s">
        <v>141</v>
      </c>
      <c r="I1873">
        <v>8.5000000000000006E-2</v>
      </c>
      <c r="J1873">
        <f t="shared" si="87"/>
        <v>53.550000000000004</v>
      </c>
      <c r="K1873">
        <v>3</v>
      </c>
      <c r="L1873">
        <f t="shared" si="88"/>
        <v>50.550000000000004</v>
      </c>
      <c r="M1873" s="4">
        <f t="shared" si="89"/>
        <v>7.2214285714285717E-2</v>
      </c>
      <c r="N1873">
        <v>700</v>
      </c>
      <c r="O1873">
        <v>630</v>
      </c>
      <c r="P1873" t="s">
        <v>25</v>
      </c>
      <c r="Q1873" t="s">
        <v>26</v>
      </c>
      <c r="R1873" t="str">
        <f>IF(COUNTIF(Sheet2!B:B, A1873) &gt; 0, "Yes", "No")</f>
        <v>No</v>
      </c>
    </row>
    <row r="1874" spans="1:18" x14ac:dyDescent="0.25">
      <c r="A1874" s="3">
        <v>45383</v>
      </c>
      <c r="B1874" t="s">
        <v>18</v>
      </c>
      <c r="C1874" t="s">
        <v>19</v>
      </c>
      <c r="D1874" t="s">
        <v>20</v>
      </c>
      <c r="E1874" t="s">
        <v>21</v>
      </c>
      <c r="F1874" t="s">
        <v>49</v>
      </c>
      <c r="G1874" t="s">
        <v>50</v>
      </c>
      <c r="H1874" t="s">
        <v>49</v>
      </c>
      <c r="I1874">
        <v>0.09</v>
      </c>
      <c r="J1874">
        <f t="shared" si="87"/>
        <v>56.699999999999996</v>
      </c>
      <c r="K1874">
        <v>0.5</v>
      </c>
      <c r="L1874">
        <f t="shared" si="88"/>
        <v>56.199999999999996</v>
      </c>
      <c r="M1874" s="4">
        <f t="shared" si="89"/>
        <v>8.028571428571428E-2</v>
      </c>
      <c r="N1874">
        <v>700</v>
      </c>
      <c r="O1874">
        <v>630</v>
      </c>
      <c r="P1874" t="s">
        <v>25</v>
      </c>
      <c r="Q1874" t="s">
        <v>26</v>
      </c>
      <c r="R1874" t="str">
        <f>IF(COUNTIF(Sheet2!B:B, A1874) &gt; 0, "Yes", "No")</f>
        <v>No</v>
      </c>
    </row>
    <row r="1875" spans="1:18" x14ac:dyDescent="0.25">
      <c r="A1875" s="3">
        <v>45384</v>
      </c>
      <c r="B1875" t="s">
        <v>18</v>
      </c>
      <c r="C1875" t="s">
        <v>105</v>
      </c>
      <c r="D1875" t="s">
        <v>20</v>
      </c>
      <c r="E1875" t="s">
        <v>67</v>
      </c>
      <c r="F1875" t="s">
        <v>22</v>
      </c>
      <c r="G1875" t="s">
        <v>52</v>
      </c>
      <c r="H1875" t="s">
        <v>529</v>
      </c>
      <c r="I1875">
        <v>8.5000000000000006E-2</v>
      </c>
      <c r="J1875">
        <f t="shared" si="87"/>
        <v>56.95</v>
      </c>
      <c r="K1875">
        <v>0.5</v>
      </c>
      <c r="L1875">
        <f t="shared" si="88"/>
        <v>56.45</v>
      </c>
      <c r="M1875" s="4">
        <f t="shared" si="89"/>
        <v>7.5266666666666676E-2</v>
      </c>
      <c r="N1875">
        <v>750</v>
      </c>
      <c r="O1875">
        <v>670</v>
      </c>
      <c r="P1875" t="s">
        <v>25</v>
      </c>
      <c r="Q1875" t="s">
        <v>26</v>
      </c>
      <c r="R1875" t="str">
        <f>IF(COUNTIF(Sheet2!B:B, A1875) &gt; 0, "Yes", "No")</f>
        <v>No</v>
      </c>
    </row>
    <row r="1876" spans="1:18" x14ac:dyDescent="0.25">
      <c r="A1876" s="3">
        <v>45384</v>
      </c>
      <c r="B1876" t="s">
        <v>18</v>
      </c>
      <c r="C1876" t="s">
        <v>105</v>
      </c>
      <c r="D1876" t="s">
        <v>20</v>
      </c>
      <c r="E1876" t="s">
        <v>67</v>
      </c>
      <c r="F1876" t="s">
        <v>27</v>
      </c>
      <c r="G1876" t="s">
        <v>28</v>
      </c>
      <c r="H1876" t="s">
        <v>69</v>
      </c>
      <c r="I1876">
        <v>0.11</v>
      </c>
      <c r="J1876">
        <f t="shared" si="87"/>
        <v>73.7</v>
      </c>
      <c r="K1876">
        <v>3</v>
      </c>
      <c r="L1876">
        <f t="shared" si="88"/>
        <v>70.7</v>
      </c>
      <c r="M1876" s="4">
        <f t="shared" si="89"/>
        <v>9.4266666666666665E-2</v>
      </c>
      <c r="N1876">
        <v>750</v>
      </c>
      <c r="O1876">
        <v>670</v>
      </c>
      <c r="P1876" t="s">
        <v>25</v>
      </c>
      <c r="Q1876" t="s">
        <v>26</v>
      </c>
      <c r="R1876" t="str">
        <f>IF(COUNTIF(Sheet2!B:B, A1876) &gt; 0, "Yes", "No")</f>
        <v>No</v>
      </c>
    </row>
    <row r="1877" spans="1:18" x14ac:dyDescent="0.25">
      <c r="A1877" s="3">
        <v>45384</v>
      </c>
      <c r="B1877" t="s">
        <v>18</v>
      </c>
      <c r="C1877" t="s">
        <v>105</v>
      </c>
      <c r="D1877" t="s">
        <v>20</v>
      </c>
      <c r="E1877" t="s">
        <v>67</v>
      </c>
      <c r="F1877" t="s">
        <v>30</v>
      </c>
      <c r="G1877" t="s">
        <v>55</v>
      </c>
      <c r="H1877" t="s">
        <v>134</v>
      </c>
      <c r="I1877">
        <v>0.09</v>
      </c>
      <c r="J1877">
        <f t="shared" si="87"/>
        <v>60.3</v>
      </c>
      <c r="K1877">
        <v>2</v>
      </c>
      <c r="L1877">
        <f t="shared" si="88"/>
        <v>58.3</v>
      </c>
      <c r="M1877" s="4">
        <f t="shared" si="89"/>
        <v>7.7733333333333335E-2</v>
      </c>
      <c r="N1877">
        <v>750</v>
      </c>
      <c r="O1877">
        <v>670</v>
      </c>
      <c r="P1877" t="s">
        <v>25</v>
      </c>
      <c r="Q1877" t="s">
        <v>26</v>
      </c>
      <c r="R1877" t="str">
        <f>IF(COUNTIF(Sheet2!B:B, A1877) &gt; 0, "Yes", "No")</f>
        <v>No</v>
      </c>
    </row>
    <row r="1878" spans="1:18" x14ac:dyDescent="0.25">
      <c r="A1878" s="3">
        <v>45384</v>
      </c>
      <c r="B1878" t="s">
        <v>18</v>
      </c>
      <c r="C1878" t="s">
        <v>105</v>
      </c>
      <c r="D1878" t="s">
        <v>20</v>
      </c>
      <c r="E1878" t="s">
        <v>67</v>
      </c>
      <c r="F1878" t="s">
        <v>37</v>
      </c>
      <c r="G1878" t="s">
        <v>59</v>
      </c>
      <c r="H1878" t="s">
        <v>60</v>
      </c>
      <c r="I1878">
        <v>3.5000000000000003E-2</v>
      </c>
      <c r="J1878">
        <f t="shared" si="87"/>
        <v>23.450000000000003</v>
      </c>
      <c r="K1878">
        <v>1.25</v>
      </c>
      <c r="L1878">
        <f t="shared" si="88"/>
        <v>22.200000000000003</v>
      </c>
      <c r="M1878" s="4">
        <f t="shared" si="89"/>
        <v>2.9600000000000005E-2</v>
      </c>
      <c r="N1878">
        <v>750</v>
      </c>
      <c r="O1878">
        <v>670</v>
      </c>
      <c r="P1878" t="s">
        <v>25</v>
      </c>
      <c r="Q1878" t="s">
        <v>26</v>
      </c>
      <c r="R1878" t="str">
        <f>IF(COUNTIF(Sheet2!B:B, A1878) &gt; 0, "Yes", "No")</f>
        <v>No</v>
      </c>
    </row>
    <row r="1879" spans="1:18" x14ac:dyDescent="0.25">
      <c r="A1879" s="3">
        <v>45384</v>
      </c>
      <c r="B1879" t="s">
        <v>18</v>
      </c>
      <c r="C1879" t="s">
        <v>105</v>
      </c>
      <c r="D1879" t="s">
        <v>20</v>
      </c>
      <c r="E1879" t="s">
        <v>67</v>
      </c>
      <c r="F1879" t="s">
        <v>40</v>
      </c>
      <c r="G1879" t="s">
        <v>157</v>
      </c>
      <c r="H1879" t="s">
        <v>214</v>
      </c>
      <c r="I1879">
        <v>0.05</v>
      </c>
      <c r="J1879">
        <f t="shared" si="87"/>
        <v>33.5</v>
      </c>
      <c r="K1879">
        <v>2</v>
      </c>
      <c r="L1879">
        <f t="shared" si="88"/>
        <v>31.5</v>
      </c>
      <c r="M1879" s="4">
        <f t="shared" si="89"/>
        <v>4.2000000000000003E-2</v>
      </c>
      <c r="N1879">
        <v>750</v>
      </c>
      <c r="O1879">
        <v>670</v>
      </c>
      <c r="P1879" t="s">
        <v>25</v>
      </c>
      <c r="Q1879" t="s">
        <v>26</v>
      </c>
      <c r="R1879" t="str">
        <f>IF(COUNTIF(Sheet2!B:B, A1879) &gt; 0, "Yes", "No")</f>
        <v>No</v>
      </c>
    </row>
    <row r="1880" spans="1:18" x14ac:dyDescent="0.25">
      <c r="A1880" s="3">
        <v>45384</v>
      </c>
      <c r="B1880" t="s">
        <v>18</v>
      </c>
      <c r="C1880" t="s">
        <v>105</v>
      </c>
      <c r="D1880" t="s">
        <v>20</v>
      </c>
      <c r="E1880" t="s">
        <v>67</v>
      </c>
      <c r="F1880" t="s">
        <v>43</v>
      </c>
      <c r="G1880" t="s">
        <v>252</v>
      </c>
      <c r="H1880" t="s">
        <v>530</v>
      </c>
      <c r="I1880">
        <v>0.11</v>
      </c>
      <c r="J1880">
        <f t="shared" si="87"/>
        <v>73.7</v>
      </c>
      <c r="K1880">
        <v>4</v>
      </c>
      <c r="L1880">
        <f t="shared" si="88"/>
        <v>69.7</v>
      </c>
      <c r="M1880" s="4">
        <f t="shared" si="89"/>
        <v>9.293333333333334E-2</v>
      </c>
      <c r="N1880">
        <v>750</v>
      </c>
      <c r="O1880">
        <v>670</v>
      </c>
      <c r="P1880" t="s">
        <v>25</v>
      </c>
      <c r="Q1880" t="s">
        <v>26</v>
      </c>
      <c r="R1880" t="str">
        <f>IF(COUNTIF(Sheet2!B:B, A1880) &gt; 0, "Yes", "No")</f>
        <v>No</v>
      </c>
    </row>
    <row r="1881" spans="1:18" x14ac:dyDescent="0.25">
      <c r="A1881" s="3">
        <v>45384</v>
      </c>
      <c r="B1881" t="s">
        <v>18</v>
      </c>
      <c r="C1881" t="s">
        <v>105</v>
      </c>
      <c r="D1881" t="s">
        <v>20</v>
      </c>
      <c r="E1881" t="s">
        <v>67</v>
      </c>
      <c r="F1881" t="s">
        <v>46</v>
      </c>
      <c r="G1881" t="s">
        <v>92</v>
      </c>
      <c r="H1881" t="s">
        <v>259</v>
      </c>
      <c r="I1881">
        <v>8.5000000000000006E-2</v>
      </c>
      <c r="J1881">
        <f t="shared" si="87"/>
        <v>56.95</v>
      </c>
      <c r="K1881">
        <v>0.5</v>
      </c>
      <c r="L1881">
        <f t="shared" si="88"/>
        <v>56.45</v>
      </c>
      <c r="M1881" s="4">
        <f t="shared" si="89"/>
        <v>7.5266666666666676E-2</v>
      </c>
      <c r="N1881">
        <v>750</v>
      </c>
      <c r="O1881">
        <v>670</v>
      </c>
      <c r="P1881" t="s">
        <v>25</v>
      </c>
      <c r="Q1881" t="s">
        <v>26</v>
      </c>
      <c r="R1881" t="str">
        <f>IF(COUNTIF(Sheet2!B:B, A1881) &gt; 0, "Yes", "No")</f>
        <v>No</v>
      </c>
    </row>
    <row r="1882" spans="1:18" x14ac:dyDescent="0.25">
      <c r="A1882" s="3">
        <v>45384</v>
      </c>
      <c r="B1882" t="s">
        <v>18</v>
      </c>
      <c r="C1882" t="s">
        <v>105</v>
      </c>
      <c r="D1882" t="s">
        <v>20</v>
      </c>
      <c r="E1882" t="s">
        <v>67</v>
      </c>
      <c r="F1882" t="s">
        <v>49</v>
      </c>
      <c r="G1882" t="s">
        <v>50</v>
      </c>
      <c r="H1882" t="s">
        <v>49</v>
      </c>
      <c r="I1882">
        <v>0.09</v>
      </c>
      <c r="J1882">
        <f t="shared" si="87"/>
        <v>60.3</v>
      </c>
      <c r="K1882">
        <v>3</v>
      </c>
      <c r="L1882">
        <f t="shared" si="88"/>
        <v>57.3</v>
      </c>
      <c r="M1882" s="4">
        <f t="shared" si="89"/>
        <v>7.6399999999999996E-2</v>
      </c>
      <c r="N1882">
        <v>750</v>
      </c>
      <c r="O1882">
        <v>670</v>
      </c>
      <c r="P1882" t="s">
        <v>25</v>
      </c>
      <c r="Q1882" t="s">
        <v>26</v>
      </c>
      <c r="R1882" t="str">
        <f>IF(COUNTIF(Sheet2!B:B, A1882) &gt; 0, "Yes", "No")</f>
        <v>No</v>
      </c>
    </row>
    <row r="1883" spans="1:18" x14ac:dyDescent="0.25">
      <c r="A1883" s="3">
        <v>45385</v>
      </c>
      <c r="B1883" t="s">
        <v>18</v>
      </c>
      <c r="C1883" t="s">
        <v>51</v>
      </c>
      <c r="D1883" t="s">
        <v>20</v>
      </c>
      <c r="E1883" t="s">
        <v>21</v>
      </c>
      <c r="F1883" t="s">
        <v>22</v>
      </c>
      <c r="G1883" t="s">
        <v>94</v>
      </c>
      <c r="H1883" t="s">
        <v>168</v>
      </c>
      <c r="I1883">
        <v>8.5000000000000006E-2</v>
      </c>
      <c r="J1883">
        <f t="shared" si="87"/>
        <v>59.500000000000007</v>
      </c>
      <c r="K1883">
        <v>0.25</v>
      </c>
      <c r="L1883">
        <f t="shared" si="88"/>
        <v>59.250000000000007</v>
      </c>
      <c r="M1883" s="4">
        <f t="shared" si="89"/>
        <v>7.694805194805196E-2</v>
      </c>
      <c r="N1883">
        <v>770</v>
      </c>
      <c r="O1883">
        <v>700</v>
      </c>
      <c r="P1883" t="s">
        <v>25</v>
      </c>
      <c r="Q1883" t="s">
        <v>26</v>
      </c>
      <c r="R1883" t="str">
        <f>IF(COUNTIF(Sheet2!B:B, A1883) &gt; 0, "Yes", "No")</f>
        <v>No</v>
      </c>
    </row>
    <row r="1884" spans="1:18" x14ac:dyDescent="0.25">
      <c r="A1884" s="3">
        <v>45385</v>
      </c>
      <c r="B1884" t="s">
        <v>18</v>
      </c>
      <c r="C1884" t="s">
        <v>51</v>
      </c>
      <c r="D1884" t="s">
        <v>20</v>
      </c>
      <c r="E1884" t="s">
        <v>21</v>
      </c>
      <c r="F1884" t="s">
        <v>27</v>
      </c>
      <c r="G1884" t="s">
        <v>780</v>
      </c>
      <c r="H1884" t="s">
        <v>149</v>
      </c>
      <c r="I1884">
        <v>0.11</v>
      </c>
      <c r="J1884">
        <f t="shared" si="87"/>
        <v>77</v>
      </c>
      <c r="K1884">
        <v>2.5</v>
      </c>
      <c r="L1884">
        <f t="shared" si="88"/>
        <v>74.5</v>
      </c>
      <c r="M1884" s="4">
        <f t="shared" si="89"/>
        <v>9.6753246753246758E-2</v>
      </c>
      <c r="N1884">
        <v>770</v>
      </c>
      <c r="O1884">
        <v>700</v>
      </c>
      <c r="P1884" t="s">
        <v>25</v>
      </c>
      <c r="Q1884" t="s">
        <v>26</v>
      </c>
      <c r="R1884" t="str">
        <f>IF(COUNTIF(Sheet2!B:B, A1884) &gt; 0, "Yes", "No")</f>
        <v>No</v>
      </c>
    </row>
    <row r="1885" spans="1:18" x14ac:dyDescent="0.25">
      <c r="A1885" s="3">
        <v>45385</v>
      </c>
      <c r="B1885" t="s">
        <v>18</v>
      </c>
      <c r="C1885" t="s">
        <v>51</v>
      </c>
      <c r="D1885" t="s">
        <v>20</v>
      </c>
      <c r="E1885" t="s">
        <v>21</v>
      </c>
      <c r="F1885" t="s">
        <v>30</v>
      </c>
      <c r="G1885" t="s">
        <v>55</v>
      </c>
      <c r="H1885" t="s">
        <v>97</v>
      </c>
      <c r="I1885">
        <v>0.09</v>
      </c>
      <c r="J1885">
        <f t="shared" si="87"/>
        <v>63</v>
      </c>
      <c r="K1885">
        <v>2</v>
      </c>
      <c r="L1885">
        <f t="shared" si="88"/>
        <v>61</v>
      </c>
      <c r="M1885" s="4">
        <f t="shared" si="89"/>
        <v>7.9220779220779219E-2</v>
      </c>
      <c r="N1885">
        <v>770</v>
      </c>
      <c r="O1885">
        <v>700</v>
      </c>
      <c r="P1885" t="s">
        <v>25</v>
      </c>
      <c r="Q1885" t="s">
        <v>26</v>
      </c>
      <c r="R1885" t="str">
        <f>IF(COUNTIF(Sheet2!B:B, A1885) &gt; 0, "Yes", "No")</f>
        <v>No</v>
      </c>
    </row>
    <row r="1886" spans="1:18" x14ac:dyDescent="0.25">
      <c r="A1886" s="3">
        <v>45385</v>
      </c>
      <c r="B1886" t="s">
        <v>18</v>
      </c>
      <c r="C1886" t="s">
        <v>51</v>
      </c>
      <c r="D1886" t="s">
        <v>33</v>
      </c>
      <c r="E1886" t="s">
        <v>21</v>
      </c>
      <c r="F1886" t="s">
        <v>34</v>
      </c>
      <c r="G1886" t="s">
        <v>57</v>
      </c>
      <c r="H1886" t="s">
        <v>531</v>
      </c>
      <c r="I1886">
        <v>0.15</v>
      </c>
      <c r="J1886">
        <f t="shared" si="87"/>
        <v>73.5</v>
      </c>
      <c r="K1886">
        <v>0</v>
      </c>
      <c r="L1886">
        <f t="shared" si="88"/>
        <v>73.5</v>
      </c>
      <c r="M1886" s="4">
        <f t="shared" si="89"/>
        <v>0.13636363636363635</v>
      </c>
      <c r="N1886">
        <v>539</v>
      </c>
      <c r="O1886">
        <v>490</v>
      </c>
      <c r="P1886" t="s">
        <v>25</v>
      </c>
      <c r="Q1886" t="s">
        <v>26</v>
      </c>
      <c r="R1886" t="str">
        <f>IF(COUNTIF(Sheet2!B:B, A1886) &gt; 0, "Yes", "No")</f>
        <v>No</v>
      </c>
    </row>
    <row r="1887" spans="1:18" x14ac:dyDescent="0.25">
      <c r="A1887" s="3">
        <v>45385</v>
      </c>
      <c r="B1887" t="s">
        <v>18</v>
      </c>
      <c r="C1887" t="s">
        <v>51</v>
      </c>
      <c r="D1887" t="s">
        <v>20</v>
      </c>
      <c r="E1887" t="s">
        <v>21</v>
      </c>
      <c r="F1887" t="s">
        <v>37</v>
      </c>
      <c r="G1887" t="s">
        <v>87</v>
      </c>
      <c r="H1887" t="s">
        <v>136</v>
      </c>
      <c r="I1887">
        <v>0.03</v>
      </c>
      <c r="J1887">
        <f t="shared" si="87"/>
        <v>21</v>
      </c>
      <c r="K1887">
        <v>2</v>
      </c>
      <c r="L1887">
        <f t="shared" si="88"/>
        <v>19</v>
      </c>
      <c r="M1887" s="4">
        <f t="shared" si="89"/>
        <v>2.4675324675324677E-2</v>
      </c>
      <c r="N1887">
        <v>770</v>
      </c>
      <c r="O1887">
        <v>700</v>
      </c>
      <c r="P1887" t="s">
        <v>25</v>
      </c>
      <c r="Q1887" t="s">
        <v>26</v>
      </c>
      <c r="R1887" t="str">
        <f>IF(COUNTIF(Sheet2!B:B, A1887) &gt; 0, "Yes", "No")</f>
        <v>No</v>
      </c>
    </row>
    <row r="1888" spans="1:18" x14ac:dyDescent="0.25">
      <c r="A1888" s="3">
        <v>45385</v>
      </c>
      <c r="B1888" t="s">
        <v>18</v>
      </c>
      <c r="C1888" t="s">
        <v>51</v>
      </c>
      <c r="D1888" t="s">
        <v>20</v>
      </c>
      <c r="E1888" t="s">
        <v>21</v>
      </c>
      <c r="F1888" t="s">
        <v>40</v>
      </c>
      <c r="G1888" t="s">
        <v>127</v>
      </c>
      <c r="H1888" t="s">
        <v>463</v>
      </c>
      <c r="I1888">
        <v>4.4999999999999998E-2</v>
      </c>
      <c r="J1888">
        <f t="shared" si="87"/>
        <v>31.5</v>
      </c>
      <c r="K1888">
        <v>1</v>
      </c>
      <c r="L1888">
        <f t="shared" si="88"/>
        <v>30.5</v>
      </c>
      <c r="M1888" s="4">
        <f t="shared" si="89"/>
        <v>3.961038961038961E-2</v>
      </c>
      <c r="N1888">
        <v>770</v>
      </c>
      <c r="O1888">
        <v>700</v>
      </c>
      <c r="P1888" t="s">
        <v>25</v>
      </c>
      <c r="Q1888" t="s">
        <v>26</v>
      </c>
      <c r="R1888" t="str">
        <f>IF(COUNTIF(Sheet2!B:B, A1888) &gt; 0, "Yes", "No")</f>
        <v>No</v>
      </c>
    </row>
    <row r="1889" spans="1:18" x14ac:dyDescent="0.25">
      <c r="A1889" s="3">
        <v>45385</v>
      </c>
      <c r="B1889" t="s">
        <v>18</v>
      </c>
      <c r="C1889" t="s">
        <v>51</v>
      </c>
      <c r="D1889" t="s">
        <v>20</v>
      </c>
      <c r="E1889" t="s">
        <v>21</v>
      </c>
      <c r="F1889" t="s">
        <v>43</v>
      </c>
      <c r="G1889" t="s">
        <v>44</v>
      </c>
      <c r="H1889" t="s">
        <v>153</v>
      </c>
      <c r="I1889">
        <v>0.11</v>
      </c>
      <c r="J1889">
        <f t="shared" si="87"/>
        <v>77</v>
      </c>
      <c r="K1889">
        <v>2.25</v>
      </c>
      <c r="L1889">
        <f t="shared" si="88"/>
        <v>74.75</v>
      </c>
      <c r="M1889" s="4">
        <f t="shared" si="89"/>
        <v>9.7077922077922082E-2</v>
      </c>
      <c r="N1889">
        <v>770</v>
      </c>
      <c r="O1889">
        <v>700</v>
      </c>
      <c r="P1889" t="s">
        <v>25</v>
      </c>
      <c r="Q1889" t="s">
        <v>26</v>
      </c>
      <c r="R1889" t="str">
        <f>IF(COUNTIF(Sheet2!B:B, A1889) &gt; 0, "Yes", "No")</f>
        <v>No</v>
      </c>
    </row>
    <row r="1890" spans="1:18" x14ac:dyDescent="0.25">
      <c r="A1890" s="3">
        <v>45385</v>
      </c>
      <c r="B1890" t="s">
        <v>18</v>
      </c>
      <c r="C1890" t="s">
        <v>51</v>
      </c>
      <c r="D1890" t="s">
        <v>20</v>
      </c>
      <c r="E1890" t="s">
        <v>21</v>
      </c>
      <c r="F1890" t="s">
        <v>46</v>
      </c>
      <c r="G1890" t="s">
        <v>47</v>
      </c>
      <c r="H1890" t="s">
        <v>532</v>
      </c>
      <c r="I1890">
        <v>8.5000000000000006E-2</v>
      </c>
      <c r="J1890">
        <f t="shared" si="87"/>
        <v>59.500000000000007</v>
      </c>
      <c r="K1890">
        <v>1.5</v>
      </c>
      <c r="L1890">
        <f t="shared" si="88"/>
        <v>58.000000000000007</v>
      </c>
      <c r="M1890" s="4">
        <f t="shared" si="89"/>
        <v>7.5324675324675336E-2</v>
      </c>
      <c r="N1890">
        <v>770</v>
      </c>
      <c r="O1890">
        <v>700</v>
      </c>
      <c r="P1890" t="s">
        <v>25</v>
      </c>
      <c r="Q1890" t="s">
        <v>26</v>
      </c>
      <c r="R1890" t="str">
        <f>IF(COUNTIF(Sheet2!B:B, A1890) &gt; 0, "Yes", "No")</f>
        <v>No</v>
      </c>
    </row>
    <row r="1891" spans="1:18" x14ac:dyDescent="0.25">
      <c r="A1891" s="3">
        <v>45385</v>
      </c>
      <c r="B1891" t="s">
        <v>18</v>
      </c>
      <c r="C1891" t="s">
        <v>51</v>
      </c>
      <c r="D1891" t="s">
        <v>20</v>
      </c>
      <c r="E1891" t="s">
        <v>21</v>
      </c>
      <c r="F1891" t="s">
        <v>49</v>
      </c>
      <c r="G1891" t="s">
        <v>50</v>
      </c>
      <c r="H1891" t="s">
        <v>49</v>
      </c>
      <c r="I1891">
        <v>0.09</v>
      </c>
      <c r="J1891">
        <f t="shared" si="87"/>
        <v>63</v>
      </c>
      <c r="K1891">
        <v>2</v>
      </c>
      <c r="L1891">
        <f t="shared" si="88"/>
        <v>61</v>
      </c>
      <c r="M1891" s="4">
        <f t="shared" si="89"/>
        <v>7.9220779220779219E-2</v>
      </c>
      <c r="N1891">
        <v>770</v>
      </c>
      <c r="O1891">
        <v>700</v>
      </c>
      <c r="P1891" t="s">
        <v>25</v>
      </c>
      <c r="Q1891" t="s">
        <v>26</v>
      </c>
      <c r="R1891" t="str">
        <f>IF(COUNTIF(Sheet2!B:B, A1891) &gt; 0, "Yes", "No")</f>
        <v>No</v>
      </c>
    </row>
    <row r="1892" spans="1:18" x14ac:dyDescent="0.25">
      <c r="A1892" s="3">
        <v>45386</v>
      </c>
      <c r="B1892" t="s">
        <v>18</v>
      </c>
      <c r="C1892" t="s">
        <v>66</v>
      </c>
      <c r="D1892" t="s">
        <v>20</v>
      </c>
      <c r="E1892" t="s">
        <v>67</v>
      </c>
      <c r="F1892" t="s">
        <v>22</v>
      </c>
      <c r="G1892" t="s">
        <v>52</v>
      </c>
      <c r="H1892" t="s">
        <v>68</v>
      </c>
      <c r="I1892">
        <v>8.5000000000000006E-2</v>
      </c>
      <c r="J1892">
        <f t="shared" si="87"/>
        <v>56.95</v>
      </c>
      <c r="K1892">
        <v>2</v>
      </c>
      <c r="L1892">
        <f t="shared" si="88"/>
        <v>54.95</v>
      </c>
      <c r="M1892" s="4">
        <f t="shared" si="89"/>
        <v>7.3266666666666674E-2</v>
      </c>
      <c r="N1892">
        <v>750</v>
      </c>
      <c r="O1892">
        <v>670</v>
      </c>
      <c r="P1892" t="s">
        <v>25</v>
      </c>
      <c r="Q1892" t="s">
        <v>26</v>
      </c>
      <c r="R1892" t="str">
        <f>IF(COUNTIF(Sheet2!B:B, A1892) &gt; 0, "Yes", "No")</f>
        <v>No</v>
      </c>
    </row>
    <row r="1893" spans="1:18" x14ac:dyDescent="0.25">
      <c r="A1893" s="3">
        <v>45386</v>
      </c>
      <c r="B1893" t="s">
        <v>18</v>
      </c>
      <c r="C1893" t="s">
        <v>66</v>
      </c>
      <c r="D1893" t="s">
        <v>20</v>
      </c>
      <c r="E1893" t="s">
        <v>67</v>
      </c>
      <c r="F1893" t="s">
        <v>27</v>
      </c>
      <c r="G1893" t="s">
        <v>28</v>
      </c>
      <c r="H1893" t="s">
        <v>533</v>
      </c>
      <c r="I1893">
        <v>0.11</v>
      </c>
      <c r="J1893">
        <f t="shared" si="87"/>
        <v>73.7</v>
      </c>
      <c r="K1893">
        <v>3</v>
      </c>
      <c r="L1893">
        <f t="shared" si="88"/>
        <v>70.7</v>
      </c>
      <c r="M1893" s="4">
        <f t="shared" si="89"/>
        <v>9.4266666666666665E-2</v>
      </c>
      <c r="N1893">
        <v>750</v>
      </c>
      <c r="O1893">
        <v>670</v>
      </c>
      <c r="P1893" t="s">
        <v>25</v>
      </c>
      <c r="Q1893" t="s">
        <v>26</v>
      </c>
      <c r="R1893" t="str">
        <f>IF(COUNTIF(Sheet2!B:B, A1893) &gt; 0, "Yes", "No")</f>
        <v>No</v>
      </c>
    </row>
    <row r="1894" spans="1:18" x14ac:dyDescent="0.25">
      <c r="A1894" s="3">
        <v>45386</v>
      </c>
      <c r="B1894" t="s">
        <v>18</v>
      </c>
      <c r="C1894" t="s">
        <v>66</v>
      </c>
      <c r="D1894" t="s">
        <v>20</v>
      </c>
      <c r="E1894" t="s">
        <v>67</v>
      </c>
      <c r="F1894" t="s">
        <v>30</v>
      </c>
      <c r="G1894" t="s">
        <v>31</v>
      </c>
      <c r="H1894" t="s">
        <v>31</v>
      </c>
      <c r="I1894">
        <v>0.09</v>
      </c>
      <c r="J1894">
        <f t="shared" si="87"/>
        <v>60.3</v>
      </c>
      <c r="K1894">
        <v>2</v>
      </c>
      <c r="L1894">
        <f t="shared" si="88"/>
        <v>58.3</v>
      </c>
      <c r="M1894" s="4">
        <f t="shared" si="89"/>
        <v>7.7733333333333335E-2</v>
      </c>
      <c r="N1894">
        <v>750</v>
      </c>
      <c r="O1894">
        <v>670</v>
      </c>
      <c r="P1894" t="s">
        <v>25</v>
      </c>
      <c r="Q1894" t="s">
        <v>26</v>
      </c>
      <c r="R1894" t="str">
        <f>IF(COUNTIF(Sheet2!B:B, A1894) &gt; 0, "Yes", "No")</f>
        <v>No</v>
      </c>
    </row>
    <row r="1895" spans="1:18" x14ac:dyDescent="0.25">
      <c r="A1895" s="3">
        <v>45386</v>
      </c>
      <c r="B1895" t="s">
        <v>18</v>
      </c>
      <c r="C1895" t="s">
        <v>66</v>
      </c>
      <c r="D1895" t="s">
        <v>20</v>
      </c>
      <c r="E1895" t="s">
        <v>67</v>
      </c>
      <c r="F1895" t="s">
        <v>37</v>
      </c>
      <c r="G1895" t="s">
        <v>71</v>
      </c>
      <c r="H1895" t="s">
        <v>151</v>
      </c>
      <c r="I1895">
        <v>3.5000000000000003E-2</v>
      </c>
      <c r="J1895">
        <f t="shared" si="87"/>
        <v>23.450000000000003</v>
      </c>
      <c r="K1895">
        <v>2</v>
      </c>
      <c r="L1895">
        <f t="shared" si="88"/>
        <v>21.450000000000003</v>
      </c>
      <c r="M1895" s="4">
        <f t="shared" si="89"/>
        <v>2.8600000000000004E-2</v>
      </c>
      <c r="N1895">
        <v>750</v>
      </c>
      <c r="O1895">
        <v>670</v>
      </c>
      <c r="P1895" t="s">
        <v>25</v>
      </c>
      <c r="Q1895" t="s">
        <v>26</v>
      </c>
      <c r="R1895" t="str">
        <f>IF(COUNTIF(Sheet2!B:B, A1895) &gt; 0, "Yes", "No")</f>
        <v>No</v>
      </c>
    </row>
    <row r="1896" spans="1:18" x14ac:dyDescent="0.25">
      <c r="A1896" s="3">
        <v>45386</v>
      </c>
      <c r="B1896" t="s">
        <v>18</v>
      </c>
      <c r="C1896" t="s">
        <v>66</v>
      </c>
      <c r="D1896" t="s">
        <v>20</v>
      </c>
      <c r="E1896" t="s">
        <v>67</v>
      </c>
      <c r="F1896" t="s">
        <v>40</v>
      </c>
      <c r="G1896" t="s">
        <v>41</v>
      </c>
      <c r="H1896" t="s">
        <v>534</v>
      </c>
      <c r="I1896">
        <v>0.05</v>
      </c>
      <c r="J1896">
        <f t="shared" si="87"/>
        <v>33.5</v>
      </c>
      <c r="K1896">
        <v>2</v>
      </c>
      <c r="L1896">
        <f t="shared" si="88"/>
        <v>31.5</v>
      </c>
      <c r="M1896" s="4">
        <f t="shared" si="89"/>
        <v>4.2000000000000003E-2</v>
      </c>
      <c r="N1896">
        <v>750</v>
      </c>
      <c r="O1896">
        <v>670</v>
      </c>
      <c r="P1896" t="s">
        <v>25</v>
      </c>
      <c r="Q1896" t="s">
        <v>26</v>
      </c>
      <c r="R1896" t="str">
        <f>IF(COUNTIF(Sheet2!B:B, A1896) &gt; 0, "Yes", "No")</f>
        <v>No</v>
      </c>
    </row>
    <row r="1897" spans="1:18" x14ac:dyDescent="0.25">
      <c r="A1897" s="3">
        <v>45386</v>
      </c>
      <c r="B1897" t="s">
        <v>18</v>
      </c>
      <c r="C1897" t="s">
        <v>66</v>
      </c>
      <c r="D1897" t="s">
        <v>20</v>
      </c>
      <c r="E1897" t="s">
        <v>67</v>
      </c>
      <c r="F1897" t="s">
        <v>43</v>
      </c>
      <c r="G1897" t="s">
        <v>90</v>
      </c>
      <c r="H1897" t="s">
        <v>194</v>
      </c>
      <c r="I1897">
        <v>0.11</v>
      </c>
      <c r="J1897">
        <f t="shared" si="87"/>
        <v>73.7</v>
      </c>
      <c r="K1897">
        <v>3</v>
      </c>
      <c r="L1897">
        <f t="shared" si="88"/>
        <v>70.7</v>
      </c>
      <c r="M1897" s="4">
        <f t="shared" si="89"/>
        <v>9.4266666666666665E-2</v>
      </c>
      <c r="N1897">
        <v>750</v>
      </c>
      <c r="O1897">
        <v>670</v>
      </c>
      <c r="P1897" t="s">
        <v>25</v>
      </c>
      <c r="Q1897" t="s">
        <v>26</v>
      </c>
      <c r="R1897" t="str">
        <f>IF(COUNTIF(Sheet2!B:B, A1897) &gt; 0, "Yes", "No")</f>
        <v>No</v>
      </c>
    </row>
    <row r="1898" spans="1:18" x14ac:dyDescent="0.25">
      <c r="A1898" s="3">
        <v>45386</v>
      </c>
      <c r="B1898" t="s">
        <v>18</v>
      </c>
      <c r="C1898" t="s">
        <v>66</v>
      </c>
      <c r="D1898" t="s">
        <v>20</v>
      </c>
      <c r="E1898" t="s">
        <v>67</v>
      </c>
      <c r="F1898" t="s">
        <v>46</v>
      </c>
      <c r="G1898" t="s">
        <v>169</v>
      </c>
      <c r="H1898" t="s">
        <v>535</v>
      </c>
      <c r="I1898">
        <v>8.5000000000000006E-2</v>
      </c>
      <c r="J1898">
        <f t="shared" si="87"/>
        <v>56.95</v>
      </c>
      <c r="K1898">
        <v>2</v>
      </c>
      <c r="L1898">
        <f t="shared" si="88"/>
        <v>54.95</v>
      </c>
      <c r="M1898" s="4">
        <f t="shared" si="89"/>
        <v>7.3266666666666674E-2</v>
      </c>
      <c r="N1898">
        <v>750</v>
      </c>
      <c r="O1898">
        <v>670</v>
      </c>
      <c r="P1898" t="s">
        <v>25</v>
      </c>
      <c r="Q1898" t="s">
        <v>26</v>
      </c>
      <c r="R1898" t="str">
        <f>IF(COUNTIF(Sheet2!B:B, A1898) &gt; 0, "Yes", "No")</f>
        <v>No</v>
      </c>
    </row>
    <row r="1899" spans="1:18" x14ac:dyDescent="0.25">
      <c r="A1899" s="3">
        <v>45386</v>
      </c>
      <c r="B1899" t="s">
        <v>18</v>
      </c>
      <c r="C1899" t="s">
        <v>66</v>
      </c>
      <c r="D1899" t="s">
        <v>20</v>
      </c>
      <c r="E1899" t="s">
        <v>67</v>
      </c>
      <c r="F1899" t="s">
        <v>49</v>
      </c>
      <c r="G1899" t="s">
        <v>50</v>
      </c>
      <c r="H1899" t="s">
        <v>49</v>
      </c>
      <c r="I1899">
        <v>0.09</v>
      </c>
      <c r="J1899">
        <f t="shared" si="87"/>
        <v>60.3</v>
      </c>
      <c r="K1899">
        <v>4</v>
      </c>
      <c r="L1899">
        <f t="shared" si="88"/>
        <v>56.3</v>
      </c>
      <c r="M1899" s="4">
        <f t="shared" si="89"/>
        <v>7.5066666666666657E-2</v>
      </c>
      <c r="N1899">
        <v>750</v>
      </c>
      <c r="O1899">
        <v>670</v>
      </c>
      <c r="P1899" t="s">
        <v>25</v>
      </c>
      <c r="Q1899" t="s">
        <v>26</v>
      </c>
      <c r="R1899" t="str">
        <f>IF(COUNTIF(Sheet2!B:B, A1899) &gt; 0, "Yes", "No")</f>
        <v>No</v>
      </c>
    </row>
    <row r="1900" spans="1:18" x14ac:dyDescent="0.25">
      <c r="A1900" s="3">
        <v>45387</v>
      </c>
      <c r="B1900" t="s">
        <v>18</v>
      </c>
      <c r="C1900" t="s">
        <v>79</v>
      </c>
      <c r="D1900" t="s">
        <v>20</v>
      </c>
      <c r="E1900" t="s">
        <v>21</v>
      </c>
      <c r="F1900" t="s">
        <v>22</v>
      </c>
      <c r="G1900" t="s">
        <v>23</v>
      </c>
      <c r="H1900" t="s">
        <v>106</v>
      </c>
      <c r="I1900" s="5">
        <v>0.06</v>
      </c>
      <c r="J1900">
        <f t="shared" si="87"/>
        <v>33</v>
      </c>
      <c r="K1900">
        <v>2.5</v>
      </c>
      <c r="L1900">
        <f t="shared" si="88"/>
        <v>30.5</v>
      </c>
      <c r="M1900" s="4">
        <f t="shared" si="89"/>
        <v>5.0833333333333335E-2</v>
      </c>
      <c r="N1900">
        <v>600</v>
      </c>
      <c r="O1900">
        <v>550</v>
      </c>
      <c r="P1900" t="s">
        <v>25</v>
      </c>
      <c r="Q1900" t="s">
        <v>26</v>
      </c>
      <c r="R1900" t="str">
        <f>IF(COUNTIF(Sheet2!B:B, A1900) &gt; 0, "Yes", "No")</f>
        <v>Yes</v>
      </c>
    </row>
    <row r="1901" spans="1:18" x14ac:dyDescent="0.25">
      <c r="A1901" s="3">
        <v>45387</v>
      </c>
      <c r="B1901" t="s">
        <v>18</v>
      </c>
      <c r="C1901" t="s">
        <v>79</v>
      </c>
      <c r="D1901" t="s">
        <v>20</v>
      </c>
      <c r="E1901" t="s">
        <v>21</v>
      </c>
      <c r="F1901" t="s">
        <v>27</v>
      </c>
      <c r="G1901" t="s">
        <v>81</v>
      </c>
      <c r="H1901" t="s">
        <v>310</v>
      </c>
      <c r="I1901" s="5">
        <v>0.1</v>
      </c>
      <c r="J1901">
        <f t="shared" si="87"/>
        <v>55</v>
      </c>
      <c r="K1901">
        <v>2</v>
      </c>
      <c r="L1901">
        <f t="shared" si="88"/>
        <v>53</v>
      </c>
      <c r="M1901" s="4">
        <f t="shared" si="89"/>
        <v>8.8333333333333333E-2</v>
      </c>
      <c r="N1901">
        <v>600</v>
      </c>
      <c r="O1901">
        <v>550</v>
      </c>
      <c r="P1901" t="s">
        <v>25</v>
      </c>
      <c r="Q1901" t="s">
        <v>26</v>
      </c>
      <c r="R1901" t="str">
        <f>IF(COUNTIF(Sheet2!B:B, A1901) &gt; 0, "Yes", "No")</f>
        <v>Yes</v>
      </c>
    </row>
    <row r="1902" spans="1:18" x14ac:dyDescent="0.25">
      <c r="A1902" s="3">
        <v>45387</v>
      </c>
      <c r="B1902" t="s">
        <v>18</v>
      </c>
      <c r="C1902" t="s">
        <v>79</v>
      </c>
      <c r="D1902" t="s">
        <v>20</v>
      </c>
      <c r="E1902" t="s">
        <v>21</v>
      </c>
      <c r="F1902" t="s">
        <v>30</v>
      </c>
      <c r="G1902" t="s">
        <v>55</v>
      </c>
      <c r="H1902" t="s">
        <v>56</v>
      </c>
      <c r="I1902" s="5">
        <v>0.06</v>
      </c>
      <c r="J1902">
        <f t="shared" si="87"/>
        <v>33</v>
      </c>
      <c r="K1902">
        <v>3</v>
      </c>
      <c r="L1902">
        <f t="shared" si="88"/>
        <v>30</v>
      </c>
      <c r="M1902" s="4">
        <f t="shared" si="89"/>
        <v>0.05</v>
      </c>
      <c r="N1902">
        <v>600</v>
      </c>
      <c r="O1902">
        <v>550</v>
      </c>
      <c r="P1902" t="s">
        <v>25</v>
      </c>
      <c r="Q1902" t="s">
        <v>26</v>
      </c>
      <c r="R1902" t="str">
        <f>IF(COUNTIF(Sheet2!B:B, A1902) &gt; 0, "Yes", "No")</f>
        <v>Yes</v>
      </c>
    </row>
    <row r="1903" spans="1:18" x14ac:dyDescent="0.25">
      <c r="A1903" s="3">
        <v>45387</v>
      </c>
      <c r="B1903" t="s">
        <v>18</v>
      </c>
      <c r="C1903" t="s">
        <v>79</v>
      </c>
      <c r="D1903" t="s">
        <v>33</v>
      </c>
      <c r="E1903" t="s">
        <v>21</v>
      </c>
      <c r="F1903" t="s">
        <v>84</v>
      </c>
      <c r="G1903" t="s">
        <v>177</v>
      </c>
      <c r="H1903" t="s">
        <v>220</v>
      </c>
      <c r="I1903" s="5">
        <v>0.3</v>
      </c>
      <c r="J1903">
        <f t="shared" si="87"/>
        <v>115.5</v>
      </c>
      <c r="K1903">
        <v>0</v>
      </c>
      <c r="L1903">
        <f t="shared" si="88"/>
        <v>115.5</v>
      </c>
      <c r="M1903" s="4">
        <f t="shared" si="89"/>
        <v>0.27500000000000002</v>
      </c>
      <c r="N1903">
        <v>420</v>
      </c>
      <c r="O1903">
        <v>385</v>
      </c>
      <c r="P1903" t="s">
        <v>25</v>
      </c>
      <c r="Q1903" t="s">
        <v>26</v>
      </c>
      <c r="R1903" t="str">
        <f>IF(COUNTIF(Sheet2!B:B, A1903) &gt; 0, "Yes", "No")</f>
        <v>Yes</v>
      </c>
    </row>
    <row r="1904" spans="1:18" x14ac:dyDescent="0.25">
      <c r="A1904" s="3">
        <v>45387</v>
      </c>
      <c r="B1904" t="s">
        <v>18</v>
      </c>
      <c r="C1904" t="s">
        <v>79</v>
      </c>
      <c r="D1904" t="s">
        <v>20</v>
      </c>
      <c r="E1904" t="s">
        <v>21</v>
      </c>
      <c r="F1904" t="s">
        <v>37</v>
      </c>
      <c r="G1904" t="s">
        <v>71</v>
      </c>
      <c r="H1904" t="s">
        <v>72</v>
      </c>
      <c r="I1904" s="5">
        <v>2.5000000000000001E-2</v>
      </c>
      <c r="J1904">
        <f t="shared" si="87"/>
        <v>13.75</v>
      </c>
      <c r="K1904">
        <v>2</v>
      </c>
      <c r="L1904">
        <f t="shared" si="88"/>
        <v>11.75</v>
      </c>
      <c r="M1904" s="4">
        <f t="shared" si="89"/>
        <v>1.9583333333333335E-2</v>
      </c>
      <c r="N1904">
        <v>600</v>
      </c>
      <c r="O1904">
        <v>550</v>
      </c>
      <c r="P1904" t="s">
        <v>25</v>
      </c>
      <c r="Q1904" t="s">
        <v>26</v>
      </c>
      <c r="R1904" t="str">
        <f>IF(COUNTIF(Sheet2!B:B, A1904) &gt; 0, "Yes", "No")</f>
        <v>Yes</v>
      </c>
    </row>
    <row r="1905" spans="1:18" x14ac:dyDescent="0.25">
      <c r="A1905" s="3">
        <v>45387</v>
      </c>
      <c r="B1905" t="s">
        <v>18</v>
      </c>
      <c r="C1905" t="s">
        <v>79</v>
      </c>
      <c r="D1905" t="s">
        <v>20</v>
      </c>
      <c r="E1905" t="s">
        <v>21</v>
      </c>
      <c r="F1905" t="s">
        <v>40</v>
      </c>
      <c r="G1905" t="s">
        <v>164</v>
      </c>
      <c r="H1905" t="s">
        <v>328</v>
      </c>
      <c r="I1905" s="5">
        <v>0.04</v>
      </c>
      <c r="J1905">
        <f t="shared" si="87"/>
        <v>22</v>
      </c>
      <c r="K1905">
        <v>2</v>
      </c>
      <c r="L1905">
        <f t="shared" si="88"/>
        <v>20</v>
      </c>
      <c r="M1905" s="4">
        <f t="shared" si="89"/>
        <v>3.3333333333333333E-2</v>
      </c>
      <c r="N1905">
        <v>600</v>
      </c>
      <c r="O1905">
        <v>550</v>
      </c>
      <c r="P1905" t="s">
        <v>25</v>
      </c>
      <c r="Q1905" t="s">
        <v>26</v>
      </c>
      <c r="R1905" t="str">
        <f>IF(COUNTIF(Sheet2!B:B, A1905) &gt; 0, "Yes", "No")</f>
        <v>Yes</v>
      </c>
    </row>
    <row r="1906" spans="1:18" x14ac:dyDescent="0.25">
      <c r="A1906" s="3">
        <v>45387</v>
      </c>
      <c r="B1906" t="s">
        <v>18</v>
      </c>
      <c r="C1906" t="s">
        <v>79</v>
      </c>
      <c r="D1906" t="s">
        <v>20</v>
      </c>
      <c r="E1906" t="s">
        <v>21</v>
      </c>
      <c r="F1906" t="s">
        <v>43</v>
      </c>
      <c r="G1906" t="s">
        <v>139</v>
      </c>
      <c r="H1906" t="s">
        <v>536</v>
      </c>
      <c r="I1906" s="5">
        <v>7.0000000000000007E-2</v>
      </c>
      <c r="J1906">
        <f t="shared" si="87"/>
        <v>38.500000000000007</v>
      </c>
      <c r="K1906">
        <v>1</v>
      </c>
      <c r="L1906">
        <f t="shared" si="88"/>
        <v>37.500000000000007</v>
      </c>
      <c r="M1906" s="4">
        <f t="shared" si="89"/>
        <v>6.2500000000000014E-2</v>
      </c>
      <c r="N1906">
        <v>600</v>
      </c>
      <c r="O1906">
        <v>550</v>
      </c>
      <c r="P1906" t="s">
        <v>25</v>
      </c>
      <c r="Q1906" t="s">
        <v>26</v>
      </c>
      <c r="R1906" t="str">
        <f>IF(COUNTIF(Sheet2!B:B, A1906) &gt; 0, "Yes", "No")</f>
        <v>Yes</v>
      </c>
    </row>
    <row r="1907" spans="1:18" x14ac:dyDescent="0.25">
      <c r="A1907" s="3">
        <v>45387</v>
      </c>
      <c r="B1907" t="s">
        <v>18</v>
      </c>
      <c r="C1907" t="s">
        <v>79</v>
      </c>
      <c r="D1907" t="s">
        <v>20</v>
      </c>
      <c r="E1907" t="s">
        <v>21</v>
      </c>
      <c r="F1907" t="s">
        <v>46</v>
      </c>
      <c r="G1907" t="s">
        <v>47</v>
      </c>
      <c r="H1907" t="s">
        <v>65</v>
      </c>
      <c r="I1907" s="5">
        <v>0.06</v>
      </c>
      <c r="J1907">
        <f t="shared" si="87"/>
        <v>33</v>
      </c>
      <c r="K1907">
        <v>2.5</v>
      </c>
      <c r="L1907">
        <f t="shared" si="88"/>
        <v>30.5</v>
      </c>
      <c r="M1907" s="4">
        <f t="shared" si="89"/>
        <v>5.0833333333333335E-2</v>
      </c>
      <c r="N1907">
        <v>600</v>
      </c>
      <c r="O1907">
        <v>550</v>
      </c>
      <c r="P1907" t="s">
        <v>25</v>
      </c>
      <c r="Q1907" t="s">
        <v>26</v>
      </c>
      <c r="R1907" t="str">
        <f>IF(COUNTIF(Sheet2!B:B, A1907) &gt; 0, "Yes", "No")</f>
        <v>Yes</v>
      </c>
    </row>
    <row r="1908" spans="1:18" x14ac:dyDescent="0.25">
      <c r="A1908" s="3">
        <v>45387</v>
      </c>
      <c r="B1908" t="s">
        <v>18</v>
      </c>
      <c r="C1908" t="s">
        <v>79</v>
      </c>
      <c r="D1908" t="s">
        <v>20</v>
      </c>
      <c r="E1908" t="s">
        <v>21</v>
      </c>
      <c r="F1908" t="s">
        <v>49</v>
      </c>
      <c r="G1908" t="s">
        <v>50</v>
      </c>
      <c r="H1908" t="s">
        <v>49</v>
      </c>
      <c r="I1908" s="5">
        <v>0.04</v>
      </c>
      <c r="J1908">
        <f t="shared" si="87"/>
        <v>22</v>
      </c>
      <c r="K1908">
        <v>1</v>
      </c>
      <c r="L1908">
        <f t="shared" si="88"/>
        <v>21</v>
      </c>
      <c r="M1908" s="4">
        <f t="shared" si="89"/>
        <v>3.5000000000000003E-2</v>
      </c>
      <c r="N1908">
        <v>600</v>
      </c>
      <c r="O1908">
        <v>550</v>
      </c>
      <c r="P1908" t="s">
        <v>25</v>
      </c>
      <c r="Q1908" t="s">
        <v>26</v>
      </c>
      <c r="R1908" t="str">
        <f>IF(COUNTIF(Sheet2!B:B, A1908) &gt; 0, "Yes", "No")</f>
        <v>Yes</v>
      </c>
    </row>
    <row r="1909" spans="1:18" x14ac:dyDescent="0.25">
      <c r="A1909" s="3">
        <v>45392</v>
      </c>
      <c r="B1909" t="s">
        <v>18</v>
      </c>
      <c r="C1909" t="s">
        <v>51</v>
      </c>
      <c r="D1909" t="s">
        <v>20</v>
      </c>
      <c r="E1909" t="s">
        <v>21</v>
      </c>
      <c r="F1909" t="s">
        <v>22</v>
      </c>
      <c r="G1909" t="s">
        <v>23</v>
      </c>
      <c r="H1909" t="s">
        <v>24</v>
      </c>
      <c r="I1909">
        <v>8.5000000000000006E-2</v>
      </c>
      <c r="J1909">
        <f t="shared" si="87"/>
        <v>46.75</v>
      </c>
      <c r="K1909">
        <v>2</v>
      </c>
      <c r="L1909">
        <f t="shared" si="88"/>
        <v>44.75</v>
      </c>
      <c r="M1909" s="4">
        <f t="shared" si="89"/>
        <v>7.4583333333333335E-2</v>
      </c>
      <c r="N1909">
        <v>600</v>
      </c>
      <c r="O1909">
        <v>550</v>
      </c>
      <c r="P1909" t="s">
        <v>322</v>
      </c>
      <c r="Q1909" t="s">
        <v>284</v>
      </c>
      <c r="R1909" t="str">
        <f>IF(COUNTIF(Sheet2!B:B, A1909) &gt; 0, "Yes", "No")</f>
        <v>No</v>
      </c>
    </row>
    <row r="1910" spans="1:18" x14ac:dyDescent="0.25">
      <c r="A1910" s="3">
        <v>45392</v>
      </c>
      <c r="B1910" t="s">
        <v>18</v>
      </c>
      <c r="C1910" t="s">
        <v>51</v>
      </c>
      <c r="D1910" t="s">
        <v>20</v>
      </c>
      <c r="E1910" t="s">
        <v>21</v>
      </c>
      <c r="F1910" t="s">
        <v>27</v>
      </c>
      <c r="G1910" t="s">
        <v>28</v>
      </c>
      <c r="H1910" t="s">
        <v>156</v>
      </c>
      <c r="I1910">
        <v>0.11</v>
      </c>
      <c r="J1910">
        <f t="shared" si="87"/>
        <v>60.5</v>
      </c>
      <c r="K1910">
        <v>4</v>
      </c>
      <c r="L1910">
        <f t="shared" si="88"/>
        <v>56.5</v>
      </c>
      <c r="M1910" s="4">
        <f t="shared" si="89"/>
        <v>9.4166666666666662E-2</v>
      </c>
      <c r="N1910">
        <v>600</v>
      </c>
      <c r="O1910">
        <v>550</v>
      </c>
      <c r="P1910" t="s">
        <v>322</v>
      </c>
      <c r="Q1910" t="s">
        <v>284</v>
      </c>
      <c r="R1910" t="str">
        <f>IF(COUNTIF(Sheet2!B:B, A1910) &gt; 0, "Yes", "No")</f>
        <v>No</v>
      </c>
    </row>
    <row r="1911" spans="1:18" x14ac:dyDescent="0.25">
      <c r="A1911" s="3">
        <v>45392</v>
      </c>
      <c r="B1911" t="s">
        <v>18</v>
      </c>
      <c r="C1911" t="s">
        <v>51</v>
      </c>
      <c r="D1911" t="s">
        <v>20</v>
      </c>
      <c r="E1911" t="s">
        <v>21</v>
      </c>
      <c r="F1911" t="s">
        <v>30</v>
      </c>
      <c r="G1911" t="s">
        <v>31</v>
      </c>
      <c r="H1911" t="s">
        <v>31</v>
      </c>
      <c r="I1911">
        <v>0.09</v>
      </c>
      <c r="J1911">
        <f t="shared" si="87"/>
        <v>49.5</v>
      </c>
      <c r="K1911">
        <v>4</v>
      </c>
      <c r="L1911">
        <f t="shared" si="88"/>
        <v>45.5</v>
      </c>
      <c r="M1911" s="4">
        <f t="shared" si="89"/>
        <v>7.5833333333333336E-2</v>
      </c>
      <c r="N1911">
        <v>600</v>
      </c>
      <c r="O1911">
        <v>550</v>
      </c>
      <c r="P1911" t="s">
        <v>322</v>
      </c>
      <c r="Q1911" t="s">
        <v>284</v>
      </c>
      <c r="R1911" t="str">
        <f>IF(COUNTIF(Sheet2!B:B, A1911) &gt; 0, "Yes", "No")</f>
        <v>No</v>
      </c>
    </row>
    <row r="1912" spans="1:18" x14ac:dyDescent="0.25">
      <c r="A1912" s="3">
        <v>45392</v>
      </c>
      <c r="B1912" t="s">
        <v>18</v>
      </c>
      <c r="C1912" t="s">
        <v>51</v>
      </c>
      <c r="D1912" t="s">
        <v>33</v>
      </c>
      <c r="E1912" t="s">
        <v>21</v>
      </c>
      <c r="F1912" t="s">
        <v>34</v>
      </c>
      <c r="G1912" t="s">
        <v>35</v>
      </c>
      <c r="H1912" t="s">
        <v>330</v>
      </c>
      <c r="I1912">
        <v>0.15</v>
      </c>
      <c r="J1912">
        <f t="shared" si="87"/>
        <v>57.75</v>
      </c>
      <c r="K1912">
        <v>2</v>
      </c>
      <c r="L1912">
        <f t="shared" si="88"/>
        <v>55.75</v>
      </c>
      <c r="M1912" s="4">
        <f t="shared" si="89"/>
        <v>0.13273809523809524</v>
      </c>
      <c r="N1912">
        <v>420</v>
      </c>
      <c r="O1912">
        <v>385</v>
      </c>
      <c r="P1912" t="s">
        <v>322</v>
      </c>
      <c r="Q1912" t="s">
        <v>284</v>
      </c>
      <c r="R1912" t="str">
        <f>IF(COUNTIF(Sheet2!B:B, A1912) &gt; 0, "Yes", "No")</f>
        <v>No</v>
      </c>
    </row>
    <row r="1913" spans="1:18" x14ac:dyDescent="0.25">
      <c r="A1913" s="3">
        <v>45392</v>
      </c>
      <c r="B1913" t="s">
        <v>18</v>
      </c>
      <c r="C1913" t="s">
        <v>51</v>
      </c>
      <c r="D1913" t="s">
        <v>20</v>
      </c>
      <c r="E1913" t="s">
        <v>21</v>
      </c>
      <c r="F1913" t="s">
        <v>37</v>
      </c>
      <c r="G1913" t="s">
        <v>59</v>
      </c>
      <c r="H1913" t="s">
        <v>442</v>
      </c>
      <c r="I1913">
        <v>0.03</v>
      </c>
      <c r="J1913">
        <f t="shared" si="87"/>
        <v>16.5</v>
      </c>
      <c r="K1913">
        <v>4</v>
      </c>
      <c r="L1913">
        <f t="shared" si="88"/>
        <v>12.5</v>
      </c>
      <c r="M1913" s="4">
        <f t="shared" si="89"/>
        <v>2.0833333333333332E-2</v>
      </c>
      <c r="N1913">
        <v>600</v>
      </c>
      <c r="O1913">
        <v>550</v>
      </c>
      <c r="P1913" t="s">
        <v>322</v>
      </c>
      <c r="Q1913" t="s">
        <v>284</v>
      </c>
      <c r="R1913" t="str">
        <f>IF(COUNTIF(Sheet2!B:B, A1913) &gt; 0, "Yes", "No")</f>
        <v>No</v>
      </c>
    </row>
    <row r="1914" spans="1:18" x14ac:dyDescent="0.25">
      <c r="A1914" s="3">
        <v>45392</v>
      </c>
      <c r="B1914" t="s">
        <v>18</v>
      </c>
      <c r="C1914" t="s">
        <v>51</v>
      </c>
      <c r="D1914" t="s">
        <v>20</v>
      </c>
      <c r="E1914" t="s">
        <v>21</v>
      </c>
      <c r="F1914" t="s">
        <v>40</v>
      </c>
      <c r="G1914" t="s">
        <v>537</v>
      </c>
      <c r="H1914" t="s">
        <v>538</v>
      </c>
      <c r="I1914">
        <v>4.4999999999999998E-2</v>
      </c>
      <c r="J1914">
        <f t="shared" si="87"/>
        <v>24.75</v>
      </c>
      <c r="K1914">
        <v>4</v>
      </c>
      <c r="L1914">
        <f t="shared" si="88"/>
        <v>20.75</v>
      </c>
      <c r="M1914" s="4">
        <f t="shared" si="89"/>
        <v>3.4583333333333334E-2</v>
      </c>
      <c r="N1914">
        <v>600</v>
      </c>
      <c r="O1914">
        <v>550</v>
      </c>
      <c r="P1914" t="s">
        <v>322</v>
      </c>
      <c r="Q1914" t="s">
        <v>284</v>
      </c>
      <c r="R1914" t="str">
        <f>IF(COUNTIF(Sheet2!B:B, A1914) &gt; 0, "Yes", "No")</f>
        <v>No</v>
      </c>
    </row>
    <row r="1915" spans="1:18" x14ac:dyDescent="0.25">
      <c r="A1915" s="3">
        <v>45392</v>
      </c>
      <c r="B1915" t="s">
        <v>18</v>
      </c>
      <c r="C1915" t="s">
        <v>51</v>
      </c>
      <c r="D1915" t="s">
        <v>20</v>
      </c>
      <c r="E1915" t="s">
        <v>21</v>
      </c>
      <c r="F1915" t="s">
        <v>43</v>
      </c>
      <c r="G1915" t="s">
        <v>301</v>
      </c>
      <c r="H1915" t="s">
        <v>490</v>
      </c>
      <c r="I1915">
        <v>0.11</v>
      </c>
      <c r="J1915">
        <f t="shared" si="87"/>
        <v>60.5</v>
      </c>
      <c r="K1915">
        <v>5</v>
      </c>
      <c r="L1915">
        <f t="shared" si="88"/>
        <v>55.5</v>
      </c>
      <c r="M1915" s="4">
        <f t="shared" si="89"/>
        <v>9.2499999999999999E-2</v>
      </c>
      <c r="N1915">
        <v>600</v>
      </c>
      <c r="O1915">
        <v>550</v>
      </c>
      <c r="P1915" t="s">
        <v>322</v>
      </c>
      <c r="Q1915" t="s">
        <v>284</v>
      </c>
      <c r="R1915" t="str">
        <f>IF(COUNTIF(Sheet2!B:B, A1915) &gt; 0, "Yes", "No")</f>
        <v>No</v>
      </c>
    </row>
    <row r="1916" spans="1:18" x14ac:dyDescent="0.25">
      <c r="A1916" s="3">
        <v>45392</v>
      </c>
      <c r="B1916" t="s">
        <v>18</v>
      </c>
      <c r="C1916" t="s">
        <v>51</v>
      </c>
      <c r="D1916" t="s">
        <v>20</v>
      </c>
      <c r="E1916" t="s">
        <v>21</v>
      </c>
      <c r="F1916" t="s">
        <v>46</v>
      </c>
      <c r="G1916" t="s">
        <v>256</v>
      </c>
      <c r="H1916" t="s">
        <v>400</v>
      </c>
      <c r="I1916">
        <v>8.5000000000000006E-2</v>
      </c>
      <c r="J1916">
        <f t="shared" si="87"/>
        <v>46.75</v>
      </c>
      <c r="K1916">
        <v>4</v>
      </c>
      <c r="L1916">
        <f t="shared" si="88"/>
        <v>42.75</v>
      </c>
      <c r="M1916" s="4">
        <f t="shared" si="89"/>
        <v>7.1249999999999994E-2</v>
      </c>
      <c r="N1916">
        <v>600</v>
      </c>
      <c r="O1916">
        <v>550</v>
      </c>
      <c r="P1916" t="s">
        <v>322</v>
      </c>
      <c r="Q1916" t="s">
        <v>284</v>
      </c>
      <c r="R1916" t="str">
        <f>IF(COUNTIF(Sheet2!B:B, A1916) &gt; 0, "Yes", "No")</f>
        <v>No</v>
      </c>
    </row>
    <row r="1917" spans="1:18" x14ac:dyDescent="0.25">
      <c r="A1917" s="3">
        <v>45392</v>
      </c>
      <c r="B1917" t="s">
        <v>18</v>
      </c>
      <c r="C1917" t="s">
        <v>51</v>
      </c>
      <c r="D1917" t="s">
        <v>20</v>
      </c>
      <c r="E1917" t="s">
        <v>21</v>
      </c>
      <c r="F1917" t="s">
        <v>49</v>
      </c>
      <c r="G1917" t="s">
        <v>50</v>
      </c>
      <c r="H1917" t="s">
        <v>49</v>
      </c>
      <c r="I1917">
        <v>0.09</v>
      </c>
      <c r="J1917">
        <f t="shared" si="87"/>
        <v>49.5</v>
      </c>
      <c r="K1917">
        <v>4</v>
      </c>
      <c r="L1917">
        <f t="shared" si="88"/>
        <v>45.5</v>
      </c>
      <c r="M1917" s="4">
        <f t="shared" si="89"/>
        <v>7.5833333333333336E-2</v>
      </c>
      <c r="N1917">
        <v>600</v>
      </c>
      <c r="O1917">
        <v>550</v>
      </c>
      <c r="P1917" t="s">
        <v>322</v>
      </c>
      <c r="Q1917" t="s">
        <v>284</v>
      </c>
      <c r="R1917" t="str">
        <f>IF(COUNTIF(Sheet2!B:B, A1917) &gt; 0, "Yes", "No")</f>
        <v>No</v>
      </c>
    </row>
    <row r="1918" spans="1:18" x14ac:dyDescent="0.25">
      <c r="A1918" s="3">
        <v>45397</v>
      </c>
      <c r="B1918" t="s">
        <v>18</v>
      </c>
      <c r="C1918" t="s">
        <v>19</v>
      </c>
      <c r="D1918" t="s">
        <v>20</v>
      </c>
      <c r="E1918" t="s">
        <v>21</v>
      </c>
      <c r="F1918" t="s">
        <v>22</v>
      </c>
      <c r="G1918" t="s">
        <v>23</v>
      </c>
      <c r="H1918" t="s">
        <v>24</v>
      </c>
      <c r="I1918">
        <v>8.5000000000000006E-2</v>
      </c>
      <c r="J1918">
        <f t="shared" si="87"/>
        <v>53.550000000000004</v>
      </c>
      <c r="K1918">
        <v>1</v>
      </c>
      <c r="L1918">
        <f t="shared" si="88"/>
        <v>52.550000000000004</v>
      </c>
      <c r="M1918" s="4">
        <f t="shared" si="89"/>
        <v>7.5071428571428581E-2</v>
      </c>
      <c r="N1918">
        <v>700</v>
      </c>
      <c r="O1918">
        <v>630</v>
      </c>
      <c r="P1918" t="s">
        <v>25</v>
      </c>
      <c r="Q1918" t="s">
        <v>26</v>
      </c>
      <c r="R1918" t="str">
        <f>IF(COUNTIF(Sheet2!B:B, A1918) &gt; 0, "Yes", "No")</f>
        <v>No</v>
      </c>
    </row>
    <row r="1919" spans="1:18" x14ac:dyDescent="0.25">
      <c r="A1919" s="3">
        <v>45397</v>
      </c>
      <c r="B1919" t="s">
        <v>18</v>
      </c>
      <c r="C1919" t="s">
        <v>19</v>
      </c>
      <c r="D1919" t="s">
        <v>20</v>
      </c>
      <c r="E1919" t="s">
        <v>21</v>
      </c>
      <c r="F1919" t="s">
        <v>27</v>
      </c>
      <c r="G1919" t="s">
        <v>144</v>
      </c>
      <c r="H1919" t="s">
        <v>539</v>
      </c>
      <c r="I1919">
        <v>0.11</v>
      </c>
      <c r="J1919">
        <f t="shared" si="87"/>
        <v>69.3</v>
      </c>
      <c r="K1919">
        <v>4</v>
      </c>
      <c r="L1919">
        <f t="shared" si="88"/>
        <v>65.3</v>
      </c>
      <c r="M1919" s="4">
        <f t="shared" si="89"/>
        <v>9.3285714285714277E-2</v>
      </c>
      <c r="N1919">
        <v>700</v>
      </c>
      <c r="O1919">
        <v>630</v>
      </c>
      <c r="P1919" t="s">
        <v>25</v>
      </c>
      <c r="Q1919" t="s">
        <v>26</v>
      </c>
      <c r="R1919" t="str">
        <f>IF(COUNTIF(Sheet2!B:B, A1919) &gt; 0, "Yes", "No")</f>
        <v>No</v>
      </c>
    </row>
    <row r="1920" spans="1:18" x14ac:dyDescent="0.25">
      <c r="A1920" s="3">
        <v>45397</v>
      </c>
      <c r="B1920" t="s">
        <v>18</v>
      </c>
      <c r="C1920" t="s">
        <v>19</v>
      </c>
      <c r="D1920" t="s">
        <v>20</v>
      </c>
      <c r="E1920" t="s">
        <v>21</v>
      </c>
      <c r="F1920" t="s">
        <v>30</v>
      </c>
      <c r="G1920" t="s">
        <v>31</v>
      </c>
      <c r="H1920" t="s">
        <v>31</v>
      </c>
      <c r="I1920">
        <v>0.09</v>
      </c>
      <c r="J1920">
        <f t="shared" si="87"/>
        <v>56.699999999999996</v>
      </c>
      <c r="K1920">
        <v>2</v>
      </c>
      <c r="L1920">
        <f t="shared" si="88"/>
        <v>54.699999999999996</v>
      </c>
      <c r="M1920" s="4">
        <f t="shared" si="89"/>
        <v>7.8142857142857139E-2</v>
      </c>
      <c r="N1920">
        <v>700</v>
      </c>
      <c r="O1920">
        <v>630</v>
      </c>
      <c r="P1920" t="s">
        <v>25</v>
      </c>
      <c r="Q1920" t="s">
        <v>26</v>
      </c>
      <c r="R1920" t="str">
        <f>IF(COUNTIF(Sheet2!B:B, A1920) &gt; 0, "Yes", "No")</f>
        <v>No</v>
      </c>
    </row>
    <row r="1921" spans="1:18" x14ac:dyDescent="0.25">
      <c r="A1921" s="3">
        <v>45397</v>
      </c>
      <c r="B1921" t="s">
        <v>18</v>
      </c>
      <c r="C1921" t="s">
        <v>19</v>
      </c>
      <c r="D1921" t="s">
        <v>33</v>
      </c>
      <c r="E1921" t="s">
        <v>21</v>
      </c>
      <c r="F1921" t="s">
        <v>34</v>
      </c>
      <c r="G1921" t="s">
        <v>35</v>
      </c>
      <c r="H1921" t="s">
        <v>299</v>
      </c>
      <c r="I1921">
        <v>0.15</v>
      </c>
      <c r="J1921">
        <f t="shared" si="87"/>
        <v>66</v>
      </c>
      <c r="K1921">
        <v>1</v>
      </c>
      <c r="L1921">
        <f t="shared" si="88"/>
        <v>65</v>
      </c>
      <c r="M1921" s="4">
        <f t="shared" si="89"/>
        <v>0.1326530612244898</v>
      </c>
      <c r="N1921">
        <v>490</v>
      </c>
      <c r="O1921">
        <v>440</v>
      </c>
      <c r="P1921" t="s">
        <v>25</v>
      </c>
      <c r="Q1921" t="s">
        <v>26</v>
      </c>
      <c r="R1921" t="str">
        <f>IF(COUNTIF(Sheet2!B:B, A1921) &gt; 0, "Yes", "No")</f>
        <v>No</v>
      </c>
    </row>
    <row r="1922" spans="1:18" x14ac:dyDescent="0.25">
      <c r="A1922" s="3">
        <v>45397</v>
      </c>
      <c r="B1922" t="s">
        <v>18</v>
      </c>
      <c r="C1922" t="s">
        <v>19</v>
      </c>
      <c r="D1922" t="s">
        <v>20</v>
      </c>
      <c r="E1922" t="s">
        <v>21</v>
      </c>
      <c r="F1922" t="s">
        <v>37</v>
      </c>
      <c r="G1922" t="s">
        <v>87</v>
      </c>
      <c r="H1922" t="s">
        <v>88</v>
      </c>
      <c r="I1922">
        <v>0.03</v>
      </c>
      <c r="J1922">
        <f t="shared" si="87"/>
        <v>18.899999999999999</v>
      </c>
      <c r="K1922">
        <v>2</v>
      </c>
      <c r="L1922">
        <f t="shared" si="88"/>
        <v>16.899999999999999</v>
      </c>
      <c r="M1922" s="4">
        <f t="shared" si="89"/>
        <v>2.414285714285714E-2</v>
      </c>
      <c r="N1922">
        <v>700</v>
      </c>
      <c r="O1922">
        <v>630</v>
      </c>
      <c r="P1922" t="s">
        <v>25</v>
      </c>
      <c r="Q1922" t="s">
        <v>26</v>
      </c>
      <c r="R1922" t="str">
        <f>IF(COUNTIF(Sheet2!B:B, A1922) &gt; 0, "Yes", "No")</f>
        <v>No</v>
      </c>
    </row>
    <row r="1923" spans="1:18" x14ac:dyDescent="0.25">
      <c r="A1923" s="3">
        <v>45397</v>
      </c>
      <c r="B1923" t="s">
        <v>18</v>
      </c>
      <c r="C1923" t="s">
        <v>19</v>
      </c>
      <c r="D1923" t="s">
        <v>20</v>
      </c>
      <c r="E1923" t="s">
        <v>21</v>
      </c>
      <c r="F1923" t="s">
        <v>40</v>
      </c>
      <c r="G1923" t="s">
        <v>127</v>
      </c>
      <c r="H1923" t="s">
        <v>358</v>
      </c>
      <c r="I1923">
        <v>4.4999999999999998E-2</v>
      </c>
      <c r="J1923">
        <f t="shared" ref="J1923:J1986" si="90">I1923*O1923</f>
        <v>28.349999999999998</v>
      </c>
      <c r="K1923">
        <v>2</v>
      </c>
      <c r="L1923">
        <f t="shared" ref="L1923:L1986" si="91">J1923-K1923</f>
        <v>26.349999999999998</v>
      </c>
      <c r="M1923" s="4">
        <f t="shared" ref="M1923:M1986" si="92">((I1923*O1923)-K1923)/N1923</f>
        <v>3.7642857142857138E-2</v>
      </c>
      <c r="N1923">
        <v>700</v>
      </c>
      <c r="O1923">
        <v>630</v>
      </c>
      <c r="P1923" t="s">
        <v>25</v>
      </c>
      <c r="Q1923" t="s">
        <v>26</v>
      </c>
      <c r="R1923" t="str">
        <f>IF(COUNTIF(Sheet2!B:B, A1923) &gt; 0, "Yes", "No")</f>
        <v>No</v>
      </c>
    </row>
    <row r="1924" spans="1:18" x14ac:dyDescent="0.25">
      <c r="A1924" s="3">
        <v>45397</v>
      </c>
      <c r="B1924" t="s">
        <v>18</v>
      </c>
      <c r="C1924" t="s">
        <v>19</v>
      </c>
      <c r="D1924" t="s">
        <v>20</v>
      </c>
      <c r="E1924" t="s">
        <v>21</v>
      </c>
      <c r="F1924" t="s">
        <v>43</v>
      </c>
      <c r="G1924" t="s">
        <v>44</v>
      </c>
      <c r="H1924" t="s">
        <v>540</v>
      </c>
      <c r="I1924">
        <v>0.11</v>
      </c>
      <c r="J1924">
        <f t="shared" si="90"/>
        <v>69.3</v>
      </c>
      <c r="K1924">
        <v>4</v>
      </c>
      <c r="L1924">
        <f t="shared" si="91"/>
        <v>65.3</v>
      </c>
      <c r="M1924" s="4">
        <f t="shared" si="92"/>
        <v>9.3285714285714277E-2</v>
      </c>
      <c r="N1924">
        <v>700</v>
      </c>
      <c r="O1924">
        <v>630</v>
      </c>
      <c r="P1924" t="s">
        <v>25</v>
      </c>
      <c r="Q1924" t="s">
        <v>26</v>
      </c>
      <c r="R1924" t="str">
        <f>IF(COUNTIF(Sheet2!B:B, A1924) &gt; 0, "Yes", "No")</f>
        <v>No</v>
      </c>
    </row>
    <row r="1925" spans="1:18" x14ac:dyDescent="0.25">
      <c r="A1925" s="3">
        <v>45397</v>
      </c>
      <c r="B1925" t="s">
        <v>18</v>
      </c>
      <c r="C1925" t="s">
        <v>19</v>
      </c>
      <c r="D1925" t="s">
        <v>20</v>
      </c>
      <c r="E1925" t="s">
        <v>21</v>
      </c>
      <c r="F1925" t="s">
        <v>46</v>
      </c>
      <c r="G1925" t="s">
        <v>47</v>
      </c>
      <c r="H1925" t="s">
        <v>141</v>
      </c>
      <c r="I1925">
        <v>8.5000000000000006E-2</v>
      </c>
      <c r="J1925">
        <f t="shared" si="90"/>
        <v>53.550000000000004</v>
      </c>
      <c r="K1925">
        <v>4</v>
      </c>
      <c r="L1925">
        <f t="shared" si="91"/>
        <v>49.550000000000004</v>
      </c>
      <c r="M1925" s="4">
        <f t="shared" si="92"/>
        <v>7.0785714285714285E-2</v>
      </c>
      <c r="N1925">
        <v>700</v>
      </c>
      <c r="O1925">
        <v>630</v>
      </c>
      <c r="P1925" t="s">
        <v>25</v>
      </c>
      <c r="Q1925" t="s">
        <v>26</v>
      </c>
      <c r="R1925" t="str">
        <f>IF(COUNTIF(Sheet2!B:B, A1925) &gt; 0, "Yes", "No")</f>
        <v>No</v>
      </c>
    </row>
    <row r="1926" spans="1:18" x14ac:dyDescent="0.25">
      <c r="A1926" s="3">
        <v>45397</v>
      </c>
      <c r="B1926" t="s">
        <v>18</v>
      </c>
      <c r="C1926" t="s">
        <v>19</v>
      </c>
      <c r="D1926" t="s">
        <v>20</v>
      </c>
      <c r="E1926" t="s">
        <v>21</v>
      </c>
      <c r="F1926" t="s">
        <v>49</v>
      </c>
      <c r="G1926" t="s">
        <v>50</v>
      </c>
      <c r="H1926" t="s">
        <v>49</v>
      </c>
      <c r="I1926">
        <v>0.09</v>
      </c>
      <c r="J1926">
        <f t="shared" si="90"/>
        <v>56.699999999999996</v>
      </c>
      <c r="K1926">
        <v>3</v>
      </c>
      <c r="L1926">
        <f t="shared" si="91"/>
        <v>53.699999999999996</v>
      </c>
      <c r="M1926" s="4">
        <f t="shared" si="92"/>
        <v>7.6714285714285707E-2</v>
      </c>
      <c r="N1926">
        <v>700</v>
      </c>
      <c r="O1926">
        <v>630</v>
      </c>
      <c r="P1926" t="s">
        <v>25</v>
      </c>
      <c r="Q1926" t="s">
        <v>26</v>
      </c>
      <c r="R1926" t="str">
        <f>IF(COUNTIF(Sheet2!B:B, A1926) &gt; 0, "Yes", "No")</f>
        <v>No</v>
      </c>
    </row>
    <row r="1927" spans="1:18" x14ac:dyDescent="0.25">
      <c r="A1927" s="3">
        <v>45398</v>
      </c>
      <c r="B1927" t="s">
        <v>18</v>
      </c>
      <c r="C1927" t="s">
        <v>105</v>
      </c>
      <c r="D1927" t="s">
        <v>20</v>
      </c>
      <c r="E1927" t="s">
        <v>67</v>
      </c>
      <c r="F1927" t="s">
        <v>22</v>
      </c>
      <c r="G1927" t="s">
        <v>94</v>
      </c>
      <c r="H1927" t="s">
        <v>294</v>
      </c>
      <c r="I1927">
        <v>8.5000000000000006E-2</v>
      </c>
      <c r="J1927">
        <f t="shared" si="90"/>
        <v>55.250000000000007</v>
      </c>
      <c r="K1927">
        <v>2</v>
      </c>
      <c r="L1927">
        <f t="shared" si="91"/>
        <v>53.250000000000007</v>
      </c>
      <c r="M1927" s="4">
        <f t="shared" si="92"/>
        <v>7.294520547945206E-2</v>
      </c>
      <c r="N1927">
        <v>730</v>
      </c>
      <c r="O1927">
        <v>650</v>
      </c>
      <c r="P1927" t="s">
        <v>283</v>
      </c>
      <c r="Q1927" t="s">
        <v>320</v>
      </c>
      <c r="R1927" t="str">
        <f>IF(COUNTIF(Sheet2!B:B, A1927) &gt; 0, "Yes", "No")</f>
        <v>No</v>
      </c>
    </row>
    <row r="1928" spans="1:18" x14ac:dyDescent="0.25">
      <c r="A1928" s="3">
        <v>45398</v>
      </c>
      <c r="B1928" t="s">
        <v>18</v>
      </c>
      <c r="C1928" t="s">
        <v>105</v>
      </c>
      <c r="D1928" t="s">
        <v>20</v>
      </c>
      <c r="E1928" t="s">
        <v>67</v>
      </c>
      <c r="F1928" t="s">
        <v>27</v>
      </c>
      <c r="G1928" t="s">
        <v>541</v>
      </c>
      <c r="H1928" t="s">
        <v>541</v>
      </c>
      <c r="I1928">
        <v>0.12</v>
      </c>
      <c r="J1928">
        <f t="shared" si="90"/>
        <v>78</v>
      </c>
      <c r="K1928">
        <v>0</v>
      </c>
      <c r="L1928">
        <f t="shared" si="91"/>
        <v>78</v>
      </c>
      <c r="M1928" s="4">
        <f t="shared" si="92"/>
        <v>0.10684931506849316</v>
      </c>
      <c r="N1928">
        <v>730</v>
      </c>
      <c r="O1928">
        <v>650</v>
      </c>
      <c r="P1928" t="s">
        <v>283</v>
      </c>
      <c r="Q1928" t="s">
        <v>320</v>
      </c>
      <c r="R1928" t="str">
        <f>IF(COUNTIF(Sheet2!B:B, A1928) &gt; 0, "Yes", "No")</f>
        <v>No</v>
      </c>
    </row>
    <row r="1929" spans="1:18" x14ac:dyDescent="0.25">
      <c r="A1929" s="3">
        <v>45398</v>
      </c>
      <c r="B1929" t="s">
        <v>18</v>
      </c>
      <c r="C1929" t="s">
        <v>105</v>
      </c>
      <c r="D1929" t="s">
        <v>20</v>
      </c>
      <c r="E1929" t="s">
        <v>67</v>
      </c>
      <c r="F1929" t="s">
        <v>30</v>
      </c>
      <c r="G1929" t="s">
        <v>55</v>
      </c>
      <c r="H1929" t="s">
        <v>183</v>
      </c>
      <c r="I1929">
        <v>0.09</v>
      </c>
      <c r="J1929">
        <f t="shared" si="90"/>
        <v>58.5</v>
      </c>
      <c r="K1929">
        <v>1</v>
      </c>
      <c r="L1929">
        <f t="shared" si="91"/>
        <v>57.5</v>
      </c>
      <c r="M1929" s="4">
        <f t="shared" si="92"/>
        <v>7.8767123287671229E-2</v>
      </c>
      <c r="N1929">
        <v>730</v>
      </c>
      <c r="O1929">
        <v>650</v>
      </c>
      <c r="P1929" t="s">
        <v>283</v>
      </c>
      <c r="Q1929" t="s">
        <v>320</v>
      </c>
      <c r="R1929" t="str">
        <f>IF(COUNTIF(Sheet2!B:B, A1929) &gt; 0, "Yes", "No")</f>
        <v>No</v>
      </c>
    </row>
    <row r="1930" spans="1:18" x14ac:dyDescent="0.25">
      <c r="A1930" s="3">
        <v>45398</v>
      </c>
      <c r="B1930" t="s">
        <v>18</v>
      </c>
      <c r="C1930" t="s">
        <v>105</v>
      </c>
      <c r="D1930" t="s">
        <v>20</v>
      </c>
      <c r="E1930" t="s">
        <v>67</v>
      </c>
      <c r="F1930" t="s">
        <v>37</v>
      </c>
      <c r="G1930" t="s">
        <v>71</v>
      </c>
      <c r="H1930" t="s">
        <v>72</v>
      </c>
      <c r="I1930">
        <v>3.5000000000000003E-2</v>
      </c>
      <c r="J1930">
        <f t="shared" si="90"/>
        <v>22.750000000000004</v>
      </c>
      <c r="K1930">
        <v>0</v>
      </c>
      <c r="L1930">
        <f t="shared" si="91"/>
        <v>22.750000000000004</v>
      </c>
      <c r="M1930" s="4">
        <f t="shared" si="92"/>
        <v>3.1164383561643839E-2</v>
      </c>
      <c r="N1930">
        <v>730</v>
      </c>
      <c r="O1930">
        <v>650</v>
      </c>
      <c r="P1930" t="s">
        <v>283</v>
      </c>
      <c r="Q1930" t="s">
        <v>320</v>
      </c>
      <c r="R1930" t="str">
        <f>IF(COUNTIF(Sheet2!B:B, A1930) &gt; 0, "Yes", "No")</f>
        <v>No</v>
      </c>
    </row>
    <row r="1931" spans="1:18" x14ac:dyDescent="0.25">
      <c r="A1931" s="3">
        <v>45398</v>
      </c>
      <c r="B1931" t="s">
        <v>18</v>
      </c>
      <c r="C1931" t="s">
        <v>105</v>
      </c>
      <c r="D1931" t="s">
        <v>20</v>
      </c>
      <c r="E1931" t="s">
        <v>67</v>
      </c>
      <c r="F1931" t="s">
        <v>40</v>
      </c>
      <c r="G1931" t="s">
        <v>164</v>
      </c>
      <c r="H1931" t="s">
        <v>202</v>
      </c>
      <c r="I1931">
        <v>0.05</v>
      </c>
      <c r="J1931">
        <f t="shared" si="90"/>
        <v>32.5</v>
      </c>
      <c r="K1931">
        <v>2</v>
      </c>
      <c r="L1931">
        <f t="shared" si="91"/>
        <v>30.5</v>
      </c>
      <c r="M1931" s="4">
        <f t="shared" si="92"/>
        <v>4.1780821917808221E-2</v>
      </c>
      <c r="N1931">
        <v>730</v>
      </c>
      <c r="O1931">
        <v>650</v>
      </c>
      <c r="P1931" t="s">
        <v>283</v>
      </c>
      <c r="Q1931" t="s">
        <v>320</v>
      </c>
      <c r="R1931" t="str">
        <f>IF(COUNTIF(Sheet2!B:B, A1931) &gt; 0, "Yes", "No")</f>
        <v>No</v>
      </c>
    </row>
    <row r="1932" spans="1:18" x14ac:dyDescent="0.25">
      <c r="A1932" s="3">
        <v>45398</v>
      </c>
      <c r="B1932" t="s">
        <v>18</v>
      </c>
      <c r="C1932" t="s">
        <v>105</v>
      </c>
      <c r="D1932" t="s">
        <v>20</v>
      </c>
      <c r="E1932" t="s">
        <v>67</v>
      </c>
      <c r="F1932" t="s">
        <v>43</v>
      </c>
      <c r="G1932" t="s">
        <v>111</v>
      </c>
      <c r="H1932" t="s">
        <v>475</v>
      </c>
      <c r="I1932">
        <v>0.11</v>
      </c>
      <c r="J1932">
        <f t="shared" si="90"/>
        <v>71.5</v>
      </c>
      <c r="K1932">
        <v>0</v>
      </c>
      <c r="L1932">
        <f t="shared" si="91"/>
        <v>71.5</v>
      </c>
      <c r="M1932" s="4">
        <f t="shared" si="92"/>
        <v>9.7945205479452055E-2</v>
      </c>
      <c r="N1932">
        <v>730</v>
      </c>
      <c r="O1932">
        <v>650</v>
      </c>
      <c r="P1932" t="s">
        <v>283</v>
      </c>
      <c r="Q1932" t="s">
        <v>320</v>
      </c>
      <c r="R1932" t="str">
        <f>IF(COUNTIF(Sheet2!B:B, A1932) &gt; 0, "Yes", "No")</f>
        <v>No</v>
      </c>
    </row>
    <row r="1933" spans="1:18" x14ac:dyDescent="0.25">
      <c r="A1933" s="3">
        <v>45398</v>
      </c>
      <c r="B1933" t="s">
        <v>18</v>
      </c>
      <c r="C1933" t="s">
        <v>105</v>
      </c>
      <c r="D1933" t="s">
        <v>20</v>
      </c>
      <c r="E1933" t="s">
        <v>67</v>
      </c>
      <c r="F1933" t="s">
        <v>46</v>
      </c>
      <c r="G1933" t="s">
        <v>47</v>
      </c>
      <c r="H1933" t="s">
        <v>532</v>
      </c>
      <c r="I1933">
        <v>8.5000000000000006E-2</v>
      </c>
      <c r="J1933">
        <f t="shared" si="90"/>
        <v>55.250000000000007</v>
      </c>
      <c r="K1933">
        <v>4</v>
      </c>
      <c r="L1933">
        <f t="shared" si="91"/>
        <v>51.250000000000007</v>
      </c>
      <c r="M1933" s="4">
        <f t="shared" si="92"/>
        <v>7.0205479452054798E-2</v>
      </c>
      <c r="N1933">
        <v>730</v>
      </c>
      <c r="O1933">
        <v>650</v>
      </c>
      <c r="P1933" t="s">
        <v>283</v>
      </c>
      <c r="Q1933" t="s">
        <v>320</v>
      </c>
      <c r="R1933" t="str">
        <f>IF(COUNTIF(Sheet2!B:B, A1933) &gt; 0, "Yes", "No")</f>
        <v>No</v>
      </c>
    </row>
    <row r="1934" spans="1:18" x14ac:dyDescent="0.25">
      <c r="A1934" s="3">
        <v>45398</v>
      </c>
      <c r="B1934" t="s">
        <v>18</v>
      </c>
      <c r="C1934" t="s">
        <v>105</v>
      </c>
      <c r="D1934" t="s">
        <v>20</v>
      </c>
      <c r="E1934" t="s">
        <v>67</v>
      </c>
      <c r="F1934" t="s">
        <v>49</v>
      </c>
      <c r="G1934" t="s">
        <v>50</v>
      </c>
      <c r="H1934" t="s">
        <v>49</v>
      </c>
      <c r="I1934">
        <v>0.09</v>
      </c>
      <c r="J1934">
        <f t="shared" si="90"/>
        <v>58.5</v>
      </c>
      <c r="K1934">
        <v>0</v>
      </c>
      <c r="L1934">
        <f t="shared" si="91"/>
        <v>58.5</v>
      </c>
      <c r="M1934" s="4">
        <f t="shared" si="92"/>
        <v>8.0136986301369867E-2</v>
      </c>
      <c r="N1934">
        <v>730</v>
      </c>
      <c r="O1934">
        <v>650</v>
      </c>
      <c r="P1934" t="s">
        <v>283</v>
      </c>
      <c r="Q1934" t="s">
        <v>320</v>
      </c>
      <c r="R1934" t="str">
        <f>IF(COUNTIF(Sheet2!B:B, A1934) &gt; 0, "Yes", "No")</f>
        <v>No</v>
      </c>
    </row>
    <row r="1935" spans="1:18" x14ac:dyDescent="0.25">
      <c r="A1935" s="3">
        <v>45399</v>
      </c>
      <c r="B1935" t="s">
        <v>18</v>
      </c>
      <c r="C1935" t="s">
        <v>51</v>
      </c>
      <c r="D1935" t="s">
        <v>20</v>
      </c>
      <c r="E1935" t="s">
        <v>21</v>
      </c>
      <c r="F1935" t="s">
        <v>22</v>
      </c>
      <c r="G1935" t="s">
        <v>94</v>
      </c>
      <c r="H1935" t="s">
        <v>368</v>
      </c>
      <c r="I1935">
        <v>8.5000000000000006E-2</v>
      </c>
      <c r="J1935">
        <f t="shared" si="90"/>
        <v>56.95</v>
      </c>
      <c r="K1935">
        <v>0</v>
      </c>
      <c r="L1935">
        <f t="shared" si="91"/>
        <v>56.95</v>
      </c>
      <c r="M1935" s="4">
        <f t="shared" si="92"/>
        <v>7.5933333333333339E-2</v>
      </c>
      <c r="N1935">
        <v>750</v>
      </c>
      <c r="O1935">
        <v>670</v>
      </c>
      <c r="P1935" t="s">
        <v>341</v>
      </c>
      <c r="Q1935" t="s">
        <v>320</v>
      </c>
      <c r="R1935" t="str">
        <f>IF(COUNTIF(Sheet2!B:B, A1935) &gt; 0, "Yes", "No")</f>
        <v>No</v>
      </c>
    </row>
    <row r="1936" spans="1:18" x14ac:dyDescent="0.25">
      <c r="A1936" s="3">
        <v>45399</v>
      </c>
      <c r="B1936" t="s">
        <v>18</v>
      </c>
      <c r="C1936" t="s">
        <v>51</v>
      </c>
      <c r="D1936" t="s">
        <v>20</v>
      </c>
      <c r="E1936" t="s">
        <v>21</v>
      </c>
      <c r="F1936" t="s">
        <v>27</v>
      </c>
      <c r="G1936" t="s">
        <v>28</v>
      </c>
      <c r="H1936" t="s">
        <v>182</v>
      </c>
      <c r="I1936">
        <v>0.11</v>
      </c>
      <c r="J1936">
        <f t="shared" si="90"/>
        <v>73.7</v>
      </c>
      <c r="K1936">
        <v>3</v>
      </c>
      <c r="L1936">
        <f t="shared" si="91"/>
        <v>70.7</v>
      </c>
      <c r="M1936" s="4">
        <f t="shared" si="92"/>
        <v>9.4266666666666665E-2</v>
      </c>
      <c r="N1936">
        <v>750</v>
      </c>
      <c r="O1936">
        <v>670</v>
      </c>
      <c r="P1936" t="s">
        <v>341</v>
      </c>
      <c r="Q1936" t="s">
        <v>320</v>
      </c>
      <c r="R1936" t="str">
        <f>IF(COUNTIF(Sheet2!B:B, A1936) &gt; 0, "Yes", "No")</f>
        <v>No</v>
      </c>
    </row>
    <row r="1937" spans="1:18" x14ac:dyDescent="0.25">
      <c r="A1937" s="3">
        <v>45399</v>
      </c>
      <c r="B1937" t="s">
        <v>18</v>
      </c>
      <c r="C1937" t="s">
        <v>51</v>
      </c>
      <c r="D1937" t="s">
        <v>20</v>
      </c>
      <c r="E1937" t="s">
        <v>21</v>
      </c>
      <c r="F1937" t="s">
        <v>30</v>
      </c>
      <c r="G1937" t="s">
        <v>55</v>
      </c>
      <c r="H1937" t="s">
        <v>97</v>
      </c>
      <c r="I1937">
        <v>0.09</v>
      </c>
      <c r="J1937">
        <f t="shared" si="90"/>
        <v>60.3</v>
      </c>
      <c r="K1937">
        <v>2</v>
      </c>
      <c r="L1937">
        <f t="shared" si="91"/>
        <v>58.3</v>
      </c>
      <c r="M1937" s="4">
        <f t="shared" si="92"/>
        <v>7.7733333333333335E-2</v>
      </c>
      <c r="N1937">
        <v>750</v>
      </c>
      <c r="O1937">
        <v>670</v>
      </c>
      <c r="P1937" t="s">
        <v>341</v>
      </c>
      <c r="Q1937" t="s">
        <v>320</v>
      </c>
      <c r="R1937" t="str">
        <f>IF(COUNTIF(Sheet2!B:B, A1937) &gt; 0, "Yes", "No")</f>
        <v>No</v>
      </c>
    </row>
    <row r="1938" spans="1:18" x14ac:dyDescent="0.25">
      <c r="A1938" s="3">
        <v>45399</v>
      </c>
      <c r="B1938" t="s">
        <v>18</v>
      </c>
      <c r="C1938" t="s">
        <v>51</v>
      </c>
      <c r="D1938" t="s">
        <v>33</v>
      </c>
      <c r="E1938" t="s">
        <v>21</v>
      </c>
      <c r="F1938" t="s">
        <v>34</v>
      </c>
      <c r="G1938" t="s">
        <v>35</v>
      </c>
      <c r="H1938" t="s">
        <v>542</v>
      </c>
      <c r="I1938">
        <v>0.15</v>
      </c>
      <c r="J1938">
        <f t="shared" si="90"/>
        <v>50.25</v>
      </c>
      <c r="K1938">
        <v>0.05</v>
      </c>
      <c r="L1938">
        <f t="shared" si="91"/>
        <v>50.2</v>
      </c>
      <c r="M1938" s="4">
        <f t="shared" si="92"/>
        <v>0.13386666666666666</v>
      </c>
      <c r="N1938">
        <v>375</v>
      </c>
      <c r="O1938">
        <v>335</v>
      </c>
      <c r="P1938" t="s">
        <v>341</v>
      </c>
      <c r="Q1938" t="s">
        <v>320</v>
      </c>
      <c r="R1938" t="str">
        <f>IF(COUNTIF(Sheet2!B:B, A1938) &gt; 0, "Yes", "No")</f>
        <v>No</v>
      </c>
    </row>
    <row r="1939" spans="1:18" x14ac:dyDescent="0.25">
      <c r="A1939" s="3">
        <v>45399</v>
      </c>
      <c r="B1939" t="s">
        <v>18</v>
      </c>
      <c r="C1939" t="s">
        <v>51</v>
      </c>
      <c r="D1939" t="s">
        <v>20</v>
      </c>
      <c r="E1939" t="s">
        <v>21</v>
      </c>
      <c r="F1939" t="s">
        <v>37</v>
      </c>
      <c r="G1939" t="s">
        <v>59</v>
      </c>
      <c r="H1939" t="s">
        <v>60</v>
      </c>
      <c r="I1939">
        <v>0.03</v>
      </c>
      <c r="J1939">
        <f t="shared" si="90"/>
        <v>20.099999999999998</v>
      </c>
      <c r="K1939">
        <v>0.25</v>
      </c>
      <c r="L1939">
        <f t="shared" si="91"/>
        <v>19.849999999999998</v>
      </c>
      <c r="M1939" s="4">
        <f t="shared" si="92"/>
        <v>2.6466666666666663E-2</v>
      </c>
      <c r="N1939">
        <v>750</v>
      </c>
      <c r="O1939">
        <v>670</v>
      </c>
      <c r="P1939" t="s">
        <v>341</v>
      </c>
      <c r="Q1939" t="s">
        <v>320</v>
      </c>
      <c r="R1939" t="str">
        <f>IF(COUNTIF(Sheet2!B:B, A1939) &gt; 0, "Yes", "No")</f>
        <v>No</v>
      </c>
    </row>
    <row r="1940" spans="1:18" x14ac:dyDescent="0.25">
      <c r="A1940" s="3">
        <v>45399</v>
      </c>
      <c r="B1940" t="s">
        <v>18</v>
      </c>
      <c r="C1940" t="s">
        <v>51</v>
      </c>
      <c r="D1940" t="s">
        <v>20</v>
      </c>
      <c r="E1940" t="s">
        <v>21</v>
      </c>
      <c r="F1940" t="s">
        <v>40</v>
      </c>
      <c r="G1940" t="s">
        <v>61</v>
      </c>
      <c r="H1940" t="s">
        <v>62</v>
      </c>
      <c r="I1940">
        <v>4.4999999999999998E-2</v>
      </c>
      <c r="J1940">
        <f t="shared" si="90"/>
        <v>30.15</v>
      </c>
      <c r="K1940">
        <v>1</v>
      </c>
      <c r="L1940">
        <f t="shared" si="91"/>
        <v>29.15</v>
      </c>
      <c r="M1940" s="4">
        <f t="shared" si="92"/>
        <v>3.8866666666666667E-2</v>
      </c>
      <c r="N1940">
        <v>750</v>
      </c>
      <c r="O1940">
        <v>670</v>
      </c>
      <c r="P1940" t="s">
        <v>341</v>
      </c>
      <c r="Q1940" t="s">
        <v>320</v>
      </c>
      <c r="R1940" t="str">
        <f>IF(COUNTIF(Sheet2!B:B, A1940) &gt; 0, "Yes", "No")</f>
        <v>No</v>
      </c>
    </row>
    <row r="1941" spans="1:18" x14ac:dyDescent="0.25">
      <c r="A1941" s="3">
        <v>45399</v>
      </c>
      <c r="B1941" t="s">
        <v>18</v>
      </c>
      <c r="C1941" t="s">
        <v>51</v>
      </c>
      <c r="D1941" t="s">
        <v>20</v>
      </c>
      <c r="E1941" t="s">
        <v>21</v>
      </c>
      <c r="F1941" t="s">
        <v>43</v>
      </c>
      <c r="G1941" t="s">
        <v>90</v>
      </c>
      <c r="H1941" t="s">
        <v>543</v>
      </c>
      <c r="I1941">
        <v>0.11</v>
      </c>
      <c r="J1941">
        <f t="shared" si="90"/>
        <v>73.7</v>
      </c>
      <c r="K1941">
        <v>3</v>
      </c>
      <c r="L1941">
        <f t="shared" si="91"/>
        <v>70.7</v>
      </c>
      <c r="M1941" s="4">
        <f t="shared" si="92"/>
        <v>9.4266666666666665E-2</v>
      </c>
      <c r="N1941">
        <v>750</v>
      </c>
      <c r="O1941">
        <v>670</v>
      </c>
      <c r="P1941" t="s">
        <v>341</v>
      </c>
      <c r="Q1941" t="s">
        <v>320</v>
      </c>
      <c r="R1941" t="str">
        <f>IF(COUNTIF(Sheet2!B:B, A1941) &gt; 0, "Yes", "No")</f>
        <v>No</v>
      </c>
    </row>
    <row r="1942" spans="1:18" x14ac:dyDescent="0.25">
      <c r="A1942" s="3">
        <v>45399</v>
      </c>
      <c r="B1942" t="s">
        <v>18</v>
      </c>
      <c r="C1942" t="s">
        <v>51</v>
      </c>
      <c r="D1942" t="s">
        <v>20</v>
      </c>
      <c r="E1942" t="s">
        <v>21</v>
      </c>
      <c r="F1942" t="s">
        <v>46</v>
      </c>
      <c r="G1942" t="s">
        <v>167</v>
      </c>
      <c r="H1942" t="s">
        <v>167</v>
      </c>
      <c r="I1942">
        <v>8.5000000000000006E-2</v>
      </c>
      <c r="J1942">
        <f t="shared" si="90"/>
        <v>56.95</v>
      </c>
      <c r="K1942">
        <v>0</v>
      </c>
      <c r="L1942">
        <f t="shared" si="91"/>
        <v>56.95</v>
      </c>
      <c r="M1942" s="4">
        <f t="shared" si="92"/>
        <v>7.5933333333333339E-2</v>
      </c>
      <c r="N1942">
        <v>750</v>
      </c>
      <c r="O1942">
        <v>670</v>
      </c>
      <c r="P1942" t="s">
        <v>341</v>
      </c>
      <c r="Q1942" t="s">
        <v>320</v>
      </c>
      <c r="R1942" t="str">
        <f>IF(COUNTIF(Sheet2!B:B, A1942) &gt; 0, "Yes", "No")</f>
        <v>No</v>
      </c>
    </row>
    <row r="1943" spans="1:18" x14ac:dyDescent="0.25">
      <c r="A1943" s="3">
        <v>45399</v>
      </c>
      <c r="B1943" t="s">
        <v>18</v>
      </c>
      <c r="C1943" t="s">
        <v>51</v>
      </c>
      <c r="D1943" t="s">
        <v>20</v>
      </c>
      <c r="E1943" t="s">
        <v>21</v>
      </c>
      <c r="F1943" t="s">
        <v>49</v>
      </c>
      <c r="G1943" t="s">
        <v>50</v>
      </c>
      <c r="H1943" t="s">
        <v>49</v>
      </c>
      <c r="I1943">
        <v>0.09</v>
      </c>
      <c r="J1943">
        <f t="shared" si="90"/>
        <v>60.3</v>
      </c>
      <c r="K1943">
        <v>3</v>
      </c>
      <c r="L1943">
        <f t="shared" si="91"/>
        <v>57.3</v>
      </c>
      <c r="M1943" s="4">
        <f t="shared" si="92"/>
        <v>7.6399999999999996E-2</v>
      </c>
      <c r="N1943">
        <v>750</v>
      </c>
      <c r="O1943">
        <v>670</v>
      </c>
      <c r="P1943" t="s">
        <v>341</v>
      </c>
      <c r="Q1943" t="s">
        <v>320</v>
      </c>
      <c r="R1943" t="str">
        <f>IF(COUNTIF(Sheet2!B:B, A1943) &gt; 0, "Yes", "No")</f>
        <v>No</v>
      </c>
    </row>
    <row r="1944" spans="1:18" x14ac:dyDescent="0.25">
      <c r="A1944" s="3">
        <v>45400</v>
      </c>
      <c r="B1944" t="s">
        <v>18</v>
      </c>
      <c r="C1944" t="s">
        <v>66</v>
      </c>
      <c r="D1944" t="s">
        <v>20</v>
      </c>
      <c r="E1944" t="s">
        <v>67</v>
      </c>
      <c r="F1944" t="s">
        <v>22</v>
      </c>
      <c r="G1944" t="s">
        <v>52</v>
      </c>
      <c r="H1944" t="s">
        <v>68</v>
      </c>
      <c r="I1944">
        <v>8.5000000000000006E-2</v>
      </c>
      <c r="J1944">
        <f t="shared" si="90"/>
        <v>55.250000000000007</v>
      </c>
      <c r="K1944">
        <v>3</v>
      </c>
      <c r="L1944">
        <f t="shared" si="91"/>
        <v>52.250000000000007</v>
      </c>
      <c r="M1944" s="4">
        <f t="shared" si="92"/>
        <v>7.256944444444445E-2</v>
      </c>
      <c r="N1944">
        <v>720</v>
      </c>
      <c r="O1944">
        <v>650</v>
      </c>
      <c r="P1944" t="s">
        <v>322</v>
      </c>
      <c r="Q1944" t="s">
        <v>320</v>
      </c>
      <c r="R1944" t="str">
        <f>IF(COUNTIF(Sheet2!B:B, A1944) &gt; 0, "Yes", "No")</f>
        <v>No</v>
      </c>
    </row>
    <row r="1945" spans="1:18" x14ac:dyDescent="0.25">
      <c r="A1945" s="3">
        <v>45400</v>
      </c>
      <c r="B1945" t="s">
        <v>18</v>
      </c>
      <c r="C1945" t="s">
        <v>66</v>
      </c>
      <c r="D1945" t="s">
        <v>20</v>
      </c>
      <c r="E1945" t="s">
        <v>67</v>
      </c>
      <c r="F1945" t="s">
        <v>27</v>
      </c>
      <c r="G1945" t="s">
        <v>541</v>
      </c>
      <c r="H1945" t="s">
        <v>541</v>
      </c>
      <c r="I1945">
        <v>0.12</v>
      </c>
      <c r="J1945">
        <f t="shared" si="90"/>
        <v>78</v>
      </c>
      <c r="K1945">
        <v>0</v>
      </c>
      <c r="L1945">
        <f t="shared" si="91"/>
        <v>78</v>
      </c>
      <c r="M1945" s="4">
        <f t="shared" si="92"/>
        <v>0.10833333333333334</v>
      </c>
      <c r="N1945">
        <v>720</v>
      </c>
      <c r="O1945">
        <v>650</v>
      </c>
      <c r="P1945" t="s">
        <v>322</v>
      </c>
      <c r="Q1945" t="s">
        <v>320</v>
      </c>
      <c r="R1945" t="str">
        <f>IF(COUNTIF(Sheet2!B:B, A1945) &gt; 0, "Yes", "No")</f>
        <v>No</v>
      </c>
    </row>
    <row r="1946" spans="1:18" x14ac:dyDescent="0.25">
      <c r="A1946" s="3">
        <v>45400</v>
      </c>
      <c r="B1946" t="s">
        <v>18</v>
      </c>
      <c r="C1946" t="s">
        <v>66</v>
      </c>
      <c r="D1946" t="s">
        <v>20</v>
      </c>
      <c r="E1946" t="s">
        <v>67</v>
      </c>
      <c r="F1946" t="s">
        <v>30</v>
      </c>
      <c r="G1946" t="s">
        <v>55</v>
      </c>
      <c r="H1946" t="s">
        <v>56</v>
      </c>
      <c r="I1946">
        <v>0.09</v>
      </c>
      <c r="J1946">
        <f t="shared" si="90"/>
        <v>58.5</v>
      </c>
      <c r="K1946">
        <v>1</v>
      </c>
      <c r="L1946">
        <f t="shared" si="91"/>
        <v>57.5</v>
      </c>
      <c r="M1946" s="4">
        <f t="shared" si="92"/>
        <v>7.9861111111111105E-2</v>
      </c>
      <c r="N1946">
        <v>720</v>
      </c>
      <c r="O1946">
        <v>650</v>
      </c>
      <c r="P1946" t="s">
        <v>322</v>
      </c>
      <c r="Q1946" t="s">
        <v>320</v>
      </c>
      <c r="R1946" t="str">
        <f>IF(COUNTIF(Sheet2!B:B, A1946) &gt; 0, "Yes", "No")</f>
        <v>No</v>
      </c>
    </row>
    <row r="1947" spans="1:18" x14ac:dyDescent="0.25">
      <c r="A1947" s="3">
        <v>45400</v>
      </c>
      <c r="B1947" t="s">
        <v>18</v>
      </c>
      <c r="C1947" t="s">
        <v>66</v>
      </c>
      <c r="D1947" t="s">
        <v>20</v>
      </c>
      <c r="E1947" t="s">
        <v>67</v>
      </c>
      <c r="F1947" t="s">
        <v>37</v>
      </c>
      <c r="G1947" t="s">
        <v>87</v>
      </c>
      <c r="H1947" t="s">
        <v>136</v>
      </c>
      <c r="I1947">
        <v>3.5000000000000003E-2</v>
      </c>
      <c r="J1947">
        <f t="shared" si="90"/>
        <v>22.750000000000004</v>
      </c>
      <c r="K1947">
        <v>4</v>
      </c>
      <c r="L1947">
        <f t="shared" si="91"/>
        <v>18.750000000000004</v>
      </c>
      <c r="M1947" s="4">
        <f t="shared" si="92"/>
        <v>2.6041666666666671E-2</v>
      </c>
      <c r="N1947">
        <v>720</v>
      </c>
      <c r="O1947">
        <v>650</v>
      </c>
      <c r="P1947" t="s">
        <v>322</v>
      </c>
      <c r="Q1947" t="s">
        <v>320</v>
      </c>
      <c r="R1947" t="str">
        <f>IF(COUNTIF(Sheet2!B:B, A1947) &gt; 0, "Yes", "No")</f>
        <v>No</v>
      </c>
    </row>
    <row r="1948" spans="1:18" x14ac:dyDescent="0.25">
      <c r="A1948" s="3">
        <v>45400</v>
      </c>
      <c r="B1948" t="s">
        <v>18</v>
      </c>
      <c r="C1948" t="s">
        <v>66</v>
      </c>
      <c r="D1948" t="s">
        <v>20</v>
      </c>
      <c r="E1948" t="s">
        <v>67</v>
      </c>
      <c r="F1948" t="s">
        <v>40</v>
      </c>
      <c r="G1948" t="s">
        <v>73</v>
      </c>
      <c r="H1948" t="s">
        <v>74</v>
      </c>
      <c r="I1948">
        <v>0.05</v>
      </c>
      <c r="J1948">
        <f t="shared" si="90"/>
        <v>32.5</v>
      </c>
      <c r="K1948">
        <v>5</v>
      </c>
      <c r="L1948">
        <f t="shared" si="91"/>
        <v>27.5</v>
      </c>
      <c r="M1948" s="4">
        <f t="shared" si="92"/>
        <v>3.8194444444444448E-2</v>
      </c>
      <c r="N1948">
        <v>720</v>
      </c>
      <c r="O1948">
        <v>650</v>
      </c>
      <c r="P1948" t="s">
        <v>322</v>
      </c>
      <c r="Q1948" t="s">
        <v>320</v>
      </c>
      <c r="R1948" t="str">
        <f>IF(COUNTIF(Sheet2!B:B, A1948) &gt; 0, "Yes", "No")</f>
        <v>No</v>
      </c>
    </row>
    <row r="1949" spans="1:18" x14ac:dyDescent="0.25">
      <c r="A1949" s="3">
        <v>45400</v>
      </c>
      <c r="B1949" t="s">
        <v>18</v>
      </c>
      <c r="C1949" t="s">
        <v>66</v>
      </c>
      <c r="D1949" t="s">
        <v>20</v>
      </c>
      <c r="E1949" t="s">
        <v>67</v>
      </c>
      <c r="F1949" t="s">
        <v>43</v>
      </c>
      <c r="G1949" t="s">
        <v>139</v>
      </c>
      <c r="H1949" t="s">
        <v>501</v>
      </c>
      <c r="I1949">
        <v>0.11</v>
      </c>
      <c r="J1949">
        <f t="shared" si="90"/>
        <v>71.5</v>
      </c>
      <c r="K1949">
        <v>6</v>
      </c>
      <c r="L1949">
        <f t="shared" si="91"/>
        <v>65.5</v>
      </c>
      <c r="M1949" s="4">
        <f t="shared" si="92"/>
        <v>9.0972222222222218E-2</v>
      </c>
      <c r="N1949">
        <v>720</v>
      </c>
      <c r="O1949">
        <v>650</v>
      </c>
      <c r="P1949" t="s">
        <v>322</v>
      </c>
      <c r="Q1949" t="s">
        <v>320</v>
      </c>
      <c r="R1949" t="str">
        <f>IF(COUNTIF(Sheet2!B:B, A1949) &gt; 0, "Yes", "No")</f>
        <v>No</v>
      </c>
    </row>
    <row r="1950" spans="1:18" x14ac:dyDescent="0.25">
      <c r="A1950" s="3">
        <v>45400</v>
      </c>
      <c r="B1950" t="s">
        <v>18</v>
      </c>
      <c r="C1950" t="s">
        <v>66</v>
      </c>
      <c r="D1950" t="s">
        <v>20</v>
      </c>
      <c r="E1950" t="s">
        <v>67</v>
      </c>
      <c r="F1950" t="s">
        <v>46</v>
      </c>
      <c r="G1950" t="s">
        <v>47</v>
      </c>
      <c r="H1950" t="s">
        <v>544</v>
      </c>
      <c r="I1950">
        <v>8.5000000000000006E-2</v>
      </c>
      <c r="J1950">
        <f t="shared" si="90"/>
        <v>55.250000000000007</v>
      </c>
      <c r="K1950">
        <v>0</v>
      </c>
      <c r="L1950">
        <f t="shared" si="91"/>
        <v>55.250000000000007</v>
      </c>
      <c r="M1950" s="4">
        <f t="shared" si="92"/>
        <v>7.6736111111111116E-2</v>
      </c>
      <c r="N1950">
        <v>720</v>
      </c>
      <c r="O1950">
        <v>650</v>
      </c>
      <c r="P1950" t="s">
        <v>322</v>
      </c>
      <c r="Q1950" t="s">
        <v>320</v>
      </c>
      <c r="R1950" t="str">
        <f>IF(COUNTIF(Sheet2!B:B, A1950) &gt; 0, "Yes", "No")</f>
        <v>No</v>
      </c>
    </row>
    <row r="1951" spans="1:18" x14ac:dyDescent="0.25">
      <c r="A1951" s="3">
        <v>45400</v>
      </c>
      <c r="B1951" t="s">
        <v>18</v>
      </c>
      <c r="C1951" t="s">
        <v>66</v>
      </c>
      <c r="D1951" t="s">
        <v>20</v>
      </c>
      <c r="E1951" t="s">
        <v>67</v>
      </c>
      <c r="F1951" t="s">
        <v>49</v>
      </c>
      <c r="G1951" t="s">
        <v>50</v>
      </c>
      <c r="H1951" t="s">
        <v>49</v>
      </c>
      <c r="I1951">
        <v>0.09</v>
      </c>
      <c r="J1951">
        <f t="shared" si="90"/>
        <v>58.5</v>
      </c>
      <c r="K1951">
        <v>0</v>
      </c>
      <c r="L1951">
        <f t="shared" si="91"/>
        <v>58.5</v>
      </c>
      <c r="M1951" s="4">
        <f t="shared" si="92"/>
        <v>8.1250000000000003E-2</v>
      </c>
      <c r="N1951">
        <v>720</v>
      </c>
      <c r="O1951">
        <v>650</v>
      </c>
      <c r="P1951" t="s">
        <v>322</v>
      </c>
      <c r="Q1951" t="s">
        <v>320</v>
      </c>
      <c r="R1951" t="str">
        <f>IF(COUNTIF(Sheet2!B:B, A1951) &gt; 0, "Yes", "No")</f>
        <v>No</v>
      </c>
    </row>
    <row r="1952" spans="1:18" x14ac:dyDescent="0.25">
      <c r="A1952" s="3">
        <v>45401</v>
      </c>
      <c r="B1952" t="s">
        <v>18</v>
      </c>
      <c r="C1952" t="s">
        <v>79</v>
      </c>
      <c r="D1952" t="s">
        <v>20</v>
      </c>
      <c r="E1952" t="s">
        <v>21</v>
      </c>
      <c r="F1952" t="s">
        <v>22</v>
      </c>
      <c r="G1952" t="s">
        <v>122</v>
      </c>
      <c r="H1952" t="s">
        <v>296</v>
      </c>
      <c r="I1952" s="5">
        <v>0.06</v>
      </c>
      <c r="J1952">
        <f t="shared" si="90"/>
        <v>33</v>
      </c>
      <c r="K1952">
        <v>1</v>
      </c>
      <c r="L1952">
        <f t="shared" si="91"/>
        <v>32</v>
      </c>
      <c r="M1952" s="4">
        <f t="shared" si="92"/>
        <v>5.3333333333333337E-2</v>
      </c>
      <c r="N1952">
        <v>600</v>
      </c>
      <c r="O1952">
        <v>550</v>
      </c>
      <c r="P1952" t="s">
        <v>25</v>
      </c>
      <c r="Q1952" t="s">
        <v>26</v>
      </c>
      <c r="R1952" t="str">
        <f>IF(COUNTIF(Sheet2!B:B, A1952) &gt; 0, "Yes", "No")</f>
        <v>Yes</v>
      </c>
    </row>
    <row r="1953" spans="1:18" x14ac:dyDescent="0.25">
      <c r="A1953" s="3">
        <v>45401</v>
      </c>
      <c r="B1953" t="s">
        <v>18</v>
      </c>
      <c r="C1953" t="s">
        <v>79</v>
      </c>
      <c r="D1953" t="s">
        <v>20</v>
      </c>
      <c r="E1953" t="s">
        <v>21</v>
      </c>
      <c r="F1953" t="s">
        <v>27</v>
      </c>
      <c r="G1953" t="s">
        <v>81</v>
      </c>
      <c r="H1953" t="s">
        <v>297</v>
      </c>
      <c r="I1953" s="5">
        <v>0.1</v>
      </c>
      <c r="J1953">
        <f t="shared" si="90"/>
        <v>55</v>
      </c>
      <c r="K1953">
        <v>1</v>
      </c>
      <c r="L1953">
        <f t="shared" si="91"/>
        <v>54</v>
      </c>
      <c r="M1953" s="4">
        <f t="shared" si="92"/>
        <v>0.09</v>
      </c>
      <c r="N1953">
        <v>600</v>
      </c>
      <c r="O1953">
        <v>550</v>
      </c>
      <c r="P1953" t="s">
        <v>25</v>
      </c>
      <c r="Q1953" t="s">
        <v>26</v>
      </c>
      <c r="R1953" t="str">
        <f>IF(COUNTIF(Sheet2!B:B, A1953) &gt; 0, "Yes", "No")</f>
        <v>Yes</v>
      </c>
    </row>
    <row r="1954" spans="1:18" x14ac:dyDescent="0.25">
      <c r="A1954" s="3">
        <v>45401</v>
      </c>
      <c r="B1954" t="s">
        <v>18</v>
      </c>
      <c r="C1954" t="s">
        <v>79</v>
      </c>
      <c r="D1954" t="s">
        <v>20</v>
      </c>
      <c r="E1954" t="s">
        <v>21</v>
      </c>
      <c r="F1954" t="s">
        <v>30</v>
      </c>
      <c r="G1954" t="s">
        <v>31</v>
      </c>
      <c r="H1954" t="s">
        <v>172</v>
      </c>
      <c r="I1954" s="5">
        <v>0.06</v>
      </c>
      <c r="J1954">
        <f t="shared" si="90"/>
        <v>33</v>
      </c>
      <c r="K1954">
        <v>1</v>
      </c>
      <c r="L1954">
        <f t="shared" si="91"/>
        <v>32</v>
      </c>
      <c r="M1954" s="4">
        <f t="shared" si="92"/>
        <v>5.3333333333333337E-2</v>
      </c>
      <c r="N1954">
        <v>600</v>
      </c>
      <c r="O1954">
        <v>550</v>
      </c>
      <c r="P1954" t="s">
        <v>25</v>
      </c>
      <c r="Q1954" t="s">
        <v>26</v>
      </c>
      <c r="R1954" t="str">
        <f>IF(COUNTIF(Sheet2!B:B, A1954) &gt; 0, "Yes", "No")</f>
        <v>Yes</v>
      </c>
    </row>
    <row r="1955" spans="1:18" x14ac:dyDescent="0.25">
      <c r="A1955" s="3">
        <v>45401</v>
      </c>
      <c r="B1955" t="s">
        <v>18</v>
      </c>
      <c r="C1955" t="s">
        <v>79</v>
      </c>
      <c r="D1955" t="s">
        <v>33</v>
      </c>
      <c r="E1955" t="s">
        <v>21</v>
      </c>
      <c r="F1955" t="s">
        <v>84</v>
      </c>
      <c r="G1955" t="s">
        <v>85</v>
      </c>
      <c r="H1955" t="s">
        <v>135</v>
      </c>
      <c r="I1955" s="5">
        <v>0.3</v>
      </c>
      <c r="J1955">
        <f t="shared" si="90"/>
        <v>115.5</v>
      </c>
      <c r="K1955">
        <v>0</v>
      </c>
      <c r="L1955">
        <f t="shared" si="91"/>
        <v>115.5</v>
      </c>
      <c r="M1955" s="4">
        <f t="shared" si="92"/>
        <v>0.27500000000000002</v>
      </c>
      <c r="N1955">
        <v>420</v>
      </c>
      <c r="O1955">
        <v>385</v>
      </c>
      <c r="P1955" t="s">
        <v>25</v>
      </c>
      <c r="Q1955" t="s">
        <v>26</v>
      </c>
      <c r="R1955" t="str">
        <f>IF(COUNTIF(Sheet2!B:B, A1955) &gt; 0, "Yes", "No")</f>
        <v>Yes</v>
      </c>
    </row>
    <row r="1956" spans="1:18" x14ac:dyDescent="0.25">
      <c r="A1956" s="3">
        <v>45401</v>
      </c>
      <c r="B1956" t="s">
        <v>18</v>
      </c>
      <c r="C1956" t="s">
        <v>79</v>
      </c>
      <c r="D1956" t="s">
        <v>20</v>
      </c>
      <c r="E1956" t="s">
        <v>21</v>
      </c>
      <c r="F1956" t="s">
        <v>37</v>
      </c>
      <c r="G1956" t="s">
        <v>38</v>
      </c>
      <c r="H1956" t="s">
        <v>39</v>
      </c>
      <c r="I1956" s="5">
        <v>2.5000000000000001E-2</v>
      </c>
      <c r="J1956">
        <f t="shared" si="90"/>
        <v>13.75</v>
      </c>
      <c r="K1956">
        <v>2</v>
      </c>
      <c r="L1956">
        <f t="shared" si="91"/>
        <v>11.75</v>
      </c>
      <c r="M1956" s="4">
        <f t="shared" si="92"/>
        <v>1.9583333333333335E-2</v>
      </c>
      <c r="N1956">
        <v>600</v>
      </c>
      <c r="O1956">
        <v>550</v>
      </c>
      <c r="P1956" t="s">
        <v>25</v>
      </c>
      <c r="Q1956" t="s">
        <v>26</v>
      </c>
      <c r="R1956" t="str">
        <f>IF(COUNTIF(Sheet2!B:B, A1956) &gt; 0, "Yes", "No")</f>
        <v>Yes</v>
      </c>
    </row>
    <row r="1957" spans="1:18" x14ac:dyDescent="0.25">
      <c r="A1957" s="3">
        <v>45401</v>
      </c>
      <c r="B1957" t="s">
        <v>18</v>
      </c>
      <c r="C1957" t="s">
        <v>79</v>
      </c>
      <c r="D1957" t="s">
        <v>20</v>
      </c>
      <c r="E1957" t="s">
        <v>21</v>
      </c>
      <c r="F1957" t="s">
        <v>40</v>
      </c>
      <c r="G1957" t="s">
        <v>164</v>
      </c>
      <c r="H1957" t="s">
        <v>467</v>
      </c>
      <c r="I1957" s="5">
        <v>0.04</v>
      </c>
      <c r="J1957">
        <f t="shared" si="90"/>
        <v>22</v>
      </c>
      <c r="K1957">
        <v>2</v>
      </c>
      <c r="L1957">
        <f t="shared" si="91"/>
        <v>20</v>
      </c>
      <c r="M1957" s="4">
        <f t="shared" si="92"/>
        <v>3.3333333333333333E-2</v>
      </c>
      <c r="N1957">
        <v>600</v>
      </c>
      <c r="O1957">
        <v>550</v>
      </c>
      <c r="P1957" t="s">
        <v>25</v>
      </c>
      <c r="Q1957" t="s">
        <v>26</v>
      </c>
      <c r="R1957" t="str">
        <f>IF(COUNTIF(Sheet2!B:B, A1957) &gt; 0, "Yes", "No")</f>
        <v>Yes</v>
      </c>
    </row>
    <row r="1958" spans="1:18" x14ac:dyDescent="0.25">
      <c r="A1958" s="3">
        <v>45401</v>
      </c>
      <c r="B1958" t="s">
        <v>18</v>
      </c>
      <c r="C1958" t="s">
        <v>79</v>
      </c>
      <c r="D1958" t="s">
        <v>20</v>
      </c>
      <c r="E1958" t="s">
        <v>21</v>
      </c>
      <c r="F1958" t="s">
        <v>43</v>
      </c>
      <c r="G1958" t="s">
        <v>288</v>
      </c>
      <c r="H1958" t="s">
        <v>289</v>
      </c>
      <c r="I1958" s="5">
        <v>7.0000000000000007E-2</v>
      </c>
      <c r="J1958">
        <f t="shared" si="90"/>
        <v>38.500000000000007</v>
      </c>
      <c r="K1958">
        <v>1</v>
      </c>
      <c r="L1958">
        <f t="shared" si="91"/>
        <v>37.500000000000007</v>
      </c>
      <c r="M1958" s="4">
        <f t="shared" si="92"/>
        <v>6.2500000000000014E-2</v>
      </c>
      <c r="N1958">
        <v>600</v>
      </c>
      <c r="O1958">
        <v>550</v>
      </c>
      <c r="P1958" t="s">
        <v>25</v>
      </c>
      <c r="Q1958" t="s">
        <v>26</v>
      </c>
      <c r="R1958" t="str">
        <f>IF(COUNTIF(Sheet2!B:B, A1958) &gt; 0, "Yes", "No")</f>
        <v>Yes</v>
      </c>
    </row>
    <row r="1959" spans="1:18" x14ac:dyDescent="0.25">
      <c r="A1959" s="3">
        <v>45401</v>
      </c>
      <c r="B1959" t="s">
        <v>18</v>
      </c>
      <c r="C1959" t="s">
        <v>79</v>
      </c>
      <c r="D1959" t="s">
        <v>20</v>
      </c>
      <c r="E1959" t="s">
        <v>21</v>
      </c>
      <c r="F1959" t="s">
        <v>46</v>
      </c>
      <c r="G1959" t="s">
        <v>47</v>
      </c>
      <c r="H1959" t="s">
        <v>48</v>
      </c>
      <c r="I1959" s="5">
        <v>0.06</v>
      </c>
      <c r="J1959">
        <f t="shared" si="90"/>
        <v>33</v>
      </c>
      <c r="K1959">
        <v>2</v>
      </c>
      <c r="L1959">
        <f t="shared" si="91"/>
        <v>31</v>
      </c>
      <c r="M1959" s="4">
        <f t="shared" si="92"/>
        <v>5.1666666666666666E-2</v>
      </c>
      <c r="N1959">
        <v>600</v>
      </c>
      <c r="O1959">
        <v>550</v>
      </c>
      <c r="P1959" t="s">
        <v>25</v>
      </c>
      <c r="Q1959" t="s">
        <v>26</v>
      </c>
      <c r="R1959" t="str">
        <f>IF(COUNTIF(Sheet2!B:B, A1959) &gt; 0, "Yes", "No")</f>
        <v>Yes</v>
      </c>
    </row>
    <row r="1960" spans="1:18" x14ac:dyDescent="0.25">
      <c r="A1960" s="3">
        <v>45401</v>
      </c>
      <c r="B1960" t="s">
        <v>18</v>
      </c>
      <c r="C1960" t="s">
        <v>79</v>
      </c>
      <c r="D1960" t="s">
        <v>20</v>
      </c>
      <c r="E1960" t="s">
        <v>21</v>
      </c>
      <c r="F1960" t="s">
        <v>49</v>
      </c>
      <c r="G1960" t="s">
        <v>50</v>
      </c>
      <c r="H1960" t="s">
        <v>49</v>
      </c>
      <c r="I1960" s="5">
        <v>0.04</v>
      </c>
      <c r="J1960">
        <f t="shared" si="90"/>
        <v>22</v>
      </c>
      <c r="K1960">
        <v>1</v>
      </c>
      <c r="L1960">
        <f t="shared" si="91"/>
        <v>21</v>
      </c>
      <c r="M1960" s="4">
        <f t="shared" si="92"/>
        <v>3.5000000000000003E-2</v>
      </c>
      <c r="N1960">
        <v>600</v>
      </c>
      <c r="O1960">
        <v>550</v>
      </c>
      <c r="P1960" t="s">
        <v>25</v>
      </c>
      <c r="Q1960" t="s">
        <v>26</v>
      </c>
      <c r="R1960" t="str">
        <f>IF(COUNTIF(Sheet2!B:B, A1960) &gt; 0, "Yes", "No")</f>
        <v>Yes</v>
      </c>
    </row>
    <row r="1961" spans="1:18" x14ac:dyDescent="0.25">
      <c r="A1961" s="3">
        <v>45404</v>
      </c>
      <c r="B1961" t="s">
        <v>18</v>
      </c>
      <c r="C1961" t="s">
        <v>19</v>
      </c>
      <c r="D1961" t="s">
        <v>20</v>
      </c>
      <c r="E1961" t="s">
        <v>21</v>
      </c>
      <c r="F1961" t="s">
        <v>22</v>
      </c>
      <c r="G1961" t="s">
        <v>23</v>
      </c>
      <c r="H1961" t="s">
        <v>24</v>
      </c>
      <c r="I1961">
        <v>8.5000000000000006E-2</v>
      </c>
      <c r="J1961">
        <f t="shared" si="90"/>
        <v>56.95</v>
      </c>
      <c r="K1961">
        <v>3</v>
      </c>
      <c r="L1961">
        <f t="shared" si="91"/>
        <v>53.95</v>
      </c>
      <c r="M1961" s="4">
        <f t="shared" si="92"/>
        <v>7.1933333333333335E-2</v>
      </c>
      <c r="N1961">
        <v>750</v>
      </c>
      <c r="O1961">
        <v>670</v>
      </c>
      <c r="P1961" t="s">
        <v>25</v>
      </c>
      <c r="Q1961" t="s">
        <v>26</v>
      </c>
      <c r="R1961" t="str">
        <f>IF(COUNTIF(Sheet2!B:B, A1961) &gt; 0, "Yes", "No")</f>
        <v>No</v>
      </c>
    </row>
    <row r="1962" spans="1:18" x14ac:dyDescent="0.25">
      <c r="A1962" s="3">
        <v>45404</v>
      </c>
      <c r="B1962" t="s">
        <v>18</v>
      </c>
      <c r="C1962" t="s">
        <v>19</v>
      </c>
      <c r="D1962" t="s">
        <v>20</v>
      </c>
      <c r="E1962" t="s">
        <v>21</v>
      </c>
      <c r="F1962" t="s">
        <v>27</v>
      </c>
      <c r="G1962" t="s">
        <v>541</v>
      </c>
      <c r="H1962" t="s">
        <v>541</v>
      </c>
      <c r="I1962">
        <v>0.12</v>
      </c>
      <c r="J1962">
        <f t="shared" si="90"/>
        <v>80.399999999999991</v>
      </c>
      <c r="K1962">
        <v>0</v>
      </c>
      <c r="L1962">
        <f t="shared" si="91"/>
        <v>80.399999999999991</v>
      </c>
      <c r="M1962" s="4">
        <f t="shared" si="92"/>
        <v>0.10719999999999999</v>
      </c>
      <c r="N1962">
        <v>750</v>
      </c>
      <c r="O1962">
        <v>670</v>
      </c>
      <c r="P1962" t="s">
        <v>25</v>
      </c>
      <c r="Q1962" t="s">
        <v>26</v>
      </c>
      <c r="R1962" t="str">
        <f>IF(COUNTIF(Sheet2!B:B, A1962) &gt; 0, "Yes", "No")</f>
        <v>No</v>
      </c>
    </row>
    <row r="1963" spans="1:18" x14ac:dyDescent="0.25">
      <c r="A1963" s="3">
        <v>45404</v>
      </c>
      <c r="B1963" t="s">
        <v>18</v>
      </c>
      <c r="C1963" t="s">
        <v>19</v>
      </c>
      <c r="D1963" t="s">
        <v>20</v>
      </c>
      <c r="E1963" t="s">
        <v>21</v>
      </c>
      <c r="F1963" t="s">
        <v>30</v>
      </c>
      <c r="G1963" t="s">
        <v>55</v>
      </c>
      <c r="H1963" t="s">
        <v>134</v>
      </c>
      <c r="I1963">
        <v>0.09</v>
      </c>
      <c r="J1963">
        <f t="shared" si="90"/>
        <v>60.3</v>
      </c>
      <c r="K1963">
        <v>2</v>
      </c>
      <c r="L1963">
        <f t="shared" si="91"/>
        <v>58.3</v>
      </c>
      <c r="M1963" s="4">
        <f t="shared" si="92"/>
        <v>7.7733333333333335E-2</v>
      </c>
      <c r="N1963">
        <v>750</v>
      </c>
      <c r="O1963">
        <v>670</v>
      </c>
      <c r="P1963" t="s">
        <v>25</v>
      </c>
      <c r="Q1963" t="s">
        <v>26</v>
      </c>
      <c r="R1963" t="str">
        <f>IF(COUNTIF(Sheet2!B:B, A1963) &gt; 0, "Yes", "No")</f>
        <v>No</v>
      </c>
    </row>
    <row r="1964" spans="1:18" x14ac:dyDescent="0.25">
      <c r="A1964" s="3">
        <v>45404</v>
      </c>
      <c r="B1964" t="s">
        <v>18</v>
      </c>
      <c r="C1964" t="s">
        <v>19</v>
      </c>
      <c r="D1964" t="s">
        <v>33</v>
      </c>
      <c r="E1964" t="s">
        <v>21</v>
      </c>
      <c r="F1964" t="s">
        <v>34</v>
      </c>
      <c r="G1964" t="s">
        <v>57</v>
      </c>
      <c r="H1964" t="s">
        <v>528</v>
      </c>
      <c r="I1964">
        <v>0.15</v>
      </c>
      <c r="J1964">
        <f t="shared" si="90"/>
        <v>67.5</v>
      </c>
      <c r="K1964">
        <v>1.25</v>
      </c>
      <c r="L1964">
        <f t="shared" si="91"/>
        <v>66.25</v>
      </c>
      <c r="M1964" s="4">
        <f t="shared" si="92"/>
        <v>0.12619047619047619</v>
      </c>
      <c r="N1964">
        <v>525</v>
      </c>
      <c r="O1964">
        <v>450</v>
      </c>
      <c r="P1964" t="s">
        <v>25</v>
      </c>
      <c r="Q1964" t="s">
        <v>26</v>
      </c>
      <c r="R1964" t="str">
        <f>IF(COUNTIF(Sheet2!B:B, A1964) &gt; 0, "Yes", "No")</f>
        <v>No</v>
      </c>
    </row>
    <row r="1965" spans="1:18" x14ac:dyDescent="0.25">
      <c r="A1965" s="3">
        <v>45404</v>
      </c>
      <c r="B1965" t="s">
        <v>18</v>
      </c>
      <c r="C1965" t="s">
        <v>19</v>
      </c>
      <c r="D1965" t="s">
        <v>20</v>
      </c>
      <c r="E1965" t="s">
        <v>21</v>
      </c>
      <c r="F1965" t="s">
        <v>37</v>
      </c>
      <c r="G1965" t="s">
        <v>38</v>
      </c>
      <c r="H1965" t="s">
        <v>39</v>
      </c>
      <c r="I1965">
        <v>0.03</v>
      </c>
      <c r="J1965">
        <f t="shared" si="90"/>
        <v>20.099999999999998</v>
      </c>
      <c r="K1965">
        <v>1.5</v>
      </c>
      <c r="L1965">
        <f t="shared" si="91"/>
        <v>18.599999999999998</v>
      </c>
      <c r="M1965" s="4">
        <f t="shared" si="92"/>
        <v>2.4799999999999996E-2</v>
      </c>
      <c r="N1965">
        <v>750</v>
      </c>
      <c r="O1965">
        <v>670</v>
      </c>
      <c r="P1965" t="s">
        <v>25</v>
      </c>
      <c r="Q1965" t="s">
        <v>26</v>
      </c>
      <c r="R1965" t="str">
        <f>IF(COUNTIF(Sheet2!B:B, A1965) &gt; 0, "Yes", "No")</f>
        <v>No</v>
      </c>
    </row>
    <row r="1966" spans="1:18" x14ac:dyDescent="0.25">
      <c r="A1966" s="3">
        <v>45404</v>
      </c>
      <c r="B1966" t="s">
        <v>18</v>
      </c>
      <c r="C1966" t="s">
        <v>19</v>
      </c>
      <c r="D1966" t="s">
        <v>20</v>
      </c>
      <c r="E1966" t="s">
        <v>21</v>
      </c>
      <c r="F1966" t="s">
        <v>40</v>
      </c>
      <c r="G1966" t="s">
        <v>164</v>
      </c>
      <c r="H1966" t="s">
        <v>545</v>
      </c>
      <c r="I1966">
        <v>4.4999999999999998E-2</v>
      </c>
      <c r="J1966">
        <f t="shared" si="90"/>
        <v>30.15</v>
      </c>
      <c r="K1966">
        <v>0.5</v>
      </c>
      <c r="L1966">
        <f t="shared" si="91"/>
        <v>29.65</v>
      </c>
      <c r="M1966" s="4">
        <f t="shared" si="92"/>
        <v>3.953333333333333E-2</v>
      </c>
      <c r="N1966">
        <v>750</v>
      </c>
      <c r="O1966">
        <v>670</v>
      </c>
      <c r="P1966" t="s">
        <v>25</v>
      </c>
      <c r="Q1966" t="s">
        <v>26</v>
      </c>
      <c r="R1966" t="str">
        <f>IF(COUNTIF(Sheet2!B:B, A1966) &gt; 0, "Yes", "No")</f>
        <v>No</v>
      </c>
    </row>
    <row r="1967" spans="1:18" x14ac:dyDescent="0.25">
      <c r="A1967" s="3">
        <v>45404</v>
      </c>
      <c r="B1967" t="s">
        <v>18</v>
      </c>
      <c r="C1967" t="s">
        <v>19</v>
      </c>
      <c r="D1967" t="s">
        <v>20</v>
      </c>
      <c r="E1967" t="s">
        <v>21</v>
      </c>
      <c r="F1967" t="s">
        <v>43</v>
      </c>
      <c r="G1967" t="s">
        <v>75</v>
      </c>
      <c r="H1967" t="s">
        <v>120</v>
      </c>
      <c r="I1967">
        <v>0.11</v>
      </c>
      <c r="J1967">
        <f t="shared" si="90"/>
        <v>73.7</v>
      </c>
      <c r="K1967">
        <v>5</v>
      </c>
      <c r="L1967">
        <f t="shared" si="91"/>
        <v>68.7</v>
      </c>
      <c r="M1967" s="4">
        <f t="shared" si="92"/>
        <v>9.1600000000000001E-2</v>
      </c>
      <c r="N1967">
        <v>750</v>
      </c>
      <c r="O1967">
        <v>670</v>
      </c>
      <c r="P1967" t="s">
        <v>25</v>
      </c>
      <c r="Q1967" t="s">
        <v>26</v>
      </c>
      <c r="R1967" t="str">
        <f>IF(COUNTIF(Sheet2!B:B, A1967) &gt; 0, "Yes", "No")</f>
        <v>No</v>
      </c>
    </row>
    <row r="1968" spans="1:18" x14ac:dyDescent="0.25">
      <c r="A1968" s="3">
        <v>45404</v>
      </c>
      <c r="B1968" t="s">
        <v>18</v>
      </c>
      <c r="C1968" t="s">
        <v>19</v>
      </c>
      <c r="D1968" t="s">
        <v>20</v>
      </c>
      <c r="E1968" t="s">
        <v>21</v>
      </c>
      <c r="F1968" t="s">
        <v>46</v>
      </c>
      <c r="G1968" t="s">
        <v>92</v>
      </c>
      <c r="H1968" t="s">
        <v>484</v>
      </c>
      <c r="I1968">
        <v>8.5000000000000006E-2</v>
      </c>
      <c r="J1968">
        <f t="shared" si="90"/>
        <v>56.95</v>
      </c>
      <c r="K1968">
        <v>1.5</v>
      </c>
      <c r="L1968">
        <f t="shared" si="91"/>
        <v>55.45</v>
      </c>
      <c r="M1968" s="4">
        <f t="shared" si="92"/>
        <v>7.3933333333333337E-2</v>
      </c>
      <c r="N1968">
        <v>750</v>
      </c>
      <c r="O1968">
        <v>670</v>
      </c>
      <c r="P1968" t="s">
        <v>25</v>
      </c>
      <c r="Q1968" t="s">
        <v>26</v>
      </c>
      <c r="R1968" t="str">
        <f>IF(COUNTIF(Sheet2!B:B, A1968) &gt; 0, "Yes", "No")</f>
        <v>No</v>
      </c>
    </row>
    <row r="1969" spans="1:18" x14ac:dyDescent="0.25">
      <c r="A1969" s="3">
        <v>45404</v>
      </c>
      <c r="B1969" t="s">
        <v>18</v>
      </c>
      <c r="C1969" t="s">
        <v>19</v>
      </c>
      <c r="D1969" t="s">
        <v>20</v>
      </c>
      <c r="E1969" t="s">
        <v>21</v>
      </c>
      <c r="F1969" t="s">
        <v>49</v>
      </c>
      <c r="G1969" t="s">
        <v>50</v>
      </c>
      <c r="H1969" t="s">
        <v>49</v>
      </c>
      <c r="I1969">
        <v>0.09</v>
      </c>
      <c r="J1969">
        <f t="shared" si="90"/>
        <v>60.3</v>
      </c>
      <c r="K1969">
        <v>0</v>
      </c>
      <c r="L1969">
        <f t="shared" si="91"/>
        <v>60.3</v>
      </c>
      <c r="M1969" s="4">
        <f t="shared" si="92"/>
        <v>8.0399999999999999E-2</v>
      </c>
      <c r="N1969">
        <v>750</v>
      </c>
      <c r="O1969">
        <v>670</v>
      </c>
      <c r="P1969" t="s">
        <v>25</v>
      </c>
      <c r="Q1969" t="s">
        <v>26</v>
      </c>
      <c r="R1969" t="str">
        <f>IF(COUNTIF(Sheet2!B:B, A1969) &gt; 0, "Yes", "No")</f>
        <v>No</v>
      </c>
    </row>
    <row r="1970" spans="1:18" x14ac:dyDescent="0.25">
      <c r="A1970" s="3">
        <v>45405</v>
      </c>
      <c r="B1970" t="s">
        <v>18</v>
      </c>
      <c r="C1970" t="s">
        <v>105</v>
      </c>
      <c r="D1970" t="s">
        <v>20</v>
      </c>
      <c r="E1970" t="s">
        <v>67</v>
      </c>
      <c r="F1970" t="s">
        <v>22</v>
      </c>
      <c r="G1970" t="s">
        <v>52</v>
      </c>
      <c r="H1970" t="s">
        <v>243</v>
      </c>
      <c r="I1970">
        <v>8.5000000000000006E-2</v>
      </c>
      <c r="J1970">
        <f t="shared" si="90"/>
        <v>56.95</v>
      </c>
      <c r="K1970">
        <v>5</v>
      </c>
      <c r="L1970">
        <f t="shared" si="91"/>
        <v>51.95</v>
      </c>
      <c r="M1970" s="4">
        <f t="shared" si="92"/>
        <v>6.9266666666666671E-2</v>
      </c>
      <c r="N1970">
        <v>750</v>
      </c>
      <c r="O1970">
        <v>670</v>
      </c>
      <c r="P1970" t="s">
        <v>25</v>
      </c>
      <c r="Q1970" t="s">
        <v>26</v>
      </c>
      <c r="R1970" t="str">
        <f>IF(COUNTIF(Sheet2!B:B, A1970) &gt; 0, "Yes", "No")</f>
        <v>No</v>
      </c>
    </row>
    <row r="1971" spans="1:18" x14ac:dyDescent="0.25">
      <c r="A1971" s="3">
        <v>45405</v>
      </c>
      <c r="B1971" t="s">
        <v>18</v>
      </c>
      <c r="C1971" t="s">
        <v>105</v>
      </c>
      <c r="D1971" t="s">
        <v>20</v>
      </c>
      <c r="E1971" t="s">
        <v>67</v>
      </c>
      <c r="F1971" t="s">
        <v>27</v>
      </c>
      <c r="G1971" t="s">
        <v>28</v>
      </c>
      <c r="H1971" t="s">
        <v>459</v>
      </c>
      <c r="I1971">
        <v>0.11</v>
      </c>
      <c r="J1971">
        <f t="shared" si="90"/>
        <v>73.7</v>
      </c>
      <c r="K1971">
        <v>2.5</v>
      </c>
      <c r="L1971">
        <f t="shared" si="91"/>
        <v>71.2</v>
      </c>
      <c r="M1971" s="4">
        <f t="shared" si="92"/>
        <v>9.4933333333333342E-2</v>
      </c>
      <c r="N1971">
        <v>750</v>
      </c>
      <c r="O1971">
        <v>670</v>
      </c>
      <c r="P1971" t="s">
        <v>25</v>
      </c>
      <c r="Q1971" t="s">
        <v>26</v>
      </c>
      <c r="R1971" t="str">
        <f>IF(COUNTIF(Sheet2!B:B, A1971) &gt; 0, "Yes", "No")</f>
        <v>No</v>
      </c>
    </row>
    <row r="1972" spans="1:18" x14ac:dyDescent="0.25">
      <c r="A1972" s="3">
        <v>45405</v>
      </c>
      <c r="B1972" t="s">
        <v>18</v>
      </c>
      <c r="C1972" t="s">
        <v>105</v>
      </c>
      <c r="D1972" t="s">
        <v>20</v>
      </c>
      <c r="E1972" t="s">
        <v>67</v>
      </c>
      <c r="F1972" t="s">
        <v>30</v>
      </c>
      <c r="G1972" t="s">
        <v>31</v>
      </c>
      <c r="H1972" t="s">
        <v>172</v>
      </c>
      <c r="I1972">
        <v>0.09</v>
      </c>
      <c r="J1972">
        <f t="shared" si="90"/>
        <v>60.3</v>
      </c>
      <c r="K1972">
        <v>2</v>
      </c>
      <c r="L1972">
        <f t="shared" si="91"/>
        <v>58.3</v>
      </c>
      <c r="M1972" s="4">
        <f t="shared" si="92"/>
        <v>7.7733333333333335E-2</v>
      </c>
      <c r="N1972">
        <v>750</v>
      </c>
      <c r="O1972">
        <v>670</v>
      </c>
      <c r="P1972" t="s">
        <v>25</v>
      </c>
      <c r="Q1972" t="s">
        <v>26</v>
      </c>
      <c r="R1972" t="str">
        <f>IF(COUNTIF(Sheet2!B:B, A1972) &gt; 0, "Yes", "No")</f>
        <v>No</v>
      </c>
    </row>
    <row r="1973" spans="1:18" x14ac:dyDescent="0.25">
      <c r="A1973" s="3">
        <v>45405</v>
      </c>
      <c r="B1973" t="s">
        <v>18</v>
      </c>
      <c r="C1973" t="s">
        <v>105</v>
      </c>
      <c r="D1973" t="s">
        <v>20</v>
      </c>
      <c r="E1973" t="s">
        <v>67</v>
      </c>
      <c r="F1973" t="s">
        <v>37</v>
      </c>
      <c r="G1973" t="s">
        <v>87</v>
      </c>
      <c r="H1973" t="s">
        <v>99</v>
      </c>
      <c r="I1973">
        <v>3.5000000000000003E-2</v>
      </c>
      <c r="J1973">
        <f t="shared" si="90"/>
        <v>23.450000000000003</v>
      </c>
      <c r="K1973">
        <v>1</v>
      </c>
      <c r="L1973">
        <f t="shared" si="91"/>
        <v>22.450000000000003</v>
      </c>
      <c r="M1973" s="4">
        <f t="shared" si="92"/>
        <v>2.9933333333333336E-2</v>
      </c>
      <c r="N1973">
        <v>750</v>
      </c>
      <c r="O1973">
        <v>670</v>
      </c>
      <c r="P1973" t="s">
        <v>25</v>
      </c>
      <c r="Q1973" t="s">
        <v>26</v>
      </c>
      <c r="R1973" t="str">
        <f>IF(COUNTIF(Sheet2!B:B, A1973) &gt; 0, "Yes", "No")</f>
        <v>No</v>
      </c>
    </row>
    <row r="1974" spans="1:18" x14ac:dyDescent="0.25">
      <c r="A1974" s="3">
        <v>45405</v>
      </c>
      <c r="B1974" t="s">
        <v>18</v>
      </c>
      <c r="C1974" t="s">
        <v>105</v>
      </c>
      <c r="D1974" t="s">
        <v>20</v>
      </c>
      <c r="E1974" t="s">
        <v>67</v>
      </c>
      <c r="F1974" t="s">
        <v>40</v>
      </c>
      <c r="G1974" t="s">
        <v>61</v>
      </c>
      <c r="H1974" t="s">
        <v>62</v>
      </c>
      <c r="I1974">
        <v>0.05</v>
      </c>
      <c r="J1974">
        <f t="shared" si="90"/>
        <v>33.5</v>
      </c>
      <c r="K1974">
        <v>1</v>
      </c>
      <c r="L1974">
        <f t="shared" si="91"/>
        <v>32.5</v>
      </c>
      <c r="M1974" s="4">
        <f t="shared" si="92"/>
        <v>4.3333333333333335E-2</v>
      </c>
      <c r="N1974">
        <v>750</v>
      </c>
      <c r="O1974">
        <v>670</v>
      </c>
      <c r="P1974" t="s">
        <v>25</v>
      </c>
      <c r="Q1974" t="s">
        <v>26</v>
      </c>
      <c r="R1974" t="str">
        <f>IF(COUNTIF(Sheet2!B:B, A1974) &gt; 0, "Yes", "No")</f>
        <v>No</v>
      </c>
    </row>
    <row r="1975" spans="1:18" x14ac:dyDescent="0.25">
      <c r="A1975" s="3">
        <v>45405</v>
      </c>
      <c r="B1975" t="s">
        <v>18</v>
      </c>
      <c r="C1975" t="s">
        <v>105</v>
      </c>
      <c r="D1975" t="s">
        <v>20</v>
      </c>
      <c r="E1975" t="s">
        <v>67</v>
      </c>
      <c r="F1975" t="s">
        <v>43</v>
      </c>
      <c r="G1975" t="s">
        <v>44</v>
      </c>
      <c r="H1975" t="s">
        <v>399</v>
      </c>
      <c r="I1975">
        <v>0.11</v>
      </c>
      <c r="J1975">
        <f t="shared" si="90"/>
        <v>73.7</v>
      </c>
      <c r="K1975">
        <v>0</v>
      </c>
      <c r="L1975">
        <f t="shared" si="91"/>
        <v>73.7</v>
      </c>
      <c r="M1975" s="4">
        <f t="shared" si="92"/>
        <v>9.8266666666666669E-2</v>
      </c>
      <c r="N1975">
        <v>750</v>
      </c>
      <c r="O1975">
        <v>670</v>
      </c>
      <c r="P1975" t="s">
        <v>25</v>
      </c>
      <c r="Q1975" t="s">
        <v>26</v>
      </c>
      <c r="R1975" t="str">
        <f>IF(COUNTIF(Sheet2!B:B, A1975) &gt; 0, "Yes", "No")</f>
        <v>No</v>
      </c>
    </row>
    <row r="1976" spans="1:18" x14ac:dyDescent="0.25">
      <c r="A1976" s="3">
        <v>45405</v>
      </c>
      <c r="B1976" t="s">
        <v>18</v>
      </c>
      <c r="C1976" t="s">
        <v>105</v>
      </c>
      <c r="D1976" t="s">
        <v>20</v>
      </c>
      <c r="E1976" t="s">
        <v>67</v>
      </c>
      <c r="F1976" t="s">
        <v>46</v>
      </c>
      <c r="G1976" t="s">
        <v>169</v>
      </c>
      <c r="H1976" t="s">
        <v>546</v>
      </c>
      <c r="I1976">
        <v>8.5000000000000006E-2</v>
      </c>
      <c r="J1976">
        <f t="shared" si="90"/>
        <v>56.95</v>
      </c>
      <c r="K1976">
        <v>0</v>
      </c>
      <c r="L1976">
        <f t="shared" si="91"/>
        <v>56.95</v>
      </c>
      <c r="M1976" s="4">
        <f t="shared" si="92"/>
        <v>7.5933333333333339E-2</v>
      </c>
      <c r="N1976">
        <v>750</v>
      </c>
      <c r="O1976">
        <v>670</v>
      </c>
      <c r="P1976" t="s">
        <v>25</v>
      </c>
      <c r="Q1976" t="s">
        <v>26</v>
      </c>
      <c r="R1976" t="str">
        <f>IF(COUNTIF(Sheet2!B:B, A1976) &gt; 0, "Yes", "No")</f>
        <v>No</v>
      </c>
    </row>
    <row r="1977" spans="1:18" x14ac:dyDescent="0.25">
      <c r="A1977" s="3">
        <v>45405</v>
      </c>
      <c r="B1977" t="s">
        <v>18</v>
      </c>
      <c r="C1977" t="s">
        <v>105</v>
      </c>
      <c r="D1977" t="s">
        <v>20</v>
      </c>
      <c r="E1977" t="s">
        <v>67</v>
      </c>
      <c r="F1977" t="s">
        <v>49</v>
      </c>
      <c r="G1977" t="s">
        <v>50</v>
      </c>
      <c r="H1977" t="s">
        <v>49</v>
      </c>
      <c r="I1977">
        <v>0.09</v>
      </c>
      <c r="J1977">
        <f t="shared" si="90"/>
        <v>60.3</v>
      </c>
      <c r="K1977">
        <v>2</v>
      </c>
      <c r="L1977">
        <f t="shared" si="91"/>
        <v>58.3</v>
      </c>
      <c r="M1977" s="4">
        <f t="shared" si="92"/>
        <v>7.7733333333333335E-2</v>
      </c>
      <c r="N1977">
        <v>750</v>
      </c>
      <c r="O1977">
        <v>670</v>
      </c>
      <c r="P1977" t="s">
        <v>25</v>
      </c>
      <c r="Q1977" t="s">
        <v>26</v>
      </c>
      <c r="R1977" t="str">
        <f>IF(COUNTIF(Sheet2!B:B, A1977) &gt; 0, "Yes", "No")</f>
        <v>No</v>
      </c>
    </row>
    <row r="1978" spans="1:18" x14ac:dyDescent="0.25">
      <c r="A1978" s="3">
        <v>45406</v>
      </c>
      <c r="B1978" t="s">
        <v>18</v>
      </c>
      <c r="C1978" t="s">
        <v>51</v>
      </c>
      <c r="D1978" t="s">
        <v>20</v>
      </c>
      <c r="E1978" t="s">
        <v>21</v>
      </c>
      <c r="F1978" t="s">
        <v>22</v>
      </c>
      <c r="G1978" t="s">
        <v>52</v>
      </c>
      <c r="H1978" t="s">
        <v>68</v>
      </c>
      <c r="I1978">
        <v>8.5000000000000006E-2</v>
      </c>
      <c r="J1978">
        <f t="shared" si="90"/>
        <v>56.95</v>
      </c>
      <c r="K1978">
        <v>4</v>
      </c>
      <c r="L1978">
        <f t="shared" si="91"/>
        <v>52.95</v>
      </c>
      <c r="M1978" s="4">
        <f t="shared" si="92"/>
        <v>7.060000000000001E-2</v>
      </c>
      <c r="N1978">
        <v>750</v>
      </c>
      <c r="O1978">
        <v>670</v>
      </c>
      <c r="P1978" t="s">
        <v>25</v>
      </c>
      <c r="Q1978" t="s">
        <v>26</v>
      </c>
      <c r="R1978" t="str">
        <f>IF(COUNTIF(Sheet2!B:B, A1978) &gt; 0, "Yes", "No")</f>
        <v>No</v>
      </c>
    </row>
    <row r="1979" spans="1:18" x14ac:dyDescent="0.25">
      <c r="A1979" s="3">
        <v>45406</v>
      </c>
      <c r="B1979" t="s">
        <v>18</v>
      </c>
      <c r="C1979" t="s">
        <v>51</v>
      </c>
      <c r="D1979" t="s">
        <v>20</v>
      </c>
      <c r="E1979" t="s">
        <v>21</v>
      </c>
      <c r="F1979" t="s">
        <v>27</v>
      </c>
      <c r="G1979" t="s">
        <v>28</v>
      </c>
      <c r="H1979" t="s">
        <v>547</v>
      </c>
      <c r="I1979">
        <v>0.11</v>
      </c>
      <c r="J1979">
        <f t="shared" si="90"/>
        <v>73.7</v>
      </c>
      <c r="K1979">
        <v>4</v>
      </c>
      <c r="L1979">
        <f t="shared" si="91"/>
        <v>69.7</v>
      </c>
      <c r="M1979" s="4">
        <f t="shared" si="92"/>
        <v>9.293333333333334E-2</v>
      </c>
      <c r="N1979">
        <v>750</v>
      </c>
      <c r="O1979">
        <v>670</v>
      </c>
      <c r="P1979" t="s">
        <v>25</v>
      </c>
      <c r="Q1979" t="s">
        <v>26</v>
      </c>
      <c r="R1979" t="str">
        <f>IF(COUNTIF(Sheet2!B:B, A1979) &gt; 0, "Yes", "No")</f>
        <v>No</v>
      </c>
    </row>
    <row r="1980" spans="1:18" x14ac:dyDescent="0.25">
      <c r="A1980" s="3">
        <v>45406</v>
      </c>
      <c r="B1980" t="s">
        <v>18</v>
      </c>
      <c r="C1980" t="s">
        <v>51</v>
      </c>
      <c r="D1980" t="s">
        <v>20</v>
      </c>
      <c r="E1980" t="s">
        <v>21</v>
      </c>
      <c r="F1980" t="s">
        <v>30</v>
      </c>
      <c r="G1980" t="s">
        <v>55</v>
      </c>
      <c r="H1980" t="s">
        <v>56</v>
      </c>
      <c r="I1980">
        <v>0.09</v>
      </c>
      <c r="J1980">
        <f t="shared" si="90"/>
        <v>60.3</v>
      </c>
      <c r="K1980">
        <v>2</v>
      </c>
      <c r="L1980">
        <f t="shared" si="91"/>
        <v>58.3</v>
      </c>
      <c r="M1980" s="4">
        <f t="shared" si="92"/>
        <v>7.7733333333333335E-2</v>
      </c>
      <c r="N1980">
        <v>750</v>
      </c>
      <c r="O1980">
        <v>670</v>
      </c>
      <c r="P1980" t="s">
        <v>25</v>
      </c>
      <c r="Q1980" t="s">
        <v>26</v>
      </c>
      <c r="R1980" t="str">
        <f>IF(COUNTIF(Sheet2!B:B, A1980) &gt; 0, "Yes", "No")</f>
        <v>No</v>
      </c>
    </row>
    <row r="1981" spans="1:18" x14ac:dyDescent="0.25">
      <c r="A1981" s="3">
        <v>45406</v>
      </c>
      <c r="B1981" t="s">
        <v>18</v>
      </c>
      <c r="C1981" t="s">
        <v>51</v>
      </c>
      <c r="D1981" t="s">
        <v>33</v>
      </c>
      <c r="E1981" t="s">
        <v>21</v>
      </c>
      <c r="F1981" t="s">
        <v>34</v>
      </c>
      <c r="G1981" t="s">
        <v>57</v>
      </c>
      <c r="H1981" t="s">
        <v>224</v>
      </c>
      <c r="I1981">
        <v>0.15</v>
      </c>
      <c r="J1981">
        <f t="shared" si="90"/>
        <v>69</v>
      </c>
      <c r="K1981">
        <v>0.5</v>
      </c>
      <c r="L1981">
        <f t="shared" si="91"/>
        <v>68.5</v>
      </c>
      <c r="M1981" s="4">
        <f t="shared" si="92"/>
        <v>0.13047619047619047</v>
      </c>
      <c r="N1981">
        <v>525</v>
      </c>
      <c r="O1981">
        <v>460</v>
      </c>
      <c r="P1981" t="s">
        <v>25</v>
      </c>
      <c r="Q1981" t="s">
        <v>26</v>
      </c>
      <c r="R1981" t="str">
        <f>IF(COUNTIF(Sheet2!B:B, A1981) &gt; 0, "Yes", "No")</f>
        <v>No</v>
      </c>
    </row>
    <row r="1982" spans="1:18" x14ac:dyDescent="0.25">
      <c r="A1982" s="3">
        <v>45406</v>
      </c>
      <c r="B1982" t="s">
        <v>18</v>
      </c>
      <c r="C1982" t="s">
        <v>51</v>
      </c>
      <c r="D1982" t="s">
        <v>20</v>
      </c>
      <c r="E1982" t="s">
        <v>21</v>
      </c>
      <c r="F1982" t="s">
        <v>37</v>
      </c>
      <c r="G1982" t="s">
        <v>117</v>
      </c>
      <c r="H1982" t="s">
        <v>476</v>
      </c>
      <c r="I1982">
        <v>0.03</v>
      </c>
      <c r="J1982">
        <f t="shared" si="90"/>
        <v>20.099999999999998</v>
      </c>
      <c r="K1982">
        <v>2</v>
      </c>
      <c r="L1982">
        <f t="shared" si="91"/>
        <v>18.099999999999998</v>
      </c>
      <c r="M1982" s="4">
        <f t="shared" si="92"/>
        <v>2.413333333333333E-2</v>
      </c>
      <c r="N1982">
        <v>750</v>
      </c>
      <c r="O1982">
        <v>670</v>
      </c>
      <c r="P1982" t="s">
        <v>25</v>
      </c>
      <c r="Q1982" t="s">
        <v>26</v>
      </c>
      <c r="R1982" t="str">
        <f>IF(COUNTIF(Sheet2!B:B, A1982) &gt; 0, "Yes", "No")</f>
        <v>No</v>
      </c>
    </row>
    <row r="1983" spans="1:18" x14ac:dyDescent="0.25">
      <c r="A1983" s="3">
        <v>45406</v>
      </c>
      <c r="B1983" t="s">
        <v>18</v>
      </c>
      <c r="C1983" t="s">
        <v>51</v>
      </c>
      <c r="D1983" t="s">
        <v>20</v>
      </c>
      <c r="E1983" t="s">
        <v>21</v>
      </c>
      <c r="F1983" t="s">
        <v>40</v>
      </c>
      <c r="G1983" t="s">
        <v>41</v>
      </c>
      <c r="H1983" t="s">
        <v>42</v>
      </c>
      <c r="I1983">
        <v>4.4999999999999998E-2</v>
      </c>
      <c r="J1983">
        <f t="shared" si="90"/>
        <v>30.15</v>
      </c>
      <c r="K1983">
        <v>1</v>
      </c>
      <c r="L1983">
        <f t="shared" si="91"/>
        <v>29.15</v>
      </c>
      <c r="M1983" s="4">
        <f t="shared" si="92"/>
        <v>3.8866666666666667E-2</v>
      </c>
      <c r="N1983">
        <v>750</v>
      </c>
      <c r="O1983">
        <v>670</v>
      </c>
      <c r="P1983" t="s">
        <v>25</v>
      </c>
      <c r="Q1983" t="s">
        <v>26</v>
      </c>
      <c r="R1983" t="str">
        <f>IF(COUNTIF(Sheet2!B:B, A1983) &gt; 0, "Yes", "No")</f>
        <v>No</v>
      </c>
    </row>
    <row r="1984" spans="1:18" x14ac:dyDescent="0.25">
      <c r="A1984" s="3">
        <v>45406</v>
      </c>
      <c r="B1984" t="s">
        <v>18</v>
      </c>
      <c r="C1984" t="s">
        <v>51</v>
      </c>
      <c r="D1984" t="s">
        <v>20</v>
      </c>
      <c r="E1984" t="s">
        <v>21</v>
      </c>
      <c r="F1984" t="s">
        <v>43</v>
      </c>
      <c r="G1984" t="s">
        <v>139</v>
      </c>
      <c r="H1984" t="s">
        <v>140</v>
      </c>
      <c r="I1984">
        <v>0.11</v>
      </c>
      <c r="J1984">
        <f t="shared" si="90"/>
        <v>73.7</v>
      </c>
      <c r="K1984">
        <v>1</v>
      </c>
      <c r="L1984">
        <f t="shared" si="91"/>
        <v>72.7</v>
      </c>
      <c r="M1984" s="4">
        <f t="shared" si="92"/>
        <v>9.6933333333333344E-2</v>
      </c>
      <c r="N1984">
        <v>750</v>
      </c>
      <c r="O1984">
        <v>670</v>
      </c>
      <c r="P1984" t="s">
        <v>25</v>
      </c>
      <c r="Q1984" t="s">
        <v>26</v>
      </c>
      <c r="R1984" t="str">
        <f>IF(COUNTIF(Sheet2!B:B, A1984) &gt; 0, "Yes", "No")</f>
        <v>No</v>
      </c>
    </row>
    <row r="1985" spans="1:18" x14ac:dyDescent="0.25">
      <c r="A1985" s="3">
        <v>45406</v>
      </c>
      <c r="B1985" t="s">
        <v>18</v>
      </c>
      <c r="C1985" t="s">
        <v>51</v>
      </c>
      <c r="D1985" t="s">
        <v>20</v>
      </c>
      <c r="E1985" t="s">
        <v>21</v>
      </c>
      <c r="F1985" t="s">
        <v>46</v>
      </c>
      <c r="G1985" t="s">
        <v>130</v>
      </c>
      <c r="H1985" t="s">
        <v>548</v>
      </c>
      <c r="I1985">
        <v>8.5000000000000006E-2</v>
      </c>
      <c r="J1985">
        <f t="shared" si="90"/>
        <v>56.95</v>
      </c>
      <c r="K1985">
        <v>1</v>
      </c>
      <c r="L1985">
        <f t="shared" si="91"/>
        <v>55.95</v>
      </c>
      <c r="M1985" s="4">
        <f t="shared" si="92"/>
        <v>7.46E-2</v>
      </c>
      <c r="N1985">
        <v>750</v>
      </c>
      <c r="O1985">
        <v>670</v>
      </c>
      <c r="P1985" t="s">
        <v>25</v>
      </c>
      <c r="Q1985" t="s">
        <v>26</v>
      </c>
      <c r="R1985" t="str">
        <f>IF(COUNTIF(Sheet2!B:B, A1985) &gt; 0, "Yes", "No")</f>
        <v>No</v>
      </c>
    </row>
    <row r="1986" spans="1:18" x14ac:dyDescent="0.25">
      <c r="A1986" s="3">
        <v>45406</v>
      </c>
      <c r="B1986" t="s">
        <v>18</v>
      </c>
      <c r="C1986" t="s">
        <v>51</v>
      </c>
      <c r="D1986" t="s">
        <v>20</v>
      </c>
      <c r="E1986" t="s">
        <v>21</v>
      </c>
      <c r="F1986" t="s">
        <v>49</v>
      </c>
      <c r="G1986" t="s">
        <v>50</v>
      </c>
      <c r="H1986" t="s">
        <v>49</v>
      </c>
      <c r="I1986">
        <v>0.09</v>
      </c>
      <c r="J1986">
        <f t="shared" si="90"/>
        <v>60.3</v>
      </c>
      <c r="K1986">
        <v>3</v>
      </c>
      <c r="L1986">
        <f t="shared" si="91"/>
        <v>57.3</v>
      </c>
      <c r="M1986" s="4">
        <f t="shared" si="92"/>
        <v>7.6399999999999996E-2</v>
      </c>
      <c r="N1986">
        <v>750</v>
      </c>
      <c r="O1986">
        <v>670</v>
      </c>
      <c r="P1986" t="s">
        <v>25</v>
      </c>
      <c r="Q1986" t="s">
        <v>26</v>
      </c>
      <c r="R1986" t="str">
        <f>IF(COUNTIF(Sheet2!B:B, A1986) &gt; 0, "Yes", "No")</f>
        <v>No</v>
      </c>
    </row>
    <row r="1987" spans="1:18" x14ac:dyDescent="0.25">
      <c r="A1987" s="3">
        <v>45407</v>
      </c>
      <c r="B1987" t="s">
        <v>18</v>
      </c>
      <c r="C1987" t="s">
        <v>66</v>
      </c>
      <c r="D1987" t="s">
        <v>20</v>
      </c>
      <c r="E1987" t="s">
        <v>67</v>
      </c>
      <c r="F1987" t="s">
        <v>22</v>
      </c>
      <c r="G1987" t="s">
        <v>94</v>
      </c>
      <c r="H1987" t="s">
        <v>458</v>
      </c>
      <c r="I1987">
        <v>8.5000000000000006E-2</v>
      </c>
      <c r="J1987">
        <f t="shared" ref="J1987:J2050" si="93">I1987*O1987</f>
        <v>49.300000000000004</v>
      </c>
      <c r="K1987">
        <v>0</v>
      </c>
      <c r="L1987">
        <f t="shared" ref="L1987:L2050" si="94">J1987-K1987</f>
        <v>49.300000000000004</v>
      </c>
      <c r="M1987" s="4">
        <f t="shared" ref="M1987:M2050" si="95">((I1987*O1987)-K1987)/N1987</f>
        <v>7.5846153846153855E-2</v>
      </c>
      <c r="N1987">
        <v>650</v>
      </c>
      <c r="O1987">
        <v>580</v>
      </c>
      <c r="P1987" t="s">
        <v>25</v>
      </c>
      <c r="Q1987" t="s">
        <v>26</v>
      </c>
      <c r="R1987" t="str">
        <f>IF(COUNTIF(Sheet2!B:B, A1987) &gt; 0, "Yes", "No")</f>
        <v>No</v>
      </c>
    </row>
    <row r="1988" spans="1:18" x14ac:dyDescent="0.25">
      <c r="A1988" s="3">
        <v>45407</v>
      </c>
      <c r="B1988" t="s">
        <v>18</v>
      </c>
      <c r="C1988" t="s">
        <v>66</v>
      </c>
      <c r="D1988" t="s">
        <v>20</v>
      </c>
      <c r="E1988" t="s">
        <v>67</v>
      </c>
      <c r="F1988" t="s">
        <v>27</v>
      </c>
      <c r="G1988" t="s">
        <v>780</v>
      </c>
      <c r="H1988" t="s">
        <v>149</v>
      </c>
      <c r="I1988">
        <v>0.11</v>
      </c>
      <c r="J1988">
        <f t="shared" si="93"/>
        <v>63.8</v>
      </c>
      <c r="K1988">
        <v>0</v>
      </c>
      <c r="L1988">
        <f t="shared" si="94"/>
        <v>63.8</v>
      </c>
      <c r="M1988" s="4">
        <f t="shared" si="95"/>
        <v>9.8153846153846147E-2</v>
      </c>
      <c r="N1988">
        <v>650</v>
      </c>
      <c r="O1988">
        <v>580</v>
      </c>
      <c r="P1988" t="s">
        <v>25</v>
      </c>
      <c r="Q1988" t="s">
        <v>26</v>
      </c>
      <c r="R1988" t="str">
        <f>IF(COUNTIF(Sheet2!B:B, A1988) &gt; 0, "Yes", "No")</f>
        <v>No</v>
      </c>
    </row>
    <row r="1989" spans="1:18" x14ac:dyDescent="0.25">
      <c r="A1989" s="3">
        <v>45407</v>
      </c>
      <c r="B1989" t="s">
        <v>18</v>
      </c>
      <c r="C1989" t="s">
        <v>66</v>
      </c>
      <c r="D1989" t="s">
        <v>20</v>
      </c>
      <c r="E1989" t="s">
        <v>67</v>
      </c>
      <c r="F1989" t="s">
        <v>30</v>
      </c>
      <c r="G1989" t="s">
        <v>55</v>
      </c>
      <c r="H1989" t="s">
        <v>97</v>
      </c>
      <c r="I1989">
        <v>0.09</v>
      </c>
      <c r="J1989">
        <f t="shared" si="93"/>
        <v>52.199999999999996</v>
      </c>
      <c r="K1989">
        <v>0</v>
      </c>
      <c r="L1989">
        <f t="shared" si="94"/>
        <v>52.199999999999996</v>
      </c>
      <c r="M1989" s="4">
        <f t="shared" si="95"/>
        <v>8.0307692307692302E-2</v>
      </c>
      <c r="N1989">
        <v>650</v>
      </c>
      <c r="O1989">
        <v>580</v>
      </c>
      <c r="P1989" t="s">
        <v>25</v>
      </c>
      <c r="Q1989" t="s">
        <v>26</v>
      </c>
      <c r="R1989" t="str">
        <f>IF(COUNTIF(Sheet2!B:B, A1989) &gt; 0, "Yes", "No")</f>
        <v>No</v>
      </c>
    </row>
    <row r="1990" spans="1:18" x14ac:dyDescent="0.25">
      <c r="A1990" s="3">
        <v>45407</v>
      </c>
      <c r="B1990" t="s">
        <v>18</v>
      </c>
      <c r="C1990" t="s">
        <v>66</v>
      </c>
      <c r="D1990" t="s">
        <v>20</v>
      </c>
      <c r="E1990" t="s">
        <v>67</v>
      </c>
      <c r="F1990" t="s">
        <v>37</v>
      </c>
      <c r="G1990" t="s">
        <v>117</v>
      </c>
      <c r="H1990" t="s">
        <v>118</v>
      </c>
      <c r="I1990">
        <v>3.5000000000000003E-2</v>
      </c>
      <c r="J1990">
        <f t="shared" si="93"/>
        <v>20.3</v>
      </c>
      <c r="K1990">
        <v>3</v>
      </c>
      <c r="L1990">
        <f t="shared" si="94"/>
        <v>17.3</v>
      </c>
      <c r="M1990" s="4">
        <f t="shared" si="95"/>
        <v>2.6615384615384617E-2</v>
      </c>
      <c r="N1990">
        <v>650</v>
      </c>
      <c r="O1990">
        <v>580</v>
      </c>
      <c r="P1990" t="s">
        <v>25</v>
      </c>
      <c r="Q1990" t="s">
        <v>26</v>
      </c>
      <c r="R1990" t="str">
        <f>IF(COUNTIF(Sheet2!B:B, A1990) &gt; 0, "Yes", "No")</f>
        <v>No</v>
      </c>
    </row>
    <row r="1991" spans="1:18" x14ac:dyDescent="0.25">
      <c r="A1991" s="3">
        <v>45407</v>
      </c>
      <c r="B1991" t="s">
        <v>18</v>
      </c>
      <c r="C1991" t="s">
        <v>66</v>
      </c>
      <c r="D1991" t="s">
        <v>20</v>
      </c>
      <c r="E1991" t="s">
        <v>67</v>
      </c>
      <c r="F1991" t="s">
        <v>40</v>
      </c>
      <c r="G1991" t="s">
        <v>61</v>
      </c>
      <c r="H1991" t="s">
        <v>62</v>
      </c>
      <c r="I1991">
        <v>0.05</v>
      </c>
      <c r="J1991">
        <f t="shared" si="93"/>
        <v>29</v>
      </c>
      <c r="K1991">
        <v>2</v>
      </c>
      <c r="L1991">
        <f t="shared" si="94"/>
        <v>27</v>
      </c>
      <c r="M1991" s="4">
        <f t="shared" si="95"/>
        <v>4.1538461538461538E-2</v>
      </c>
      <c r="N1991">
        <v>650</v>
      </c>
      <c r="O1991">
        <v>580</v>
      </c>
      <c r="P1991" t="s">
        <v>25</v>
      </c>
      <c r="Q1991" t="s">
        <v>26</v>
      </c>
      <c r="R1991" t="str">
        <f>IF(COUNTIF(Sheet2!B:B, A1991) &gt; 0, "Yes", "No")</f>
        <v>No</v>
      </c>
    </row>
    <row r="1992" spans="1:18" x14ac:dyDescent="0.25">
      <c r="A1992" s="3">
        <v>45407</v>
      </c>
      <c r="B1992" t="s">
        <v>18</v>
      </c>
      <c r="C1992" t="s">
        <v>66</v>
      </c>
      <c r="D1992" t="s">
        <v>20</v>
      </c>
      <c r="E1992" t="s">
        <v>67</v>
      </c>
      <c r="F1992" t="s">
        <v>43</v>
      </c>
      <c r="G1992" t="s">
        <v>90</v>
      </c>
      <c r="H1992" t="s">
        <v>549</v>
      </c>
      <c r="I1992">
        <v>0.11</v>
      </c>
      <c r="J1992">
        <f t="shared" si="93"/>
        <v>63.8</v>
      </c>
      <c r="K1992">
        <v>4</v>
      </c>
      <c r="L1992">
        <f t="shared" si="94"/>
        <v>59.8</v>
      </c>
      <c r="M1992" s="4">
        <f t="shared" si="95"/>
        <v>9.1999999999999998E-2</v>
      </c>
      <c r="N1992">
        <v>650</v>
      </c>
      <c r="O1992">
        <v>580</v>
      </c>
      <c r="P1992" t="s">
        <v>25</v>
      </c>
      <c r="Q1992" t="s">
        <v>26</v>
      </c>
      <c r="R1992" t="str">
        <f>IF(COUNTIF(Sheet2!B:B, A1992) &gt; 0, "Yes", "No")</f>
        <v>No</v>
      </c>
    </row>
    <row r="1993" spans="1:18" x14ac:dyDescent="0.25">
      <c r="A1993" s="3">
        <v>45407</v>
      </c>
      <c r="B1993" t="s">
        <v>18</v>
      </c>
      <c r="C1993" t="s">
        <v>66</v>
      </c>
      <c r="D1993" t="s">
        <v>20</v>
      </c>
      <c r="E1993" t="s">
        <v>67</v>
      </c>
      <c r="F1993" t="s">
        <v>46</v>
      </c>
      <c r="G1993" t="s">
        <v>169</v>
      </c>
      <c r="H1993" t="s">
        <v>170</v>
      </c>
      <c r="I1993">
        <v>8.5000000000000006E-2</v>
      </c>
      <c r="J1993">
        <f t="shared" si="93"/>
        <v>49.300000000000004</v>
      </c>
      <c r="K1993">
        <v>0</v>
      </c>
      <c r="L1993">
        <f t="shared" si="94"/>
        <v>49.300000000000004</v>
      </c>
      <c r="M1993" s="4">
        <f t="shared" si="95"/>
        <v>7.5846153846153855E-2</v>
      </c>
      <c r="N1993">
        <v>650</v>
      </c>
      <c r="O1993">
        <v>580</v>
      </c>
      <c r="P1993" t="s">
        <v>25</v>
      </c>
      <c r="Q1993" t="s">
        <v>26</v>
      </c>
      <c r="R1993" t="str">
        <f>IF(COUNTIF(Sheet2!B:B, A1993) &gt; 0, "Yes", "No")</f>
        <v>No</v>
      </c>
    </row>
    <row r="1994" spans="1:18" x14ac:dyDescent="0.25">
      <c r="A1994" s="3">
        <v>45407</v>
      </c>
      <c r="B1994" t="s">
        <v>18</v>
      </c>
      <c r="C1994" t="s">
        <v>66</v>
      </c>
      <c r="D1994" t="s">
        <v>20</v>
      </c>
      <c r="E1994" t="s">
        <v>67</v>
      </c>
      <c r="F1994" t="s">
        <v>49</v>
      </c>
      <c r="G1994" t="s">
        <v>50</v>
      </c>
      <c r="H1994" t="s">
        <v>49</v>
      </c>
      <c r="I1994">
        <v>0.09</v>
      </c>
      <c r="J1994">
        <f t="shared" si="93"/>
        <v>52.199999999999996</v>
      </c>
      <c r="K1994">
        <v>5</v>
      </c>
      <c r="L1994">
        <f t="shared" si="94"/>
        <v>47.199999999999996</v>
      </c>
      <c r="M1994" s="4">
        <f t="shared" si="95"/>
        <v>7.2615384615384609E-2</v>
      </c>
      <c r="N1994">
        <v>650</v>
      </c>
      <c r="O1994">
        <v>580</v>
      </c>
      <c r="P1994" t="s">
        <v>25</v>
      </c>
      <c r="Q1994" t="s">
        <v>26</v>
      </c>
      <c r="R1994" t="str">
        <f>IF(COUNTIF(Sheet2!B:B, A1994) &gt; 0, "Yes", "No")</f>
        <v>No</v>
      </c>
    </row>
    <row r="1995" spans="1:18" x14ac:dyDescent="0.25">
      <c r="A1995" s="3">
        <v>45411</v>
      </c>
      <c r="B1995" t="s">
        <v>18</v>
      </c>
      <c r="C1995" t="s">
        <v>19</v>
      </c>
      <c r="D1995" t="s">
        <v>20</v>
      </c>
      <c r="E1995" t="s">
        <v>21</v>
      </c>
      <c r="F1995" t="s">
        <v>22</v>
      </c>
      <c r="G1995" t="s">
        <v>94</v>
      </c>
      <c r="H1995" t="s">
        <v>168</v>
      </c>
      <c r="I1995">
        <v>8.5000000000000006E-2</v>
      </c>
      <c r="J1995">
        <f t="shared" si="93"/>
        <v>56.95</v>
      </c>
      <c r="K1995">
        <v>3.5</v>
      </c>
      <c r="L1995">
        <f t="shared" si="94"/>
        <v>53.45</v>
      </c>
      <c r="M1995" s="4">
        <f t="shared" si="95"/>
        <v>7.1266666666666673E-2</v>
      </c>
      <c r="N1995">
        <v>750</v>
      </c>
      <c r="O1995">
        <v>670</v>
      </c>
      <c r="P1995" t="s">
        <v>25</v>
      </c>
      <c r="Q1995" t="s">
        <v>26</v>
      </c>
      <c r="R1995" t="str">
        <f>IF(COUNTIF(Sheet2!B:B, A1995) &gt; 0, "Yes", "No")</f>
        <v>No</v>
      </c>
    </row>
    <row r="1996" spans="1:18" x14ac:dyDescent="0.25">
      <c r="A1996" s="3">
        <v>45411</v>
      </c>
      <c r="B1996" t="s">
        <v>18</v>
      </c>
      <c r="C1996" t="s">
        <v>19</v>
      </c>
      <c r="D1996" t="s">
        <v>20</v>
      </c>
      <c r="E1996" t="s">
        <v>21</v>
      </c>
      <c r="F1996" t="s">
        <v>27</v>
      </c>
      <c r="G1996" t="s">
        <v>451</v>
      </c>
      <c r="H1996" t="s">
        <v>452</v>
      </c>
      <c r="I1996">
        <v>0.11</v>
      </c>
      <c r="J1996">
        <f t="shared" si="93"/>
        <v>73.7</v>
      </c>
      <c r="K1996">
        <v>4</v>
      </c>
      <c r="L1996">
        <f t="shared" si="94"/>
        <v>69.7</v>
      </c>
      <c r="M1996" s="4">
        <f t="shared" si="95"/>
        <v>9.293333333333334E-2</v>
      </c>
      <c r="N1996">
        <v>750</v>
      </c>
      <c r="O1996">
        <v>670</v>
      </c>
      <c r="P1996" t="s">
        <v>25</v>
      </c>
      <c r="Q1996" t="s">
        <v>26</v>
      </c>
      <c r="R1996" t="str">
        <f>IF(COUNTIF(Sheet2!B:B, A1996) &gt; 0, "Yes", "No")</f>
        <v>No</v>
      </c>
    </row>
    <row r="1997" spans="1:18" x14ac:dyDescent="0.25">
      <c r="A1997" s="3">
        <v>45411</v>
      </c>
      <c r="B1997" t="s">
        <v>18</v>
      </c>
      <c r="C1997" t="s">
        <v>19</v>
      </c>
      <c r="D1997" t="s">
        <v>20</v>
      </c>
      <c r="E1997" t="s">
        <v>21</v>
      </c>
      <c r="F1997" t="s">
        <v>30</v>
      </c>
      <c r="G1997" t="s">
        <v>55</v>
      </c>
      <c r="H1997" t="s">
        <v>134</v>
      </c>
      <c r="I1997">
        <v>0.09</v>
      </c>
      <c r="J1997">
        <f t="shared" si="93"/>
        <v>60.3</v>
      </c>
      <c r="K1997">
        <v>1</v>
      </c>
      <c r="L1997">
        <f t="shared" si="94"/>
        <v>59.3</v>
      </c>
      <c r="M1997" s="4">
        <f t="shared" si="95"/>
        <v>7.906666666666666E-2</v>
      </c>
      <c r="N1997">
        <v>750</v>
      </c>
      <c r="O1997">
        <v>670</v>
      </c>
      <c r="P1997" t="s">
        <v>25</v>
      </c>
      <c r="Q1997" t="s">
        <v>26</v>
      </c>
      <c r="R1997" t="str">
        <f>IF(COUNTIF(Sheet2!B:B, A1997) &gt; 0, "Yes", "No")</f>
        <v>No</v>
      </c>
    </row>
    <row r="1998" spans="1:18" x14ac:dyDescent="0.25">
      <c r="A1998" s="3">
        <v>45411</v>
      </c>
      <c r="B1998" t="s">
        <v>18</v>
      </c>
      <c r="C1998" t="s">
        <v>19</v>
      </c>
      <c r="D1998" t="s">
        <v>33</v>
      </c>
      <c r="E1998" t="s">
        <v>21</v>
      </c>
      <c r="F1998" t="s">
        <v>34</v>
      </c>
      <c r="G1998" t="s">
        <v>57</v>
      </c>
      <c r="H1998" t="s">
        <v>550</v>
      </c>
      <c r="I1998">
        <v>0.15</v>
      </c>
      <c r="J1998">
        <f t="shared" si="93"/>
        <v>63</v>
      </c>
      <c r="K1998">
        <v>1</v>
      </c>
      <c r="L1998">
        <f t="shared" si="94"/>
        <v>62</v>
      </c>
      <c r="M1998" s="4">
        <f t="shared" si="95"/>
        <v>0.1180952380952381</v>
      </c>
      <c r="N1998">
        <v>525</v>
      </c>
      <c r="O1998">
        <v>420</v>
      </c>
      <c r="P1998" t="s">
        <v>25</v>
      </c>
      <c r="Q1998" t="s">
        <v>26</v>
      </c>
      <c r="R1998" t="str">
        <f>IF(COUNTIF(Sheet2!B:B, A1998) &gt; 0, "Yes", "No")</f>
        <v>No</v>
      </c>
    </row>
    <row r="1999" spans="1:18" x14ac:dyDescent="0.25">
      <c r="A1999" s="3">
        <v>45411</v>
      </c>
      <c r="B1999" t="s">
        <v>18</v>
      </c>
      <c r="C1999" t="s">
        <v>19</v>
      </c>
      <c r="D1999" t="s">
        <v>20</v>
      </c>
      <c r="E1999" t="s">
        <v>21</v>
      </c>
      <c r="F1999" t="s">
        <v>37</v>
      </c>
      <c r="G1999" t="s">
        <v>117</v>
      </c>
      <c r="H1999" t="s">
        <v>118</v>
      </c>
      <c r="I1999">
        <v>0.03</v>
      </c>
      <c r="J1999">
        <f t="shared" si="93"/>
        <v>20.099999999999998</v>
      </c>
      <c r="K1999">
        <v>2.5</v>
      </c>
      <c r="L1999">
        <f t="shared" si="94"/>
        <v>17.599999999999998</v>
      </c>
      <c r="M1999" s="4">
        <f t="shared" si="95"/>
        <v>2.3466666666666663E-2</v>
      </c>
      <c r="N1999">
        <v>750</v>
      </c>
      <c r="O1999">
        <v>670</v>
      </c>
      <c r="P1999" t="s">
        <v>25</v>
      </c>
      <c r="Q1999" t="s">
        <v>26</v>
      </c>
      <c r="R1999" t="str">
        <f>IF(COUNTIF(Sheet2!B:B, A1999) &gt; 0, "Yes", "No")</f>
        <v>No</v>
      </c>
    </row>
    <row r="2000" spans="1:18" x14ac:dyDescent="0.25">
      <c r="A2000" s="3">
        <v>45411</v>
      </c>
      <c r="B2000" t="s">
        <v>18</v>
      </c>
      <c r="C2000" t="s">
        <v>19</v>
      </c>
      <c r="D2000" t="s">
        <v>20</v>
      </c>
      <c r="E2000" t="s">
        <v>21</v>
      </c>
      <c r="F2000" t="s">
        <v>40</v>
      </c>
      <c r="G2000" t="s">
        <v>127</v>
      </c>
      <c r="H2000" t="s">
        <v>358</v>
      </c>
      <c r="I2000">
        <v>4.4999999999999998E-2</v>
      </c>
      <c r="J2000">
        <f t="shared" si="93"/>
        <v>30.15</v>
      </c>
      <c r="K2000">
        <v>2</v>
      </c>
      <c r="L2000">
        <f t="shared" si="94"/>
        <v>28.15</v>
      </c>
      <c r="M2000" s="4">
        <f t="shared" si="95"/>
        <v>3.7533333333333328E-2</v>
      </c>
      <c r="N2000">
        <v>750</v>
      </c>
      <c r="O2000">
        <v>670</v>
      </c>
      <c r="P2000" t="s">
        <v>25</v>
      </c>
      <c r="Q2000" t="s">
        <v>26</v>
      </c>
      <c r="R2000" t="str">
        <f>IF(COUNTIF(Sheet2!B:B, A2000) &gt; 0, "Yes", "No")</f>
        <v>No</v>
      </c>
    </row>
    <row r="2001" spans="1:18" x14ac:dyDescent="0.25">
      <c r="A2001" s="3">
        <v>45411</v>
      </c>
      <c r="B2001" t="s">
        <v>18</v>
      </c>
      <c r="C2001" t="s">
        <v>19</v>
      </c>
      <c r="D2001" t="s">
        <v>20</v>
      </c>
      <c r="E2001" t="s">
        <v>21</v>
      </c>
      <c r="F2001" t="s">
        <v>43</v>
      </c>
      <c r="G2001" t="s">
        <v>252</v>
      </c>
      <c r="H2001" t="s">
        <v>253</v>
      </c>
      <c r="I2001">
        <v>0.11</v>
      </c>
      <c r="J2001">
        <f t="shared" si="93"/>
        <v>73.7</v>
      </c>
      <c r="K2001">
        <v>1.4000000000000001</v>
      </c>
      <c r="L2001">
        <f t="shared" si="94"/>
        <v>72.3</v>
      </c>
      <c r="M2001" s="4">
        <f t="shared" si="95"/>
        <v>9.64E-2</v>
      </c>
      <c r="N2001">
        <v>750</v>
      </c>
      <c r="O2001">
        <v>670</v>
      </c>
      <c r="P2001" t="s">
        <v>25</v>
      </c>
      <c r="Q2001" t="s">
        <v>26</v>
      </c>
      <c r="R2001" t="str">
        <f>IF(COUNTIF(Sheet2!B:B, A2001) &gt; 0, "Yes", "No")</f>
        <v>No</v>
      </c>
    </row>
    <row r="2002" spans="1:18" x14ac:dyDescent="0.25">
      <c r="A2002" s="3">
        <v>45411</v>
      </c>
      <c r="B2002" t="s">
        <v>18</v>
      </c>
      <c r="C2002" t="s">
        <v>19</v>
      </c>
      <c r="D2002" t="s">
        <v>20</v>
      </c>
      <c r="E2002" t="s">
        <v>21</v>
      </c>
      <c r="F2002" t="s">
        <v>46</v>
      </c>
      <c r="G2002" t="s">
        <v>256</v>
      </c>
      <c r="H2002" t="s">
        <v>551</v>
      </c>
      <c r="I2002">
        <v>8.5000000000000006E-2</v>
      </c>
      <c r="J2002">
        <f t="shared" si="93"/>
        <v>56.95</v>
      </c>
      <c r="K2002">
        <v>4</v>
      </c>
      <c r="L2002">
        <f t="shared" si="94"/>
        <v>52.95</v>
      </c>
      <c r="M2002" s="4">
        <f t="shared" si="95"/>
        <v>7.060000000000001E-2</v>
      </c>
      <c r="N2002">
        <v>750</v>
      </c>
      <c r="O2002">
        <v>670</v>
      </c>
      <c r="P2002" t="s">
        <v>25</v>
      </c>
      <c r="Q2002" t="s">
        <v>26</v>
      </c>
      <c r="R2002" t="str">
        <f>IF(COUNTIF(Sheet2!B:B, A2002) &gt; 0, "Yes", "No")</f>
        <v>No</v>
      </c>
    </row>
    <row r="2003" spans="1:18" x14ac:dyDescent="0.25">
      <c r="A2003" s="3">
        <v>45411</v>
      </c>
      <c r="B2003" t="s">
        <v>18</v>
      </c>
      <c r="C2003" t="s">
        <v>19</v>
      </c>
      <c r="D2003" t="s">
        <v>20</v>
      </c>
      <c r="E2003" t="s">
        <v>21</v>
      </c>
      <c r="F2003" t="s">
        <v>49</v>
      </c>
      <c r="G2003" t="s">
        <v>50</v>
      </c>
      <c r="H2003" t="s">
        <v>49</v>
      </c>
      <c r="I2003">
        <v>0.09</v>
      </c>
      <c r="J2003">
        <f t="shared" si="93"/>
        <v>60.3</v>
      </c>
      <c r="K2003">
        <v>3</v>
      </c>
      <c r="L2003">
        <f t="shared" si="94"/>
        <v>57.3</v>
      </c>
      <c r="M2003" s="4">
        <f t="shared" si="95"/>
        <v>7.6399999999999996E-2</v>
      </c>
      <c r="N2003">
        <v>750</v>
      </c>
      <c r="O2003">
        <v>670</v>
      </c>
      <c r="P2003" t="s">
        <v>25</v>
      </c>
      <c r="Q2003" t="s">
        <v>26</v>
      </c>
      <c r="R2003" t="str">
        <f>IF(COUNTIF(Sheet2!B:B, A2003) &gt; 0, "Yes", "No")</f>
        <v>No</v>
      </c>
    </row>
    <row r="2004" spans="1:18" x14ac:dyDescent="0.25">
      <c r="A2004" s="3">
        <v>45412</v>
      </c>
      <c r="B2004" t="s">
        <v>18</v>
      </c>
      <c r="C2004" t="s">
        <v>105</v>
      </c>
      <c r="D2004" t="s">
        <v>20</v>
      </c>
      <c r="E2004" t="s">
        <v>67</v>
      </c>
      <c r="F2004" t="s">
        <v>22</v>
      </c>
      <c r="G2004" t="s">
        <v>23</v>
      </c>
      <c r="H2004" t="s">
        <v>114</v>
      </c>
      <c r="I2004">
        <v>8.5000000000000006E-2</v>
      </c>
      <c r="J2004">
        <f t="shared" si="93"/>
        <v>49.300000000000004</v>
      </c>
      <c r="K2004">
        <v>2</v>
      </c>
      <c r="L2004">
        <f t="shared" si="94"/>
        <v>47.300000000000004</v>
      </c>
      <c r="M2004" s="4">
        <f t="shared" si="95"/>
        <v>7.276923076923078E-2</v>
      </c>
      <c r="N2004">
        <v>650</v>
      </c>
      <c r="O2004">
        <v>580</v>
      </c>
      <c r="P2004" t="s">
        <v>283</v>
      </c>
      <c r="Q2004" t="s">
        <v>333</v>
      </c>
      <c r="R2004" t="str">
        <f>IF(COUNTIF(Sheet2!B:B, A2004) &gt; 0, "Yes", "No")</f>
        <v>No</v>
      </c>
    </row>
    <row r="2005" spans="1:18" x14ac:dyDescent="0.25">
      <c r="A2005" s="3">
        <v>45412</v>
      </c>
      <c r="B2005" t="s">
        <v>18</v>
      </c>
      <c r="C2005" t="s">
        <v>105</v>
      </c>
      <c r="D2005" t="s">
        <v>20</v>
      </c>
      <c r="E2005" t="s">
        <v>67</v>
      </c>
      <c r="F2005" t="s">
        <v>27</v>
      </c>
      <c r="G2005" t="s">
        <v>235</v>
      </c>
      <c r="H2005" t="s">
        <v>552</v>
      </c>
      <c r="I2005">
        <v>0.12</v>
      </c>
      <c r="J2005">
        <f t="shared" si="93"/>
        <v>69.599999999999994</v>
      </c>
      <c r="K2005">
        <v>2</v>
      </c>
      <c r="L2005">
        <f t="shared" si="94"/>
        <v>67.599999999999994</v>
      </c>
      <c r="M2005" s="4">
        <f t="shared" si="95"/>
        <v>0.104</v>
      </c>
      <c r="N2005">
        <v>650</v>
      </c>
      <c r="O2005">
        <v>580</v>
      </c>
      <c r="P2005" t="s">
        <v>283</v>
      </c>
      <c r="Q2005" t="s">
        <v>333</v>
      </c>
      <c r="R2005" t="str">
        <f>IF(COUNTIF(Sheet2!B:B, A2005) &gt; 0, "Yes", "No")</f>
        <v>No</v>
      </c>
    </row>
    <row r="2006" spans="1:18" x14ac:dyDescent="0.25">
      <c r="A2006" s="3">
        <v>45412</v>
      </c>
      <c r="B2006" t="s">
        <v>18</v>
      </c>
      <c r="C2006" t="s">
        <v>105</v>
      </c>
      <c r="D2006" t="s">
        <v>20</v>
      </c>
      <c r="E2006" t="s">
        <v>67</v>
      </c>
      <c r="F2006" t="s">
        <v>30</v>
      </c>
      <c r="G2006" t="s">
        <v>55</v>
      </c>
      <c r="H2006" t="s">
        <v>125</v>
      </c>
      <c r="I2006">
        <v>0.09</v>
      </c>
      <c r="J2006">
        <f t="shared" si="93"/>
        <v>52.199999999999996</v>
      </c>
      <c r="K2006">
        <v>1</v>
      </c>
      <c r="L2006">
        <f t="shared" si="94"/>
        <v>51.199999999999996</v>
      </c>
      <c r="M2006" s="4">
        <f t="shared" si="95"/>
        <v>7.8769230769230758E-2</v>
      </c>
      <c r="N2006">
        <v>650</v>
      </c>
      <c r="O2006">
        <v>580</v>
      </c>
      <c r="P2006" t="s">
        <v>283</v>
      </c>
      <c r="Q2006" t="s">
        <v>333</v>
      </c>
      <c r="R2006" t="str">
        <f>IF(COUNTIF(Sheet2!B:B, A2006) &gt; 0, "Yes", "No")</f>
        <v>No</v>
      </c>
    </row>
    <row r="2007" spans="1:18" x14ac:dyDescent="0.25">
      <c r="A2007" s="3">
        <v>45412</v>
      </c>
      <c r="B2007" t="s">
        <v>18</v>
      </c>
      <c r="C2007" t="s">
        <v>105</v>
      </c>
      <c r="D2007" t="s">
        <v>20</v>
      </c>
      <c r="E2007" t="s">
        <v>67</v>
      </c>
      <c r="F2007" t="s">
        <v>37</v>
      </c>
      <c r="G2007" t="s">
        <v>108</v>
      </c>
      <c r="H2007" t="s">
        <v>126</v>
      </c>
      <c r="I2007">
        <v>3.5000000000000003E-2</v>
      </c>
      <c r="J2007">
        <f t="shared" si="93"/>
        <v>20.3</v>
      </c>
      <c r="K2007">
        <v>2</v>
      </c>
      <c r="L2007">
        <f t="shared" si="94"/>
        <v>18.3</v>
      </c>
      <c r="M2007" s="4">
        <f t="shared" si="95"/>
        <v>2.8153846153846154E-2</v>
      </c>
      <c r="N2007">
        <v>650</v>
      </c>
      <c r="O2007">
        <v>580</v>
      </c>
      <c r="P2007" t="s">
        <v>283</v>
      </c>
      <c r="Q2007" t="s">
        <v>333</v>
      </c>
      <c r="R2007" t="str">
        <f>IF(COUNTIF(Sheet2!B:B, A2007) &gt; 0, "Yes", "No")</f>
        <v>No</v>
      </c>
    </row>
    <row r="2008" spans="1:18" x14ac:dyDescent="0.25">
      <c r="A2008" s="3">
        <v>45412</v>
      </c>
      <c r="B2008" t="s">
        <v>18</v>
      </c>
      <c r="C2008" t="s">
        <v>105</v>
      </c>
      <c r="D2008" t="s">
        <v>20</v>
      </c>
      <c r="E2008" t="s">
        <v>67</v>
      </c>
      <c r="F2008" t="s">
        <v>40</v>
      </c>
      <c r="G2008" t="s">
        <v>402</v>
      </c>
      <c r="H2008" t="s">
        <v>402</v>
      </c>
      <c r="I2008">
        <v>0.05</v>
      </c>
      <c r="J2008">
        <f t="shared" si="93"/>
        <v>29</v>
      </c>
      <c r="K2008">
        <v>2</v>
      </c>
      <c r="L2008">
        <f t="shared" si="94"/>
        <v>27</v>
      </c>
      <c r="M2008" s="4">
        <f t="shared" si="95"/>
        <v>4.1538461538461538E-2</v>
      </c>
      <c r="N2008">
        <v>650</v>
      </c>
      <c r="O2008">
        <v>580</v>
      </c>
      <c r="P2008" t="s">
        <v>283</v>
      </c>
      <c r="Q2008" t="s">
        <v>333</v>
      </c>
      <c r="R2008" t="str">
        <f>IF(COUNTIF(Sheet2!B:B, A2008) &gt; 0, "Yes", "No")</f>
        <v>No</v>
      </c>
    </row>
    <row r="2009" spans="1:18" x14ac:dyDescent="0.25">
      <c r="A2009" s="3">
        <v>45412</v>
      </c>
      <c r="B2009" t="s">
        <v>18</v>
      </c>
      <c r="C2009" t="s">
        <v>105</v>
      </c>
      <c r="D2009" t="s">
        <v>20</v>
      </c>
      <c r="E2009" t="s">
        <v>67</v>
      </c>
      <c r="F2009" t="s">
        <v>43</v>
      </c>
      <c r="G2009" t="s">
        <v>44</v>
      </c>
      <c r="H2009" t="s">
        <v>553</v>
      </c>
      <c r="I2009">
        <v>0.11</v>
      </c>
      <c r="J2009">
        <f t="shared" si="93"/>
        <v>63.8</v>
      </c>
      <c r="K2009">
        <v>0</v>
      </c>
      <c r="L2009">
        <f t="shared" si="94"/>
        <v>63.8</v>
      </c>
      <c r="M2009" s="4">
        <f t="shared" si="95"/>
        <v>9.8153846153846147E-2</v>
      </c>
      <c r="N2009">
        <v>650</v>
      </c>
      <c r="O2009">
        <v>580</v>
      </c>
      <c r="P2009" t="s">
        <v>283</v>
      </c>
      <c r="Q2009" t="s">
        <v>333</v>
      </c>
      <c r="R2009" t="str">
        <f>IF(COUNTIF(Sheet2!B:B, A2009) &gt; 0, "Yes", "No")</f>
        <v>No</v>
      </c>
    </row>
    <row r="2010" spans="1:18" x14ac:dyDescent="0.25">
      <c r="A2010" s="3">
        <v>45412</v>
      </c>
      <c r="B2010" t="s">
        <v>18</v>
      </c>
      <c r="C2010" t="s">
        <v>105</v>
      </c>
      <c r="D2010" t="s">
        <v>20</v>
      </c>
      <c r="E2010" t="s">
        <v>67</v>
      </c>
      <c r="F2010" t="s">
        <v>46</v>
      </c>
      <c r="G2010" t="s">
        <v>47</v>
      </c>
      <c r="H2010" t="s">
        <v>554</v>
      </c>
      <c r="I2010">
        <v>8.5000000000000006E-2</v>
      </c>
      <c r="J2010">
        <f t="shared" si="93"/>
        <v>49.300000000000004</v>
      </c>
      <c r="K2010">
        <v>3</v>
      </c>
      <c r="L2010">
        <f t="shared" si="94"/>
        <v>46.300000000000004</v>
      </c>
      <c r="M2010" s="4">
        <f t="shared" si="95"/>
        <v>7.1230769230769236E-2</v>
      </c>
      <c r="N2010">
        <v>650</v>
      </c>
      <c r="O2010">
        <v>580</v>
      </c>
      <c r="P2010" t="s">
        <v>283</v>
      </c>
      <c r="Q2010" t="s">
        <v>333</v>
      </c>
      <c r="R2010" t="str">
        <f>IF(COUNTIF(Sheet2!B:B, A2010) &gt; 0, "Yes", "No")</f>
        <v>No</v>
      </c>
    </row>
    <row r="2011" spans="1:18" x14ac:dyDescent="0.25">
      <c r="A2011" s="3">
        <v>45412</v>
      </c>
      <c r="B2011" t="s">
        <v>18</v>
      </c>
      <c r="C2011" t="s">
        <v>105</v>
      </c>
      <c r="D2011" t="s">
        <v>20</v>
      </c>
      <c r="E2011" t="s">
        <v>67</v>
      </c>
      <c r="F2011" t="s">
        <v>49</v>
      </c>
      <c r="G2011" t="s">
        <v>50</v>
      </c>
      <c r="H2011" t="s">
        <v>49</v>
      </c>
      <c r="I2011">
        <v>0.09</v>
      </c>
      <c r="J2011">
        <f t="shared" si="93"/>
        <v>52.199999999999996</v>
      </c>
      <c r="K2011">
        <v>0</v>
      </c>
      <c r="L2011">
        <f t="shared" si="94"/>
        <v>52.199999999999996</v>
      </c>
      <c r="M2011" s="4">
        <f t="shared" si="95"/>
        <v>8.0307692307692302E-2</v>
      </c>
      <c r="N2011">
        <v>650</v>
      </c>
      <c r="O2011">
        <v>580</v>
      </c>
      <c r="P2011" t="s">
        <v>283</v>
      </c>
      <c r="Q2011" t="s">
        <v>333</v>
      </c>
      <c r="R2011" t="str">
        <f>IF(COUNTIF(Sheet2!B:B, A2011) &gt; 0, "Yes", "No")</f>
        <v>No</v>
      </c>
    </row>
    <row r="2012" spans="1:18" x14ac:dyDescent="0.25">
      <c r="A2012" s="3">
        <v>45414</v>
      </c>
      <c r="B2012" t="s">
        <v>142</v>
      </c>
      <c r="C2012" t="s">
        <v>66</v>
      </c>
      <c r="D2012" t="s">
        <v>20</v>
      </c>
      <c r="E2012" t="s">
        <v>67</v>
      </c>
      <c r="F2012" t="s">
        <v>22</v>
      </c>
      <c r="G2012" t="s">
        <v>94</v>
      </c>
      <c r="H2012" t="s">
        <v>143</v>
      </c>
      <c r="I2012">
        <v>8.5000000000000006E-2</v>
      </c>
      <c r="J2012">
        <f t="shared" si="93"/>
        <v>49.300000000000004</v>
      </c>
      <c r="K2012">
        <v>3</v>
      </c>
      <c r="L2012">
        <f t="shared" si="94"/>
        <v>46.300000000000004</v>
      </c>
      <c r="M2012" s="4">
        <f t="shared" si="95"/>
        <v>7.1230769230769236E-2</v>
      </c>
      <c r="N2012">
        <v>650</v>
      </c>
      <c r="O2012">
        <v>580</v>
      </c>
      <c r="P2012" t="s">
        <v>322</v>
      </c>
      <c r="Q2012" t="s">
        <v>333</v>
      </c>
      <c r="R2012" t="str">
        <f>IF(COUNTIF(Sheet2!B:B, A2012) &gt; 0, "Yes", "No")</f>
        <v>No</v>
      </c>
    </row>
    <row r="2013" spans="1:18" x14ac:dyDescent="0.25">
      <c r="A2013" s="3">
        <v>45414</v>
      </c>
      <c r="B2013" t="s">
        <v>142</v>
      </c>
      <c r="C2013" t="s">
        <v>66</v>
      </c>
      <c r="D2013" t="s">
        <v>20</v>
      </c>
      <c r="E2013" t="s">
        <v>67</v>
      </c>
      <c r="F2013" t="s">
        <v>27</v>
      </c>
      <c r="G2013" t="s">
        <v>541</v>
      </c>
      <c r="H2013" t="s">
        <v>541</v>
      </c>
      <c r="I2013">
        <v>0.12</v>
      </c>
      <c r="J2013">
        <f t="shared" si="93"/>
        <v>69.599999999999994</v>
      </c>
      <c r="K2013">
        <v>0</v>
      </c>
      <c r="L2013">
        <f t="shared" si="94"/>
        <v>69.599999999999994</v>
      </c>
      <c r="M2013" s="4">
        <f t="shared" si="95"/>
        <v>0.10707692307692307</v>
      </c>
      <c r="N2013">
        <v>650</v>
      </c>
      <c r="O2013">
        <v>580</v>
      </c>
      <c r="P2013" t="s">
        <v>322</v>
      </c>
      <c r="Q2013" t="s">
        <v>333</v>
      </c>
      <c r="R2013" t="str">
        <f>IF(COUNTIF(Sheet2!B:B, A2013) &gt; 0, "Yes", "No")</f>
        <v>No</v>
      </c>
    </row>
    <row r="2014" spans="1:18" x14ac:dyDescent="0.25">
      <c r="A2014" s="3">
        <v>45414</v>
      </c>
      <c r="B2014" t="s">
        <v>142</v>
      </c>
      <c r="C2014" t="s">
        <v>66</v>
      </c>
      <c r="D2014" t="s">
        <v>20</v>
      </c>
      <c r="E2014" t="s">
        <v>67</v>
      </c>
      <c r="F2014" t="s">
        <v>30</v>
      </c>
      <c r="G2014" t="s">
        <v>55</v>
      </c>
      <c r="H2014" t="s">
        <v>56</v>
      </c>
      <c r="I2014">
        <v>0.09</v>
      </c>
      <c r="J2014">
        <f t="shared" si="93"/>
        <v>52.199999999999996</v>
      </c>
      <c r="K2014">
        <v>0</v>
      </c>
      <c r="L2014">
        <f t="shared" si="94"/>
        <v>52.199999999999996</v>
      </c>
      <c r="M2014" s="4">
        <f t="shared" si="95"/>
        <v>8.0307692307692302E-2</v>
      </c>
      <c r="N2014">
        <v>650</v>
      </c>
      <c r="O2014">
        <v>580</v>
      </c>
      <c r="P2014" t="s">
        <v>322</v>
      </c>
      <c r="Q2014" t="s">
        <v>333</v>
      </c>
      <c r="R2014" t="str">
        <f>IF(COUNTIF(Sheet2!B:B, A2014) &gt; 0, "Yes", "No")</f>
        <v>No</v>
      </c>
    </row>
    <row r="2015" spans="1:18" x14ac:dyDescent="0.25">
      <c r="A2015" s="3">
        <v>45414</v>
      </c>
      <c r="B2015" t="s">
        <v>142</v>
      </c>
      <c r="C2015" t="s">
        <v>66</v>
      </c>
      <c r="D2015" t="s">
        <v>20</v>
      </c>
      <c r="E2015" t="s">
        <v>67</v>
      </c>
      <c r="F2015" t="s">
        <v>37</v>
      </c>
      <c r="G2015" t="s">
        <v>87</v>
      </c>
      <c r="H2015" t="s">
        <v>136</v>
      </c>
      <c r="I2015">
        <v>3.5000000000000003E-2</v>
      </c>
      <c r="J2015">
        <f t="shared" si="93"/>
        <v>20.3</v>
      </c>
      <c r="K2015">
        <v>2</v>
      </c>
      <c r="L2015">
        <f t="shared" si="94"/>
        <v>18.3</v>
      </c>
      <c r="M2015" s="4">
        <f t="shared" si="95"/>
        <v>2.8153846153846154E-2</v>
      </c>
      <c r="N2015">
        <v>650</v>
      </c>
      <c r="O2015">
        <v>580</v>
      </c>
      <c r="P2015" t="s">
        <v>322</v>
      </c>
      <c r="Q2015" t="s">
        <v>333</v>
      </c>
      <c r="R2015" t="str">
        <f>IF(COUNTIF(Sheet2!B:B, A2015) &gt; 0, "Yes", "No")</f>
        <v>No</v>
      </c>
    </row>
    <row r="2016" spans="1:18" x14ac:dyDescent="0.25">
      <c r="A2016" s="3">
        <v>45414</v>
      </c>
      <c r="B2016" t="s">
        <v>142</v>
      </c>
      <c r="C2016" t="s">
        <v>66</v>
      </c>
      <c r="D2016" t="s">
        <v>20</v>
      </c>
      <c r="E2016" t="s">
        <v>67</v>
      </c>
      <c r="F2016" t="s">
        <v>40</v>
      </c>
      <c r="G2016" t="s">
        <v>164</v>
      </c>
      <c r="H2016" t="s">
        <v>526</v>
      </c>
      <c r="I2016">
        <v>0.05</v>
      </c>
      <c r="J2016">
        <f t="shared" si="93"/>
        <v>29</v>
      </c>
      <c r="K2016">
        <v>1.5</v>
      </c>
      <c r="L2016">
        <f t="shared" si="94"/>
        <v>27.5</v>
      </c>
      <c r="M2016" s="4">
        <f t="shared" si="95"/>
        <v>4.230769230769231E-2</v>
      </c>
      <c r="N2016">
        <v>650</v>
      </c>
      <c r="O2016">
        <v>580</v>
      </c>
      <c r="P2016" t="s">
        <v>322</v>
      </c>
      <c r="Q2016" t="s">
        <v>333</v>
      </c>
      <c r="R2016" t="str">
        <f>IF(COUNTIF(Sheet2!B:B, A2016) &gt; 0, "Yes", "No")</f>
        <v>No</v>
      </c>
    </row>
    <row r="2017" spans="1:18" x14ac:dyDescent="0.25">
      <c r="A2017" s="3">
        <v>45414</v>
      </c>
      <c r="B2017" t="s">
        <v>142</v>
      </c>
      <c r="C2017" t="s">
        <v>66</v>
      </c>
      <c r="D2017" t="s">
        <v>20</v>
      </c>
      <c r="E2017" t="s">
        <v>67</v>
      </c>
      <c r="F2017" t="s">
        <v>43</v>
      </c>
      <c r="G2017" t="s">
        <v>111</v>
      </c>
      <c r="H2017" t="s">
        <v>112</v>
      </c>
      <c r="I2017">
        <v>0.11</v>
      </c>
      <c r="J2017">
        <f t="shared" si="93"/>
        <v>63.8</v>
      </c>
      <c r="K2017">
        <v>0</v>
      </c>
      <c r="L2017">
        <f t="shared" si="94"/>
        <v>63.8</v>
      </c>
      <c r="M2017" s="4">
        <f t="shared" si="95"/>
        <v>9.8153846153846147E-2</v>
      </c>
      <c r="N2017">
        <v>650</v>
      </c>
      <c r="O2017">
        <v>580</v>
      </c>
      <c r="P2017" t="s">
        <v>322</v>
      </c>
      <c r="Q2017" t="s">
        <v>333</v>
      </c>
      <c r="R2017" t="str">
        <f>IF(COUNTIF(Sheet2!B:B, A2017) &gt; 0, "Yes", "No")</f>
        <v>No</v>
      </c>
    </row>
    <row r="2018" spans="1:18" x14ac:dyDescent="0.25">
      <c r="A2018" s="3">
        <v>45414</v>
      </c>
      <c r="B2018" t="s">
        <v>142</v>
      </c>
      <c r="C2018" t="s">
        <v>66</v>
      </c>
      <c r="D2018" t="s">
        <v>20</v>
      </c>
      <c r="E2018" t="s">
        <v>67</v>
      </c>
      <c r="F2018" t="s">
        <v>46</v>
      </c>
      <c r="G2018" t="s">
        <v>47</v>
      </c>
      <c r="H2018" t="s">
        <v>555</v>
      </c>
      <c r="I2018">
        <v>8.5000000000000006E-2</v>
      </c>
      <c r="J2018">
        <f t="shared" si="93"/>
        <v>49.300000000000004</v>
      </c>
      <c r="K2018">
        <v>3.5</v>
      </c>
      <c r="L2018">
        <f t="shared" si="94"/>
        <v>45.800000000000004</v>
      </c>
      <c r="M2018" s="4">
        <f t="shared" si="95"/>
        <v>7.0461538461538464E-2</v>
      </c>
      <c r="N2018">
        <v>650</v>
      </c>
      <c r="O2018">
        <v>580</v>
      </c>
      <c r="P2018" t="s">
        <v>322</v>
      </c>
      <c r="Q2018" t="s">
        <v>333</v>
      </c>
      <c r="R2018" t="str">
        <f>IF(COUNTIF(Sheet2!B:B, A2018) &gt; 0, "Yes", "No")</f>
        <v>No</v>
      </c>
    </row>
    <row r="2019" spans="1:18" x14ac:dyDescent="0.25">
      <c r="A2019" s="3">
        <v>45414</v>
      </c>
      <c r="B2019" t="s">
        <v>142</v>
      </c>
      <c r="C2019" t="s">
        <v>66</v>
      </c>
      <c r="D2019" t="s">
        <v>20</v>
      </c>
      <c r="E2019" t="s">
        <v>67</v>
      </c>
      <c r="F2019" t="s">
        <v>49</v>
      </c>
      <c r="G2019" t="s">
        <v>50</v>
      </c>
      <c r="H2019" t="s">
        <v>49</v>
      </c>
      <c r="I2019">
        <v>0.09</v>
      </c>
      <c r="J2019">
        <f t="shared" si="93"/>
        <v>52.199999999999996</v>
      </c>
      <c r="K2019">
        <v>0</v>
      </c>
      <c r="L2019">
        <f t="shared" si="94"/>
        <v>52.199999999999996</v>
      </c>
      <c r="M2019" s="4">
        <f t="shared" si="95"/>
        <v>8.0307692307692302E-2</v>
      </c>
      <c r="N2019">
        <v>650</v>
      </c>
      <c r="O2019">
        <v>580</v>
      </c>
      <c r="P2019" t="s">
        <v>322</v>
      </c>
      <c r="Q2019" t="s">
        <v>333</v>
      </c>
      <c r="R2019" t="str">
        <f>IF(COUNTIF(Sheet2!B:B, A2019) &gt; 0, "Yes", "No")</f>
        <v>No</v>
      </c>
    </row>
    <row r="2020" spans="1:18" x14ac:dyDescent="0.25">
      <c r="A2020" s="3">
        <v>45415</v>
      </c>
      <c r="B2020" t="s">
        <v>142</v>
      </c>
      <c r="C2020" t="s">
        <v>79</v>
      </c>
      <c r="D2020" t="s">
        <v>20</v>
      </c>
      <c r="E2020" t="s">
        <v>21</v>
      </c>
      <c r="F2020" t="s">
        <v>22</v>
      </c>
      <c r="G2020" t="s">
        <v>122</v>
      </c>
      <c r="H2020" t="s">
        <v>240</v>
      </c>
      <c r="I2020" s="5">
        <v>0.06</v>
      </c>
      <c r="J2020">
        <f t="shared" si="93"/>
        <v>33</v>
      </c>
      <c r="K2020">
        <v>3</v>
      </c>
      <c r="L2020">
        <f t="shared" si="94"/>
        <v>30</v>
      </c>
      <c r="M2020" s="4">
        <f t="shared" si="95"/>
        <v>0.05</v>
      </c>
      <c r="N2020">
        <v>600</v>
      </c>
      <c r="O2020">
        <v>550</v>
      </c>
      <c r="P2020" t="s">
        <v>25</v>
      </c>
      <c r="Q2020" t="s">
        <v>26</v>
      </c>
      <c r="R2020" t="str">
        <f>IF(COUNTIF(Sheet2!B:B, A2020) &gt; 0, "Yes", "No")</f>
        <v>Yes</v>
      </c>
    </row>
    <row r="2021" spans="1:18" x14ac:dyDescent="0.25">
      <c r="A2021" s="3">
        <v>45415</v>
      </c>
      <c r="B2021" t="s">
        <v>142</v>
      </c>
      <c r="C2021" t="s">
        <v>79</v>
      </c>
      <c r="D2021" t="s">
        <v>20</v>
      </c>
      <c r="E2021" t="s">
        <v>21</v>
      </c>
      <c r="F2021" t="s">
        <v>27</v>
      </c>
      <c r="G2021" t="s">
        <v>81</v>
      </c>
      <c r="H2021" t="s">
        <v>378</v>
      </c>
      <c r="I2021" s="5">
        <v>0.1</v>
      </c>
      <c r="J2021">
        <f t="shared" si="93"/>
        <v>55</v>
      </c>
      <c r="K2021">
        <v>0</v>
      </c>
      <c r="L2021">
        <f t="shared" si="94"/>
        <v>55</v>
      </c>
      <c r="M2021" s="4">
        <f t="shared" si="95"/>
        <v>9.166666666666666E-2</v>
      </c>
      <c r="N2021">
        <v>600</v>
      </c>
      <c r="O2021">
        <v>550</v>
      </c>
      <c r="P2021" t="s">
        <v>25</v>
      </c>
      <c r="Q2021" t="s">
        <v>26</v>
      </c>
      <c r="R2021" t="str">
        <f>IF(COUNTIF(Sheet2!B:B, A2021) &gt; 0, "Yes", "No")</f>
        <v>Yes</v>
      </c>
    </row>
    <row r="2022" spans="1:18" x14ac:dyDescent="0.25">
      <c r="A2022" s="3">
        <v>45415</v>
      </c>
      <c r="B2022" t="s">
        <v>142</v>
      </c>
      <c r="C2022" t="s">
        <v>79</v>
      </c>
      <c r="D2022" t="s">
        <v>20</v>
      </c>
      <c r="E2022" t="s">
        <v>21</v>
      </c>
      <c r="F2022" t="s">
        <v>30</v>
      </c>
      <c r="G2022" t="s">
        <v>55</v>
      </c>
      <c r="H2022" t="s">
        <v>183</v>
      </c>
      <c r="I2022" s="5">
        <v>0.06</v>
      </c>
      <c r="J2022">
        <f t="shared" si="93"/>
        <v>33</v>
      </c>
      <c r="K2022">
        <v>0</v>
      </c>
      <c r="L2022">
        <f t="shared" si="94"/>
        <v>33</v>
      </c>
      <c r="M2022" s="4">
        <f t="shared" si="95"/>
        <v>5.5E-2</v>
      </c>
      <c r="N2022">
        <v>600</v>
      </c>
      <c r="O2022">
        <v>550</v>
      </c>
      <c r="P2022" t="s">
        <v>25</v>
      </c>
      <c r="Q2022" t="s">
        <v>26</v>
      </c>
      <c r="R2022" t="str">
        <f>IF(COUNTIF(Sheet2!B:B, A2022) &gt; 0, "Yes", "No")</f>
        <v>Yes</v>
      </c>
    </row>
    <row r="2023" spans="1:18" x14ac:dyDescent="0.25">
      <c r="A2023" s="3">
        <v>45415</v>
      </c>
      <c r="B2023" t="s">
        <v>142</v>
      </c>
      <c r="C2023" t="s">
        <v>79</v>
      </c>
      <c r="D2023" t="s">
        <v>33</v>
      </c>
      <c r="E2023" t="s">
        <v>21</v>
      </c>
      <c r="F2023" t="s">
        <v>84</v>
      </c>
      <c r="G2023" t="s">
        <v>177</v>
      </c>
      <c r="H2023" t="s">
        <v>220</v>
      </c>
      <c r="I2023" s="5">
        <v>0.3</v>
      </c>
      <c r="J2023">
        <f t="shared" si="93"/>
        <v>115.5</v>
      </c>
      <c r="K2023">
        <v>0</v>
      </c>
      <c r="L2023">
        <f t="shared" si="94"/>
        <v>115.5</v>
      </c>
      <c r="M2023" s="4">
        <f t="shared" si="95"/>
        <v>0.27500000000000002</v>
      </c>
      <c r="N2023">
        <v>420</v>
      </c>
      <c r="O2023">
        <v>385</v>
      </c>
      <c r="P2023" t="s">
        <v>25</v>
      </c>
      <c r="Q2023" t="s">
        <v>26</v>
      </c>
      <c r="R2023" t="str">
        <f>IF(COUNTIF(Sheet2!B:B, A2023) &gt; 0, "Yes", "No")</f>
        <v>Yes</v>
      </c>
    </row>
    <row r="2024" spans="1:18" x14ac:dyDescent="0.25">
      <c r="A2024" s="3">
        <v>45415</v>
      </c>
      <c r="B2024" t="s">
        <v>142</v>
      </c>
      <c r="C2024" t="s">
        <v>79</v>
      </c>
      <c r="D2024" t="s">
        <v>20</v>
      </c>
      <c r="E2024" t="s">
        <v>21</v>
      </c>
      <c r="F2024" t="s">
        <v>37</v>
      </c>
      <c r="G2024" t="s">
        <v>87</v>
      </c>
      <c r="H2024" t="s">
        <v>88</v>
      </c>
      <c r="I2024" s="5">
        <v>2.5000000000000001E-2</v>
      </c>
      <c r="J2024">
        <f t="shared" si="93"/>
        <v>13.75</v>
      </c>
      <c r="K2024">
        <v>2</v>
      </c>
      <c r="L2024">
        <f t="shared" si="94"/>
        <v>11.75</v>
      </c>
      <c r="M2024" s="4">
        <f t="shared" si="95"/>
        <v>1.9583333333333335E-2</v>
      </c>
      <c r="N2024">
        <v>600</v>
      </c>
      <c r="O2024">
        <v>550</v>
      </c>
      <c r="P2024" t="s">
        <v>25</v>
      </c>
      <c r="Q2024" t="s">
        <v>26</v>
      </c>
      <c r="R2024" t="str">
        <f>IF(COUNTIF(Sheet2!B:B, A2024) &gt; 0, "Yes", "No")</f>
        <v>Yes</v>
      </c>
    </row>
    <row r="2025" spans="1:18" x14ac:dyDescent="0.25">
      <c r="A2025" s="3">
        <v>45415</v>
      </c>
      <c r="B2025" t="s">
        <v>142</v>
      </c>
      <c r="C2025" t="s">
        <v>79</v>
      </c>
      <c r="D2025" t="s">
        <v>20</v>
      </c>
      <c r="E2025" t="s">
        <v>21</v>
      </c>
      <c r="F2025" t="s">
        <v>40</v>
      </c>
      <c r="G2025" t="s">
        <v>157</v>
      </c>
      <c r="H2025" t="s">
        <v>214</v>
      </c>
      <c r="I2025" s="5">
        <v>0.04</v>
      </c>
      <c r="J2025">
        <f t="shared" si="93"/>
        <v>22</v>
      </c>
      <c r="K2025">
        <v>2</v>
      </c>
      <c r="L2025">
        <f t="shared" si="94"/>
        <v>20</v>
      </c>
      <c r="M2025" s="4">
        <f t="shared" si="95"/>
        <v>3.3333333333333333E-2</v>
      </c>
      <c r="N2025">
        <v>600</v>
      </c>
      <c r="O2025">
        <v>550</v>
      </c>
      <c r="P2025" t="s">
        <v>25</v>
      </c>
      <c r="Q2025" t="s">
        <v>26</v>
      </c>
      <c r="R2025" t="str">
        <f>IF(COUNTIF(Sheet2!B:B, A2025) &gt; 0, "Yes", "No")</f>
        <v>Yes</v>
      </c>
    </row>
    <row r="2026" spans="1:18" x14ac:dyDescent="0.25">
      <c r="A2026" s="3">
        <v>45415</v>
      </c>
      <c r="B2026" t="s">
        <v>142</v>
      </c>
      <c r="C2026" t="s">
        <v>79</v>
      </c>
      <c r="D2026" t="s">
        <v>20</v>
      </c>
      <c r="E2026" t="s">
        <v>21</v>
      </c>
      <c r="F2026" t="s">
        <v>43</v>
      </c>
      <c r="G2026" t="s">
        <v>90</v>
      </c>
      <c r="H2026" t="s">
        <v>239</v>
      </c>
      <c r="I2026" s="5">
        <v>7.0000000000000007E-2</v>
      </c>
      <c r="J2026">
        <f t="shared" si="93"/>
        <v>38.500000000000007</v>
      </c>
      <c r="K2026">
        <v>0</v>
      </c>
      <c r="L2026">
        <f t="shared" si="94"/>
        <v>38.500000000000007</v>
      </c>
      <c r="M2026" s="4">
        <f t="shared" si="95"/>
        <v>6.4166666666666677E-2</v>
      </c>
      <c r="N2026">
        <v>600</v>
      </c>
      <c r="O2026">
        <v>550</v>
      </c>
      <c r="P2026" t="s">
        <v>25</v>
      </c>
      <c r="Q2026" t="s">
        <v>26</v>
      </c>
      <c r="R2026" t="str">
        <f>IF(COUNTIF(Sheet2!B:B, A2026) &gt; 0, "Yes", "No")</f>
        <v>Yes</v>
      </c>
    </row>
    <row r="2027" spans="1:18" x14ac:dyDescent="0.25">
      <c r="A2027" s="3">
        <v>45415</v>
      </c>
      <c r="B2027" t="s">
        <v>142</v>
      </c>
      <c r="C2027" t="s">
        <v>79</v>
      </c>
      <c r="D2027" t="s">
        <v>20</v>
      </c>
      <c r="E2027" t="s">
        <v>21</v>
      </c>
      <c r="F2027" t="s">
        <v>46</v>
      </c>
      <c r="G2027" t="s">
        <v>92</v>
      </c>
      <c r="H2027" t="s">
        <v>321</v>
      </c>
      <c r="I2027" s="5">
        <v>0.06</v>
      </c>
      <c r="J2027">
        <f t="shared" si="93"/>
        <v>33</v>
      </c>
      <c r="K2027">
        <v>3</v>
      </c>
      <c r="L2027">
        <f t="shared" si="94"/>
        <v>30</v>
      </c>
      <c r="M2027" s="4">
        <f t="shared" si="95"/>
        <v>0.05</v>
      </c>
      <c r="N2027">
        <v>600</v>
      </c>
      <c r="O2027">
        <v>550</v>
      </c>
      <c r="P2027" t="s">
        <v>25</v>
      </c>
      <c r="Q2027" t="s">
        <v>26</v>
      </c>
      <c r="R2027" t="str">
        <f>IF(COUNTIF(Sheet2!B:B, A2027) &gt; 0, "Yes", "No")</f>
        <v>Yes</v>
      </c>
    </row>
    <row r="2028" spans="1:18" x14ac:dyDescent="0.25">
      <c r="A2028" s="3">
        <v>45415</v>
      </c>
      <c r="B2028" t="s">
        <v>142</v>
      </c>
      <c r="C2028" t="s">
        <v>79</v>
      </c>
      <c r="D2028" t="s">
        <v>20</v>
      </c>
      <c r="E2028" t="s">
        <v>21</v>
      </c>
      <c r="F2028" t="s">
        <v>49</v>
      </c>
      <c r="G2028" t="s">
        <v>50</v>
      </c>
      <c r="H2028" t="s">
        <v>49</v>
      </c>
      <c r="I2028" s="5">
        <v>0.04</v>
      </c>
      <c r="J2028">
        <f t="shared" si="93"/>
        <v>22</v>
      </c>
      <c r="K2028">
        <v>2</v>
      </c>
      <c r="L2028">
        <f t="shared" si="94"/>
        <v>20</v>
      </c>
      <c r="M2028" s="4">
        <f t="shared" si="95"/>
        <v>3.3333333333333333E-2</v>
      </c>
      <c r="N2028">
        <v>600</v>
      </c>
      <c r="O2028">
        <v>550</v>
      </c>
      <c r="P2028" t="s">
        <v>25</v>
      </c>
      <c r="Q2028" t="s">
        <v>26</v>
      </c>
      <c r="R2028" t="str">
        <f>IF(COUNTIF(Sheet2!B:B, A2028) &gt; 0, "Yes", "No")</f>
        <v>Yes</v>
      </c>
    </row>
    <row r="2029" spans="1:18" x14ac:dyDescent="0.25">
      <c r="A2029" s="3">
        <v>45418</v>
      </c>
      <c r="B2029" t="s">
        <v>142</v>
      </c>
      <c r="C2029" t="s">
        <v>19</v>
      </c>
      <c r="D2029" t="s">
        <v>20</v>
      </c>
      <c r="E2029" t="s">
        <v>21</v>
      </c>
      <c r="F2029" t="s">
        <v>22</v>
      </c>
      <c r="G2029" t="s">
        <v>23</v>
      </c>
      <c r="H2029" t="s">
        <v>24</v>
      </c>
      <c r="I2029">
        <v>8.5000000000000006E-2</v>
      </c>
      <c r="J2029">
        <f t="shared" si="93"/>
        <v>56.95</v>
      </c>
      <c r="K2029">
        <v>3</v>
      </c>
      <c r="L2029">
        <f t="shared" si="94"/>
        <v>53.95</v>
      </c>
      <c r="M2029" s="4">
        <f t="shared" si="95"/>
        <v>7.1933333333333335E-2</v>
      </c>
      <c r="N2029">
        <v>750</v>
      </c>
      <c r="O2029">
        <v>670</v>
      </c>
      <c r="P2029" t="s">
        <v>25</v>
      </c>
      <c r="Q2029" t="s">
        <v>26</v>
      </c>
      <c r="R2029" t="str">
        <f>IF(COUNTIF(Sheet2!B:B, A2029) &gt; 0, "Yes", "No")</f>
        <v>No</v>
      </c>
    </row>
    <row r="2030" spans="1:18" x14ac:dyDescent="0.25">
      <c r="A2030" s="3">
        <v>45418</v>
      </c>
      <c r="B2030" t="s">
        <v>142</v>
      </c>
      <c r="C2030" t="s">
        <v>19</v>
      </c>
      <c r="D2030" t="s">
        <v>20</v>
      </c>
      <c r="E2030" t="s">
        <v>21</v>
      </c>
      <c r="F2030" t="s">
        <v>27</v>
      </c>
      <c r="G2030" t="s">
        <v>144</v>
      </c>
      <c r="H2030" t="s">
        <v>556</v>
      </c>
      <c r="I2030">
        <v>0.11</v>
      </c>
      <c r="J2030">
        <f t="shared" si="93"/>
        <v>73.7</v>
      </c>
      <c r="K2030">
        <v>2</v>
      </c>
      <c r="L2030">
        <f t="shared" si="94"/>
        <v>71.7</v>
      </c>
      <c r="M2030" s="4">
        <f t="shared" si="95"/>
        <v>9.5600000000000004E-2</v>
      </c>
      <c r="N2030">
        <v>750</v>
      </c>
      <c r="O2030">
        <v>670</v>
      </c>
      <c r="P2030" t="s">
        <v>25</v>
      </c>
      <c r="Q2030" t="s">
        <v>26</v>
      </c>
      <c r="R2030" t="str">
        <f>IF(COUNTIF(Sheet2!B:B, A2030) &gt; 0, "Yes", "No")</f>
        <v>No</v>
      </c>
    </row>
    <row r="2031" spans="1:18" x14ac:dyDescent="0.25">
      <c r="A2031" s="3">
        <v>45418</v>
      </c>
      <c r="B2031" t="s">
        <v>142</v>
      </c>
      <c r="C2031" t="s">
        <v>19</v>
      </c>
      <c r="D2031" t="s">
        <v>20</v>
      </c>
      <c r="E2031" t="s">
        <v>21</v>
      </c>
      <c r="F2031" t="s">
        <v>30</v>
      </c>
      <c r="G2031" t="s">
        <v>55</v>
      </c>
      <c r="H2031" t="s">
        <v>183</v>
      </c>
      <c r="I2031">
        <v>0.09</v>
      </c>
      <c r="J2031">
        <f t="shared" si="93"/>
        <v>60.3</v>
      </c>
      <c r="K2031">
        <v>1</v>
      </c>
      <c r="L2031">
        <f t="shared" si="94"/>
        <v>59.3</v>
      </c>
      <c r="M2031" s="4">
        <f t="shared" si="95"/>
        <v>7.906666666666666E-2</v>
      </c>
      <c r="N2031">
        <v>750</v>
      </c>
      <c r="O2031">
        <v>670</v>
      </c>
      <c r="P2031" t="s">
        <v>25</v>
      </c>
      <c r="Q2031" t="s">
        <v>26</v>
      </c>
      <c r="R2031" t="str">
        <f>IF(COUNTIF(Sheet2!B:B, A2031) &gt; 0, "Yes", "No")</f>
        <v>No</v>
      </c>
    </row>
    <row r="2032" spans="1:18" x14ac:dyDescent="0.25">
      <c r="A2032" s="3">
        <v>45418</v>
      </c>
      <c r="B2032" t="s">
        <v>142</v>
      </c>
      <c r="C2032" t="s">
        <v>19</v>
      </c>
      <c r="D2032" t="s">
        <v>33</v>
      </c>
      <c r="E2032" t="s">
        <v>21</v>
      </c>
      <c r="F2032" t="s">
        <v>34</v>
      </c>
      <c r="G2032" t="s">
        <v>57</v>
      </c>
      <c r="H2032" t="s">
        <v>528</v>
      </c>
      <c r="I2032">
        <v>0.15</v>
      </c>
      <c r="J2032">
        <f t="shared" si="93"/>
        <v>63</v>
      </c>
      <c r="K2032">
        <v>0</v>
      </c>
      <c r="L2032">
        <f t="shared" si="94"/>
        <v>63</v>
      </c>
      <c r="M2032" s="4">
        <f t="shared" si="95"/>
        <v>0.12</v>
      </c>
      <c r="N2032">
        <v>525</v>
      </c>
      <c r="O2032">
        <v>420</v>
      </c>
      <c r="P2032" t="s">
        <v>25</v>
      </c>
      <c r="Q2032" t="s">
        <v>26</v>
      </c>
      <c r="R2032" t="str">
        <f>IF(COUNTIF(Sheet2!B:B, A2032) &gt; 0, "Yes", "No")</f>
        <v>No</v>
      </c>
    </row>
    <row r="2033" spans="1:18" x14ac:dyDescent="0.25">
      <c r="A2033" s="3">
        <v>45418</v>
      </c>
      <c r="B2033" t="s">
        <v>142</v>
      </c>
      <c r="C2033" t="s">
        <v>19</v>
      </c>
      <c r="D2033" t="s">
        <v>20</v>
      </c>
      <c r="E2033" t="s">
        <v>21</v>
      </c>
      <c r="F2033" t="s">
        <v>37</v>
      </c>
      <c r="G2033" t="s">
        <v>87</v>
      </c>
      <c r="H2033" t="s">
        <v>88</v>
      </c>
      <c r="I2033">
        <v>0.03</v>
      </c>
      <c r="J2033">
        <f t="shared" si="93"/>
        <v>20.099999999999998</v>
      </c>
      <c r="K2033">
        <v>2</v>
      </c>
      <c r="L2033">
        <f t="shared" si="94"/>
        <v>18.099999999999998</v>
      </c>
      <c r="M2033" s="4">
        <f t="shared" si="95"/>
        <v>2.413333333333333E-2</v>
      </c>
      <c r="N2033">
        <v>750</v>
      </c>
      <c r="O2033">
        <v>670</v>
      </c>
      <c r="P2033" t="s">
        <v>25</v>
      </c>
      <c r="Q2033" t="s">
        <v>26</v>
      </c>
      <c r="R2033" t="str">
        <f>IF(COUNTIF(Sheet2!B:B, A2033) &gt; 0, "Yes", "No")</f>
        <v>No</v>
      </c>
    </row>
    <row r="2034" spans="1:18" x14ac:dyDescent="0.25">
      <c r="A2034" s="3">
        <v>45418</v>
      </c>
      <c r="B2034" t="s">
        <v>142</v>
      </c>
      <c r="C2034" t="s">
        <v>19</v>
      </c>
      <c r="D2034" t="s">
        <v>20</v>
      </c>
      <c r="E2034" t="s">
        <v>21</v>
      </c>
      <c r="F2034" t="s">
        <v>40</v>
      </c>
      <c r="G2034" t="s">
        <v>157</v>
      </c>
      <c r="H2034" t="s">
        <v>158</v>
      </c>
      <c r="I2034">
        <v>4.4999999999999998E-2</v>
      </c>
      <c r="J2034">
        <f t="shared" si="93"/>
        <v>30.15</v>
      </c>
      <c r="K2034">
        <v>1</v>
      </c>
      <c r="L2034">
        <f t="shared" si="94"/>
        <v>29.15</v>
      </c>
      <c r="M2034" s="4">
        <f t="shared" si="95"/>
        <v>3.8866666666666667E-2</v>
      </c>
      <c r="N2034">
        <v>750</v>
      </c>
      <c r="O2034">
        <v>670</v>
      </c>
      <c r="P2034" t="s">
        <v>25</v>
      </c>
      <c r="Q2034" t="s">
        <v>26</v>
      </c>
      <c r="R2034" t="str">
        <f>IF(COUNTIF(Sheet2!B:B, A2034) &gt; 0, "Yes", "No")</f>
        <v>No</v>
      </c>
    </row>
    <row r="2035" spans="1:18" x14ac:dyDescent="0.25">
      <c r="A2035" s="3">
        <v>45418</v>
      </c>
      <c r="B2035" t="s">
        <v>142</v>
      </c>
      <c r="C2035" t="s">
        <v>19</v>
      </c>
      <c r="D2035" t="s">
        <v>20</v>
      </c>
      <c r="E2035" t="s">
        <v>21</v>
      </c>
      <c r="F2035" t="s">
        <v>43</v>
      </c>
      <c r="G2035" t="s">
        <v>414</v>
      </c>
      <c r="H2035" t="s">
        <v>415</v>
      </c>
      <c r="I2035">
        <v>0.11</v>
      </c>
      <c r="J2035">
        <f t="shared" si="93"/>
        <v>73.7</v>
      </c>
      <c r="K2035">
        <v>1.2</v>
      </c>
      <c r="L2035">
        <f t="shared" si="94"/>
        <v>72.5</v>
      </c>
      <c r="M2035" s="4">
        <f t="shared" si="95"/>
        <v>9.6666666666666665E-2</v>
      </c>
      <c r="N2035">
        <v>750</v>
      </c>
      <c r="O2035">
        <v>670</v>
      </c>
      <c r="P2035" t="s">
        <v>25</v>
      </c>
      <c r="Q2035" t="s">
        <v>26</v>
      </c>
      <c r="R2035" t="str">
        <f>IF(COUNTIF(Sheet2!B:B, A2035) &gt; 0, "Yes", "No")</f>
        <v>No</v>
      </c>
    </row>
    <row r="2036" spans="1:18" x14ac:dyDescent="0.25">
      <c r="A2036" s="3">
        <v>45418</v>
      </c>
      <c r="B2036" t="s">
        <v>142</v>
      </c>
      <c r="C2036" t="s">
        <v>19</v>
      </c>
      <c r="D2036" t="s">
        <v>20</v>
      </c>
      <c r="E2036" t="s">
        <v>21</v>
      </c>
      <c r="F2036" t="s">
        <v>46</v>
      </c>
      <c r="G2036" t="s">
        <v>47</v>
      </c>
      <c r="H2036" t="s">
        <v>350</v>
      </c>
      <c r="I2036">
        <v>8.5000000000000006E-2</v>
      </c>
      <c r="J2036">
        <f t="shared" si="93"/>
        <v>56.95</v>
      </c>
      <c r="K2036">
        <v>4</v>
      </c>
      <c r="L2036">
        <f t="shared" si="94"/>
        <v>52.95</v>
      </c>
      <c r="M2036" s="4">
        <f t="shared" si="95"/>
        <v>7.060000000000001E-2</v>
      </c>
      <c r="N2036">
        <v>750</v>
      </c>
      <c r="O2036">
        <v>670</v>
      </c>
      <c r="P2036" t="s">
        <v>25</v>
      </c>
      <c r="Q2036" t="s">
        <v>26</v>
      </c>
      <c r="R2036" t="str">
        <f>IF(COUNTIF(Sheet2!B:B, A2036) &gt; 0, "Yes", "No")</f>
        <v>No</v>
      </c>
    </row>
    <row r="2037" spans="1:18" x14ac:dyDescent="0.25">
      <c r="A2037" s="3">
        <v>45418</v>
      </c>
      <c r="B2037" t="s">
        <v>142</v>
      </c>
      <c r="C2037" t="s">
        <v>19</v>
      </c>
      <c r="D2037" t="s">
        <v>20</v>
      </c>
      <c r="E2037" t="s">
        <v>21</v>
      </c>
      <c r="F2037" t="s">
        <v>49</v>
      </c>
      <c r="G2037" t="s">
        <v>50</v>
      </c>
      <c r="H2037" t="s">
        <v>49</v>
      </c>
      <c r="I2037">
        <v>0.09</v>
      </c>
      <c r="J2037">
        <f t="shared" si="93"/>
        <v>60.3</v>
      </c>
      <c r="K2037">
        <v>2</v>
      </c>
      <c r="L2037">
        <f t="shared" si="94"/>
        <v>58.3</v>
      </c>
      <c r="M2037" s="4">
        <f t="shared" si="95"/>
        <v>7.7733333333333335E-2</v>
      </c>
      <c r="N2037">
        <v>750</v>
      </c>
      <c r="O2037">
        <v>670</v>
      </c>
      <c r="P2037" t="s">
        <v>25</v>
      </c>
      <c r="Q2037" t="s">
        <v>26</v>
      </c>
      <c r="R2037" t="str">
        <f>IF(COUNTIF(Sheet2!B:B, A2037) &gt; 0, "Yes", "No")</f>
        <v>No</v>
      </c>
    </row>
    <row r="2038" spans="1:18" x14ac:dyDescent="0.25">
      <c r="A2038" s="3">
        <v>45419</v>
      </c>
      <c r="B2038" t="s">
        <v>142</v>
      </c>
      <c r="C2038" t="s">
        <v>105</v>
      </c>
      <c r="D2038" t="s">
        <v>20</v>
      </c>
      <c r="E2038" t="s">
        <v>67</v>
      </c>
      <c r="F2038" t="s">
        <v>22</v>
      </c>
      <c r="G2038" t="s">
        <v>122</v>
      </c>
      <c r="H2038" t="s">
        <v>557</v>
      </c>
      <c r="I2038">
        <v>8.5000000000000006E-2</v>
      </c>
      <c r="J2038">
        <f t="shared" si="93"/>
        <v>56.95</v>
      </c>
      <c r="K2038">
        <v>4</v>
      </c>
      <c r="L2038">
        <f t="shared" si="94"/>
        <v>52.95</v>
      </c>
      <c r="M2038" s="4">
        <f t="shared" si="95"/>
        <v>7.060000000000001E-2</v>
      </c>
      <c r="N2038">
        <v>750</v>
      </c>
      <c r="O2038">
        <v>670</v>
      </c>
      <c r="P2038" t="s">
        <v>25</v>
      </c>
      <c r="Q2038" t="s">
        <v>26</v>
      </c>
      <c r="R2038" t="str">
        <f>IF(COUNTIF(Sheet2!B:B, A2038) &gt; 0, "Yes", "No")</f>
        <v>No</v>
      </c>
    </row>
    <row r="2039" spans="1:18" x14ac:dyDescent="0.25">
      <c r="A2039" s="3">
        <v>45419</v>
      </c>
      <c r="B2039" t="s">
        <v>142</v>
      </c>
      <c r="C2039" t="s">
        <v>105</v>
      </c>
      <c r="D2039" t="s">
        <v>20</v>
      </c>
      <c r="E2039" t="s">
        <v>67</v>
      </c>
      <c r="F2039" t="s">
        <v>27</v>
      </c>
      <c r="G2039" t="s">
        <v>541</v>
      </c>
      <c r="H2039" t="s">
        <v>541</v>
      </c>
      <c r="I2039">
        <v>0.12</v>
      </c>
      <c r="J2039">
        <f t="shared" si="93"/>
        <v>80.399999999999991</v>
      </c>
      <c r="K2039">
        <v>0</v>
      </c>
      <c r="L2039">
        <f t="shared" si="94"/>
        <v>80.399999999999991</v>
      </c>
      <c r="M2039" s="4">
        <f t="shared" si="95"/>
        <v>0.10719999999999999</v>
      </c>
      <c r="N2039">
        <v>750</v>
      </c>
      <c r="O2039">
        <v>670</v>
      </c>
      <c r="P2039" t="s">
        <v>25</v>
      </c>
      <c r="Q2039" t="s">
        <v>26</v>
      </c>
      <c r="R2039" t="str">
        <f>IF(COUNTIF(Sheet2!B:B, A2039) &gt; 0, "Yes", "No")</f>
        <v>No</v>
      </c>
    </row>
    <row r="2040" spans="1:18" x14ac:dyDescent="0.25">
      <c r="A2040" s="3">
        <v>45419</v>
      </c>
      <c r="B2040" t="s">
        <v>142</v>
      </c>
      <c r="C2040" t="s">
        <v>105</v>
      </c>
      <c r="D2040" t="s">
        <v>20</v>
      </c>
      <c r="E2040" t="s">
        <v>67</v>
      </c>
      <c r="F2040" t="s">
        <v>30</v>
      </c>
      <c r="G2040" t="s">
        <v>31</v>
      </c>
      <c r="H2040" t="s">
        <v>389</v>
      </c>
      <c r="I2040">
        <v>0.09</v>
      </c>
      <c r="J2040">
        <f t="shared" si="93"/>
        <v>60.3</v>
      </c>
      <c r="K2040">
        <v>0</v>
      </c>
      <c r="L2040">
        <f t="shared" si="94"/>
        <v>60.3</v>
      </c>
      <c r="M2040" s="4">
        <f t="shared" si="95"/>
        <v>8.0399999999999999E-2</v>
      </c>
      <c r="N2040">
        <v>750</v>
      </c>
      <c r="O2040">
        <v>670</v>
      </c>
      <c r="P2040" t="s">
        <v>25</v>
      </c>
      <c r="Q2040" t="s">
        <v>26</v>
      </c>
      <c r="R2040" t="str">
        <f>IF(COUNTIF(Sheet2!B:B, A2040) &gt; 0, "Yes", "No")</f>
        <v>No</v>
      </c>
    </row>
    <row r="2041" spans="1:18" x14ac:dyDescent="0.25">
      <c r="A2041" s="3">
        <v>45419</v>
      </c>
      <c r="B2041" t="s">
        <v>142</v>
      </c>
      <c r="C2041" t="s">
        <v>105</v>
      </c>
      <c r="D2041" t="s">
        <v>20</v>
      </c>
      <c r="E2041" t="s">
        <v>67</v>
      </c>
      <c r="F2041" t="s">
        <v>37</v>
      </c>
      <c r="G2041" t="s">
        <v>71</v>
      </c>
      <c r="H2041" t="s">
        <v>72</v>
      </c>
      <c r="I2041">
        <v>3.5000000000000003E-2</v>
      </c>
      <c r="J2041">
        <f t="shared" si="93"/>
        <v>23.450000000000003</v>
      </c>
      <c r="K2041">
        <v>2</v>
      </c>
      <c r="L2041">
        <f t="shared" si="94"/>
        <v>21.450000000000003</v>
      </c>
      <c r="M2041" s="4">
        <f t="shared" si="95"/>
        <v>2.8600000000000004E-2</v>
      </c>
      <c r="N2041">
        <v>750</v>
      </c>
      <c r="O2041">
        <v>670</v>
      </c>
      <c r="P2041" t="s">
        <v>25</v>
      </c>
      <c r="Q2041" t="s">
        <v>26</v>
      </c>
      <c r="R2041" t="str">
        <f>IF(COUNTIF(Sheet2!B:B, A2041) &gt; 0, "Yes", "No")</f>
        <v>No</v>
      </c>
    </row>
    <row r="2042" spans="1:18" x14ac:dyDescent="0.25">
      <c r="A2042" s="3">
        <v>45419</v>
      </c>
      <c r="B2042" t="s">
        <v>142</v>
      </c>
      <c r="C2042" t="s">
        <v>105</v>
      </c>
      <c r="D2042" t="s">
        <v>20</v>
      </c>
      <c r="E2042" t="s">
        <v>67</v>
      </c>
      <c r="F2042" t="s">
        <v>40</v>
      </c>
      <c r="G2042" t="s">
        <v>164</v>
      </c>
      <c r="H2042" t="s">
        <v>202</v>
      </c>
      <c r="I2042">
        <v>0.05</v>
      </c>
      <c r="J2042">
        <f t="shared" si="93"/>
        <v>33.5</v>
      </c>
      <c r="K2042">
        <v>2</v>
      </c>
      <c r="L2042">
        <f t="shared" si="94"/>
        <v>31.5</v>
      </c>
      <c r="M2042" s="4">
        <f t="shared" si="95"/>
        <v>4.2000000000000003E-2</v>
      </c>
      <c r="N2042">
        <v>750</v>
      </c>
      <c r="O2042">
        <v>670</v>
      </c>
      <c r="P2042" t="s">
        <v>25</v>
      </c>
      <c r="Q2042" t="s">
        <v>26</v>
      </c>
      <c r="R2042" t="str">
        <f>IF(COUNTIF(Sheet2!B:B, A2042) &gt; 0, "Yes", "No")</f>
        <v>No</v>
      </c>
    </row>
    <row r="2043" spans="1:18" x14ac:dyDescent="0.25">
      <c r="A2043" s="3">
        <v>45419</v>
      </c>
      <c r="B2043" t="s">
        <v>142</v>
      </c>
      <c r="C2043" t="s">
        <v>105</v>
      </c>
      <c r="D2043" t="s">
        <v>20</v>
      </c>
      <c r="E2043" t="s">
        <v>67</v>
      </c>
      <c r="F2043" t="s">
        <v>43</v>
      </c>
      <c r="G2043" t="s">
        <v>75</v>
      </c>
      <c r="H2043" t="s">
        <v>76</v>
      </c>
      <c r="I2043">
        <v>0.11</v>
      </c>
      <c r="J2043">
        <f t="shared" si="93"/>
        <v>73.7</v>
      </c>
      <c r="K2043">
        <v>5</v>
      </c>
      <c r="L2043">
        <f t="shared" si="94"/>
        <v>68.7</v>
      </c>
      <c r="M2043" s="4">
        <f t="shared" si="95"/>
        <v>9.1600000000000001E-2</v>
      </c>
      <c r="N2043">
        <v>750</v>
      </c>
      <c r="O2043">
        <v>670</v>
      </c>
      <c r="P2043" t="s">
        <v>25</v>
      </c>
      <c r="Q2043" t="s">
        <v>26</v>
      </c>
      <c r="R2043" t="str">
        <f>IF(COUNTIF(Sheet2!B:B, A2043) &gt; 0, "Yes", "No")</f>
        <v>No</v>
      </c>
    </row>
    <row r="2044" spans="1:18" x14ac:dyDescent="0.25">
      <c r="A2044" s="3">
        <v>45419</v>
      </c>
      <c r="B2044" t="s">
        <v>142</v>
      </c>
      <c r="C2044" t="s">
        <v>105</v>
      </c>
      <c r="D2044" t="s">
        <v>20</v>
      </c>
      <c r="E2044" t="s">
        <v>67</v>
      </c>
      <c r="F2044" t="s">
        <v>46</v>
      </c>
      <c r="G2044" t="s">
        <v>169</v>
      </c>
      <c r="H2044" t="s">
        <v>170</v>
      </c>
      <c r="I2044">
        <v>8.5000000000000006E-2</v>
      </c>
      <c r="J2044">
        <f t="shared" si="93"/>
        <v>56.95</v>
      </c>
      <c r="K2044">
        <v>0</v>
      </c>
      <c r="L2044">
        <f t="shared" si="94"/>
        <v>56.95</v>
      </c>
      <c r="M2044" s="4">
        <f t="shared" si="95"/>
        <v>7.5933333333333339E-2</v>
      </c>
      <c r="N2044">
        <v>750</v>
      </c>
      <c r="O2044">
        <v>670</v>
      </c>
      <c r="P2044" t="s">
        <v>25</v>
      </c>
      <c r="Q2044" t="s">
        <v>26</v>
      </c>
      <c r="R2044" t="str">
        <f>IF(COUNTIF(Sheet2!B:B, A2044) &gt; 0, "Yes", "No")</f>
        <v>No</v>
      </c>
    </row>
    <row r="2045" spans="1:18" x14ac:dyDescent="0.25">
      <c r="A2045" s="3">
        <v>45419</v>
      </c>
      <c r="B2045" t="s">
        <v>142</v>
      </c>
      <c r="C2045" t="s">
        <v>105</v>
      </c>
      <c r="D2045" t="s">
        <v>20</v>
      </c>
      <c r="E2045" t="s">
        <v>67</v>
      </c>
      <c r="F2045" t="s">
        <v>49</v>
      </c>
      <c r="G2045" t="s">
        <v>50</v>
      </c>
      <c r="H2045" t="s">
        <v>49</v>
      </c>
      <c r="I2045">
        <v>0.09</v>
      </c>
      <c r="J2045">
        <f t="shared" si="93"/>
        <v>60.3</v>
      </c>
      <c r="K2045">
        <v>0</v>
      </c>
      <c r="L2045">
        <f t="shared" si="94"/>
        <v>60.3</v>
      </c>
      <c r="M2045" s="4">
        <f t="shared" si="95"/>
        <v>8.0399999999999999E-2</v>
      </c>
      <c r="N2045">
        <v>750</v>
      </c>
      <c r="O2045">
        <v>670</v>
      </c>
      <c r="P2045" t="s">
        <v>25</v>
      </c>
      <c r="Q2045" t="s">
        <v>26</v>
      </c>
      <c r="R2045" t="str">
        <f>IF(COUNTIF(Sheet2!B:B, A2045) &gt; 0, "Yes", "No")</f>
        <v>No</v>
      </c>
    </row>
    <row r="2046" spans="1:18" x14ac:dyDescent="0.25">
      <c r="A2046" s="3">
        <v>45420</v>
      </c>
      <c r="B2046" t="s">
        <v>142</v>
      </c>
      <c r="C2046" t="s">
        <v>51</v>
      </c>
      <c r="D2046" t="s">
        <v>20</v>
      </c>
      <c r="E2046" t="s">
        <v>21</v>
      </c>
      <c r="F2046" t="s">
        <v>22</v>
      </c>
      <c r="G2046" t="s">
        <v>94</v>
      </c>
      <c r="H2046" t="s">
        <v>368</v>
      </c>
      <c r="I2046">
        <v>8.5000000000000006E-2</v>
      </c>
      <c r="J2046">
        <f t="shared" si="93"/>
        <v>59.500000000000007</v>
      </c>
      <c r="K2046">
        <v>2</v>
      </c>
      <c r="L2046">
        <f t="shared" si="94"/>
        <v>57.500000000000007</v>
      </c>
      <c r="M2046" s="4">
        <f t="shared" si="95"/>
        <v>7.3717948717948734E-2</v>
      </c>
      <c r="N2046">
        <v>780</v>
      </c>
      <c r="O2046">
        <v>700</v>
      </c>
      <c r="P2046" t="s">
        <v>25</v>
      </c>
      <c r="Q2046" t="s">
        <v>26</v>
      </c>
      <c r="R2046" t="str">
        <f>IF(COUNTIF(Sheet2!B:B, A2046) &gt; 0, "Yes", "No")</f>
        <v>No</v>
      </c>
    </row>
    <row r="2047" spans="1:18" x14ac:dyDescent="0.25">
      <c r="A2047" s="3">
        <v>45420</v>
      </c>
      <c r="B2047" t="s">
        <v>142</v>
      </c>
      <c r="C2047" t="s">
        <v>51</v>
      </c>
      <c r="D2047" t="s">
        <v>20</v>
      </c>
      <c r="E2047" t="s">
        <v>21</v>
      </c>
      <c r="F2047" t="s">
        <v>27</v>
      </c>
      <c r="G2047" t="s">
        <v>28</v>
      </c>
      <c r="H2047" t="s">
        <v>229</v>
      </c>
      <c r="I2047">
        <v>0.11</v>
      </c>
      <c r="J2047">
        <f t="shared" si="93"/>
        <v>77</v>
      </c>
      <c r="K2047">
        <v>2</v>
      </c>
      <c r="L2047">
        <f t="shared" si="94"/>
        <v>75</v>
      </c>
      <c r="M2047" s="4">
        <f t="shared" si="95"/>
        <v>9.6153846153846159E-2</v>
      </c>
      <c r="N2047">
        <v>780</v>
      </c>
      <c r="O2047">
        <v>700</v>
      </c>
      <c r="P2047" t="s">
        <v>25</v>
      </c>
      <c r="Q2047" t="s">
        <v>26</v>
      </c>
      <c r="R2047" t="str">
        <f>IF(COUNTIF(Sheet2!B:B, A2047) &gt; 0, "Yes", "No")</f>
        <v>No</v>
      </c>
    </row>
    <row r="2048" spans="1:18" x14ac:dyDescent="0.25">
      <c r="A2048" s="3">
        <v>45420</v>
      </c>
      <c r="B2048" t="s">
        <v>142</v>
      </c>
      <c r="C2048" t="s">
        <v>51</v>
      </c>
      <c r="D2048" t="s">
        <v>20</v>
      </c>
      <c r="E2048" t="s">
        <v>21</v>
      </c>
      <c r="F2048" t="s">
        <v>30</v>
      </c>
      <c r="G2048" t="s">
        <v>31</v>
      </c>
      <c r="H2048" t="s">
        <v>31</v>
      </c>
      <c r="I2048">
        <v>0.09</v>
      </c>
      <c r="J2048">
        <f t="shared" si="93"/>
        <v>63</v>
      </c>
      <c r="K2048">
        <v>0</v>
      </c>
      <c r="L2048">
        <f t="shared" si="94"/>
        <v>63</v>
      </c>
      <c r="M2048" s="4">
        <f t="shared" si="95"/>
        <v>8.0769230769230774E-2</v>
      </c>
      <c r="N2048">
        <v>780</v>
      </c>
      <c r="O2048">
        <v>700</v>
      </c>
      <c r="P2048" t="s">
        <v>25</v>
      </c>
      <c r="Q2048" t="s">
        <v>26</v>
      </c>
      <c r="R2048" t="str">
        <f>IF(COUNTIF(Sheet2!B:B, A2048) &gt; 0, "Yes", "No")</f>
        <v>No</v>
      </c>
    </row>
    <row r="2049" spans="1:18" x14ac:dyDescent="0.25">
      <c r="A2049" s="3">
        <v>45420</v>
      </c>
      <c r="B2049" t="s">
        <v>142</v>
      </c>
      <c r="C2049" t="s">
        <v>51</v>
      </c>
      <c r="D2049" t="s">
        <v>33</v>
      </c>
      <c r="E2049" t="s">
        <v>21</v>
      </c>
      <c r="F2049" t="s">
        <v>34</v>
      </c>
      <c r="G2049" t="s">
        <v>57</v>
      </c>
      <c r="H2049" t="s">
        <v>558</v>
      </c>
      <c r="I2049">
        <v>0.15</v>
      </c>
      <c r="J2049">
        <f t="shared" si="93"/>
        <v>73.5</v>
      </c>
      <c r="K2049">
        <v>0</v>
      </c>
      <c r="L2049">
        <f t="shared" si="94"/>
        <v>73.5</v>
      </c>
      <c r="M2049" s="4">
        <f t="shared" si="95"/>
        <v>0.13461538461538461</v>
      </c>
      <c r="N2049">
        <v>546</v>
      </c>
      <c r="O2049">
        <v>490</v>
      </c>
      <c r="P2049" t="s">
        <v>25</v>
      </c>
      <c r="Q2049" t="s">
        <v>26</v>
      </c>
      <c r="R2049" t="str">
        <f>IF(COUNTIF(Sheet2!B:B, A2049) &gt; 0, "Yes", "No")</f>
        <v>No</v>
      </c>
    </row>
    <row r="2050" spans="1:18" x14ac:dyDescent="0.25">
      <c r="A2050" s="3">
        <v>45420</v>
      </c>
      <c r="B2050" t="s">
        <v>142</v>
      </c>
      <c r="C2050" t="s">
        <v>51</v>
      </c>
      <c r="D2050" t="s">
        <v>20</v>
      </c>
      <c r="E2050" t="s">
        <v>21</v>
      </c>
      <c r="F2050" t="s">
        <v>37</v>
      </c>
      <c r="G2050" t="s">
        <v>59</v>
      </c>
      <c r="H2050" t="s">
        <v>60</v>
      </c>
      <c r="I2050">
        <v>0.03</v>
      </c>
      <c r="J2050">
        <f t="shared" si="93"/>
        <v>21</v>
      </c>
      <c r="K2050">
        <v>1</v>
      </c>
      <c r="L2050">
        <f t="shared" si="94"/>
        <v>20</v>
      </c>
      <c r="M2050" s="4">
        <f t="shared" si="95"/>
        <v>2.564102564102564E-2</v>
      </c>
      <c r="N2050">
        <v>780</v>
      </c>
      <c r="O2050">
        <v>700</v>
      </c>
      <c r="P2050" t="s">
        <v>25</v>
      </c>
      <c r="Q2050" t="s">
        <v>26</v>
      </c>
      <c r="R2050" t="str">
        <f>IF(COUNTIF(Sheet2!B:B, A2050) &gt; 0, "Yes", "No")</f>
        <v>No</v>
      </c>
    </row>
    <row r="2051" spans="1:18" x14ac:dyDescent="0.25">
      <c r="A2051" s="3">
        <v>45420</v>
      </c>
      <c r="B2051" t="s">
        <v>142</v>
      </c>
      <c r="C2051" t="s">
        <v>51</v>
      </c>
      <c r="D2051" t="s">
        <v>20</v>
      </c>
      <c r="E2051" t="s">
        <v>21</v>
      </c>
      <c r="F2051" t="s">
        <v>40</v>
      </c>
      <c r="G2051" t="s">
        <v>61</v>
      </c>
      <c r="H2051" t="s">
        <v>62</v>
      </c>
      <c r="I2051">
        <v>4.4999999999999998E-2</v>
      </c>
      <c r="J2051">
        <f t="shared" ref="J2051:J2114" si="96">I2051*O2051</f>
        <v>31.5</v>
      </c>
      <c r="K2051">
        <v>1</v>
      </c>
      <c r="L2051">
        <f t="shared" ref="L2051:L2114" si="97">J2051-K2051</f>
        <v>30.5</v>
      </c>
      <c r="M2051" s="4">
        <f t="shared" ref="M2051:M2114" si="98">((I2051*O2051)-K2051)/N2051</f>
        <v>3.9102564102564102E-2</v>
      </c>
      <c r="N2051">
        <v>780</v>
      </c>
      <c r="O2051">
        <v>700</v>
      </c>
      <c r="P2051" t="s">
        <v>25</v>
      </c>
      <c r="Q2051" t="s">
        <v>26</v>
      </c>
      <c r="R2051" t="str">
        <f>IF(COUNTIF(Sheet2!B:B, A2051) &gt; 0, "Yes", "No")</f>
        <v>No</v>
      </c>
    </row>
    <row r="2052" spans="1:18" x14ac:dyDescent="0.25">
      <c r="A2052" s="3">
        <v>45420</v>
      </c>
      <c r="B2052" t="s">
        <v>142</v>
      </c>
      <c r="C2052" t="s">
        <v>51</v>
      </c>
      <c r="D2052" t="s">
        <v>20</v>
      </c>
      <c r="E2052" t="s">
        <v>21</v>
      </c>
      <c r="F2052" t="s">
        <v>43</v>
      </c>
      <c r="G2052" t="s">
        <v>44</v>
      </c>
      <c r="H2052" t="s">
        <v>45</v>
      </c>
      <c r="I2052">
        <v>0.11</v>
      </c>
      <c r="J2052">
        <f t="shared" si="96"/>
        <v>77</v>
      </c>
      <c r="K2052">
        <v>2</v>
      </c>
      <c r="L2052">
        <f t="shared" si="97"/>
        <v>75</v>
      </c>
      <c r="M2052" s="4">
        <f t="shared" si="98"/>
        <v>9.6153846153846159E-2</v>
      </c>
      <c r="N2052">
        <v>780</v>
      </c>
      <c r="O2052">
        <v>700</v>
      </c>
      <c r="P2052" t="s">
        <v>25</v>
      </c>
      <c r="Q2052" t="s">
        <v>26</v>
      </c>
      <c r="R2052" t="str">
        <f>IF(COUNTIF(Sheet2!B:B, A2052) &gt; 0, "Yes", "No")</f>
        <v>No</v>
      </c>
    </row>
    <row r="2053" spans="1:18" x14ac:dyDescent="0.25">
      <c r="A2053" s="3">
        <v>45420</v>
      </c>
      <c r="B2053" t="s">
        <v>142</v>
      </c>
      <c r="C2053" t="s">
        <v>51</v>
      </c>
      <c r="D2053" t="s">
        <v>20</v>
      </c>
      <c r="E2053" t="s">
        <v>21</v>
      </c>
      <c r="F2053" t="s">
        <v>46</v>
      </c>
      <c r="G2053" t="s">
        <v>47</v>
      </c>
      <c r="H2053" t="s">
        <v>141</v>
      </c>
      <c r="I2053">
        <v>8.5000000000000006E-2</v>
      </c>
      <c r="J2053">
        <f t="shared" si="96"/>
        <v>59.500000000000007</v>
      </c>
      <c r="K2053">
        <v>3</v>
      </c>
      <c r="L2053">
        <f t="shared" si="97"/>
        <v>56.500000000000007</v>
      </c>
      <c r="M2053" s="4">
        <f t="shared" si="98"/>
        <v>7.2435897435897442E-2</v>
      </c>
      <c r="N2053">
        <v>780</v>
      </c>
      <c r="O2053">
        <v>700</v>
      </c>
      <c r="P2053" t="s">
        <v>25</v>
      </c>
      <c r="Q2053" t="s">
        <v>26</v>
      </c>
      <c r="R2053" t="str">
        <f>IF(COUNTIF(Sheet2!B:B, A2053) &gt; 0, "Yes", "No")</f>
        <v>No</v>
      </c>
    </row>
    <row r="2054" spans="1:18" x14ac:dyDescent="0.25">
      <c r="A2054" s="3">
        <v>45420</v>
      </c>
      <c r="B2054" t="s">
        <v>142</v>
      </c>
      <c r="C2054" t="s">
        <v>51</v>
      </c>
      <c r="D2054" t="s">
        <v>20</v>
      </c>
      <c r="E2054" t="s">
        <v>21</v>
      </c>
      <c r="F2054" t="s">
        <v>49</v>
      </c>
      <c r="G2054" t="s">
        <v>50</v>
      </c>
      <c r="H2054" t="s">
        <v>49</v>
      </c>
      <c r="I2054">
        <v>0.09</v>
      </c>
      <c r="J2054">
        <f t="shared" si="96"/>
        <v>63</v>
      </c>
      <c r="K2054">
        <v>2</v>
      </c>
      <c r="L2054">
        <f t="shared" si="97"/>
        <v>61</v>
      </c>
      <c r="M2054" s="4">
        <f t="shared" si="98"/>
        <v>7.8205128205128205E-2</v>
      </c>
      <c r="N2054">
        <v>780</v>
      </c>
      <c r="O2054">
        <v>700</v>
      </c>
      <c r="P2054" t="s">
        <v>25</v>
      </c>
      <c r="Q2054" t="s">
        <v>26</v>
      </c>
      <c r="R2054" t="str">
        <f>IF(COUNTIF(Sheet2!B:B, A2054) &gt; 0, "Yes", "No")</f>
        <v>No</v>
      </c>
    </row>
    <row r="2055" spans="1:18" x14ac:dyDescent="0.25">
      <c r="A2055" s="3">
        <v>45421</v>
      </c>
      <c r="B2055" t="s">
        <v>142</v>
      </c>
      <c r="C2055" t="s">
        <v>66</v>
      </c>
      <c r="D2055" t="s">
        <v>20</v>
      </c>
      <c r="E2055" t="s">
        <v>67</v>
      </c>
      <c r="F2055" t="s">
        <v>22</v>
      </c>
      <c r="G2055" t="s">
        <v>52</v>
      </c>
      <c r="H2055" t="s">
        <v>370</v>
      </c>
      <c r="I2055">
        <v>8.5000000000000006E-2</v>
      </c>
      <c r="J2055">
        <f t="shared" si="96"/>
        <v>56.95</v>
      </c>
      <c r="K2055">
        <v>6</v>
      </c>
      <c r="L2055">
        <f t="shared" si="97"/>
        <v>50.95</v>
      </c>
      <c r="M2055" s="4">
        <f t="shared" si="98"/>
        <v>6.7933333333333332E-2</v>
      </c>
      <c r="N2055">
        <v>750</v>
      </c>
      <c r="O2055">
        <v>670</v>
      </c>
      <c r="P2055" t="s">
        <v>25</v>
      </c>
      <c r="Q2055" t="s">
        <v>26</v>
      </c>
      <c r="R2055" t="str">
        <f>IF(COUNTIF(Sheet2!B:B, A2055) &gt; 0, "Yes", "No")</f>
        <v>No</v>
      </c>
    </row>
    <row r="2056" spans="1:18" x14ac:dyDescent="0.25">
      <c r="A2056" s="3">
        <v>45421</v>
      </c>
      <c r="B2056" t="s">
        <v>142</v>
      </c>
      <c r="C2056" t="s">
        <v>66</v>
      </c>
      <c r="D2056" t="s">
        <v>20</v>
      </c>
      <c r="E2056" t="s">
        <v>67</v>
      </c>
      <c r="F2056" t="s">
        <v>27</v>
      </c>
      <c r="G2056" t="s">
        <v>235</v>
      </c>
      <c r="H2056" t="s">
        <v>509</v>
      </c>
      <c r="I2056">
        <v>0.12</v>
      </c>
      <c r="J2056">
        <f t="shared" si="96"/>
        <v>80.399999999999991</v>
      </c>
      <c r="K2056">
        <v>2</v>
      </c>
      <c r="L2056">
        <f t="shared" si="97"/>
        <v>78.399999999999991</v>
      </c>
      <c r="M2056" s="4">
        <f t="shared" si="98"/>
        <v>0.10453333333333333</v>
      </c>
      <c r="N2056">
        <v>750</v>
      </c>
      <c r="O2056">
        <v>670</v>
      </c>
      <c r="P2056" t="s">
        <v>25</v>
      </c>
      <c r="Q2056" t="s">
        <v>26</v>
      </c>
      <c r="R2056" t="str">
        <f>IF(COUNTIF(Sheet2!B:B, A2056) &gt; 0, "Yes", "No")</f>
        <v>No</v>
      </c>
    </row>
    <row r="2057" spans="1:18" x14ac:dyDescent="0.25">
      <c r="A2057" s="3">
        <v>45421</v>
      </c>
      <c r="B2057" t="s">
        <v>142</v>
      </c>
      <c r="C2057" t="s">
        <v>66</v>
      </c>
      <c r="D2057" t="s">
        <v>20</v>
      </c>
      <c r="E2057" t="s">
        <v>67</v>
      </c>
      <c r="F2057" t="s">
        <v>30</v>
      </c>
      <c r="G2057" t="s">
        <v>55</v>
      </c>
      <c r="H2057" t="s">
        <v>56</v>
      </c>
      <c r="I2057">
        <v>0.09</v>
      </c>
      <c r="J2057">
        <f t="shared" si="96"/>
        <v>60.3</v>
      </c>
      <c r="K2057">
        <v>1</v>
      </c>
      <c r="L2057">
        <f t="shared" si="97"/>
        <v>59.3</v>
      </c>
      <c r="M2057" s="4">
        <f t="shared" si="98"/>
        <v>7.906666666666666E-2</v>
      </c>
      <c r="N2057">
        <v>750</v>
      </c>
      <c r="O2057">
        <v>670</v>
      </c>
      <c r="P2057" t="s">
        <v>25</v>
      </c>
      <c r="Q2057" t="s">
        <v>26</v>
      </c>
      <c r="R2057" t="str">
        <f>IF(COUNTIF(Sheet2!B:B, A2057) &gt; 0, "Yes", "No")</f>
        <v>No</v>
      </c>
    </row>
    <row r="2058" spans="1:18" x14ac:dyDescent="0.25">
      <c r="A2058" s="3">
        <v>45421</v>
      </c>
      <c r="B2058" t="s">
        <v>142</v>
      </c>
      <c r="C2058" t="s">
        <v>66</v>
      </c>
      <c r="D2058" t="s">
        <v>20</v>
      </c>
      <c r="E2058" t="s">
        <v>67</v>
      </c>
      <c r="F2058" t="s">
        <v>37</v>
      </c>
      <c r="G2058" t="s">
        <v>87</v>
      </c>
      <c r="H2058" t="s">
        <v>136</v>
      </c>
      <c r="I2058">
        <v>3.5000000000000003E-2</v>
      </c>
      <c r="J2058">
        <f t="shared" si="96"/>
        <v>23.450000000000003</v>
      </c>
      <c r="K2058">
        <v>4</v>
      </c>
      <c r="L2058">
        <f t="shared" si="97"/>
        <v>19.450000000000003</v>
      </c>
      <c r="M2058" s="4">
        <f t="shared" si="98"/>
        <v>2.5933333333333336E-2</v>
      </c>
      <c r="N2058">
        <v>750</v>
      </c>
      <c r="O2058">
        <v>670</v>
      </c>
      <c r="P2058" t="s">
        <v>25</v>
      </c>
      <c r="Q2058" t="s">
        <v>26</v>
      </c>
      <c r="R2058" t="str">
        <f>IF(COUNTIF(Sheet2!B:B, A2058) &gt; 0, "Yes", "No")</f>
        <v>No</v>
      </c>
    </row>
    <row r="2059" spans="1:18" x14ac:dyDescent="0.25">
      <c r="A2059" s="3">
        <v>45421</v>
      </c>
      <c r="B2059" t="s">
        <v>142</v>
      </c>
      <c r="C2059" t="s">
        <v>66</v>
      </c>
      <c r="D2059" t="s">
        <v>20</v>
      </c>
      <c r="E2059" t="s">
        <v>67</v>
      </c>
      <c r="F2059" t="s">
        <v>40</v>
      </c>
      <c r="G2059" t="s">
        <v>73</v>
      </c>
      <c r="H2059" t="s">
        <v>74</v>
      </c>
      <c r="I2059">
        <v>0.05</v>
      </c>
      <c r="J2059">
        <f t="shared" si="96"/>
        <v>33.5</v>
      </c>
      <c r="K2059">
        <v>3</v>
      </c>
      <c r="L2059">
        <f t="shared" si="97"/>
        <v>30.5</v>
      </c>
      <c r="M2059" s="4">
        <f t="shared" si="98"/>
        <v>4.0666666666666663E-2</v>
      </c>
      <c r="N2059">
        <v>750</v>
      </c>
      <c r="O2059">
        <v>670</v>
      </c>
      <c r="P2059" t="s">
        <v>25</v>
      </c>
      <c r="Q2059" t="s">
        <v>26</v>
      </c>
      <c r="R2059" t="str">
        <f>IF(COUNTIF(Sheet2!B:B, A2059) &gt; 0, "Yes", "No")</f>
        <v>No</v>
      </c>
    </row>
    <row r="2060" spans="1:18" x14ac:dyDescent="0.25">
      <c r="A2060" s="3">
        <v>45421</v>
      </c>
      <c r="B2060" t="s">
        <v>142</v>
      </c>
      <c r="C2060" t="s">
        <v>66</v>
      </c>
      <c r="D2060" t="s">
        <v>20</v>
      </c>
      <c r="E2060" t="s">
        <v>67</v>
      </c>
      <c r="F2060" t="s">
        <v>43</v>
      </c>
      <c r="G2060" t="s">
        <v>111</v>
      </c>
      <c r="H2060" t="s">
        <v>112</v>
      </c>
      <c r="I2060">
        <v>0.11</v>
      </c>
      <c r="J2060">
        <f t="shared" si="96"/>
        <v>73.7</v>
      </c>
      <c r="K2060">
        <v>1</v>
      </c>
      <c r="L2060">
        <f t="shared" si="97"/>
        <v>72.7</v>
      </c>
      <c r="M2060" s="4">
        <f t="shared" si="98"/>
        <v>9.6933333333333344E-2</v>
      </c>
      <c r="N2060">
        <v>750</v>
      </c>
      <c r="O2060">
        <v>670</v>
      </c>
      <c r="P2060" t="s">
        <v>25</v>
      </c>
      <c r="Q2060" t="s">
        <v>26</v>
      </c>
      <c r="R2060" t="str">
        <f>IF(COUNTIF(Sheet2!B:B, A2060) &gt; 0, "Yes", "No")</f>
        <v>No</v>
      </c>
    </row>
    <row r="2061" spans="1:18" x14ac:dyDescent="0.25">
      <c r="A2061" s="3">
        <v>45421</v>
      </c>
      <c r="B2061" t="s">
        <v>142</v>
      </c>
      <c r="C2061" t="s">
        <v>66</v>
      </c>
      <c r="D2061" t="s">
        <v>20</v>
      </c>
      <c r="E2061" t="s">
        <v>67</v>
      </c>
      <c r="F2061" t="s">
        <v>46</v>
      </c>
      <c r="G2061" t="s">
        <v>92</v>
      </c>
      <c r="H2061" t="s">
        <v>186</v>
      </c>
      <c r="I2061">
        <v>8.5000000000000006E-2</v>
      </c>
      <c r="J2061">
        <f t="shared" si="96"/>
        <v>56.95</v>
      </c>
      <c r="K2061">
        <v>3</v>
      </c>
      <c r="L2061">
        <f t="shared" si="97"/>
        <v>53.95</v>
      </c>
      <c r="M2061" s="4">
        <f t="shared" si="98"/>
        <v>7.1933333333333335E-2</v>
      </c>
      <c r="N2061">
        <v>750</v>
      </c>
      <c r="O2061">
        <v>670</v>
      </c>
      <c r="P2061" t="s">
        <v>25</v>
      </c>
      <c r="Q2061" t="s">
        <v>26</v>
      </c>
      <c r="R2061" t="str">
        <f>IF(COUNTIF(Sheet2!B:B, A2061) &gt; 0, "Yes", "No")</f>
        <v>No</v>
      </c>
    </row>
    <row r="2062" spans="1:18" x14ac:dyDescent="0.25">
      <c r="A2062" s="3">
        <v>45421</v>
      </c>
      <c r="B2062" t="s">
        <v>142</v>
      </c>
      <c r="C2062" t="s">
        <v>66</v>
      </c>
      <c r="D2062" t="s">
        <v>20</v>
      </c>
      <c r="E2062" t="s">
        <v>67</v>
      </c>
      <c r="F2062" t="s">
        <v>49</v>
      </c>
      <c r="G2062" t="s">
        <v>50</v>
      </c>
      <c r="H2062" t="s">
        <v>49</v>
      </c>
      <c r="I2062">
        <v>0.09</v>
      </c>
      <c r="J2062">
        <f t="shared" si="96"/>
        <v>60.3</v>
      </c>
      <c r="K2062">
        <v>1</v>
      </c>
      <c r="L2062">
        <f t="shared" si="97"/>
        <v>59.3</v>
      </c>
      <c r="M2062" s="4">
        <f t="shared" si="98"/>
        <v>7.906666666666666E-2</v>
      </c>
      <c r="N2062">
        <v>750</v>
      </c>
      <c r="O2062">
        <v>670</v>
      </c>
      <c r="P2062" t="s">
        <v>25</v>
      </c>
      <c r="Q2062" t="s">
        <v>26</v>
      </c>
      <c r="R2062" t="str">
        <f>IF(COUNTIF(Sheet2!B:B, A2062) &gt; 0, "Yes", "No")</f>
        <v>No</v>
      </c>
    </row>
    <row r="2063" spans="1:18" x14ac:dyDescent="0.25">
      <c r="A2063" s="3">
        <v>45422</v>
      </c>
      <c r="B2063" t="s">
        <v>142</v>
      </c>
      <c r="C2063" t="s">
        <v>79</v>
      </c>
      <c r="D2063" t="s">
        <v>20</v>
      </c>
      <c r="E2063" t="s">
        <v>21</v>
      </c>
      <c r="F2063" t="s">
        <v>22</v>
      </c>
      <c r="G2063" t="s">
        <v>23</v>
      </c>
      <c r="H2063" t="s">
        <v>24</v>
      </c>
      <c r="I2063" s="5">
        <v>0.06</v>
      </c>
      <c r="J2063">
        <f t="shared" si="96"/>
        <v>36</v>
      </c>
      <c r="K2063">
        <v>6</v>
      </c>
      <c r="L2063">
        <f t="shared" si="97"/>
        <v>30</v>
      </c>
      <c r="M2063" s="4">
        <f t="shared" si="98"/>
        <v>4.6153846153846156E-2</v>
      </c>
      <c r="N2063">
        <v>650</v>
      </c>
      <c r="O2063">
        <v>600</v>
      </c>
      <c r="P2063" t="s">
        <v>25</v>
      </c>
      <c r="Q2063" t="s">
        <v>26</v>
      </c>
      <c r="R2063" t="str">
        <f>IF(COUNTIF(Sheet2!B:B, A2063) &gt; 0, "Yes", "No")</f>
        <v>Yes</v>
      </c>
    </row>
    <row r="2064" spans="1:18" x14ac:dyDescent="0.25">
      <c r="A2064" s="3">
        <v>45422</v>
      </c>
      <c r="B2064" t="s">
        <v>142</v>
      </c>
      <c r="C2064" t="s">
        <v>79</v>
      </c>
      <c r="D2064" t="s">
        <v>20</v>
      </c>
      <c r="E2064" t="s">
        <v>21</v>
      </c>
      <c r="F2064" t="s">
        <v>27</v>
      </c>
      <c r="G2064" t="s">
        <v>81</v>
      </c>
      <c r="H2064" t="s">
        <v>559</v>
      </c>
      <c r="I2064" s="5">
        <v>0.1</v>
      </c>
      <c r="J2064">
        <f t="shared" si="96"/>
        <v>60</v>
      </c>
      <c r="K2064">
        <v>6</v>
      </c>
      <c r="L2064">
        <f t="shared" si="97"/>
        <v>54</v>
      </c>
      <c r="M2064" s="4">
        <f t="shared" si="98"/>
        <v>8.3076923076923076E-2</v>
      </c>
      <c r="N2064">
        <v>650</v>
      </c>
      <c r="O2064">
        <v>600</v>
      </c>
      <c r="P2064" t="s">
        <v>25</v>
      </c>
      <c r="Q2064" t="s">
        <v>26</v>
      </c>
      <c r="R2064" t="str">
        <f>IF(COUNTIF(Sheet2!B:B, A2064) &gt; 0, "Yes", "No")</f>
        <v>Yes</v>
      </c>
    </row>
    <row r="2065" spans="1:18" x14ac:dyDescent="0.25">
      <c r="A2065" s="3">
        <v>45422</v>
      </c>
      <c r="B2065" t="s">
        <v>142</v>
      </c>
      <c r="C2065" t="s">
        <v>79</v>
      </c>
      <c r="D2065" t="s">
        <v>20</v>
      </c>
      <c r="E2065" t="s">
        <v>21</v>
      </c>
      <c r="F2065" t="s">
        <v>30</v>
      </c>
      <c r="G2065" t="s">
        <v>55</v>
      </c>
      <c r="H2065" t="s">
        <v>134</v>
      </c>
      <c r="I2065" s="5">
        <v>0.06</v>
      </c>
      <c r="J2065">
        <f t="shared" si="96"/>
        <v>36</v>
      </c>
      <c r="K2065">
        <v>2</v>
      </c>
      <c r="L2065">
        <f t="shared" si="97"/>
        <v>34</v>
      </c>
      <c r="M2065" s="4">
        <f t="shared" si="98"/>
        <v>5.2307692307692305E-2</v>
      </c>
      <c r="N2065">
        <v>650</v>
      </c>
      <c r="O2065">
        <v>600</v>
      </c>
      <c r="P2065" t="s">
        <v>25</v>
      </c>
      <c r="Q2065" t="s">
        <v>26</v>
      </c>
      <c r="R2065" t="str">
        <f>IF(COUNTIF(Sheet2!B:B, A2065) &gt; 0, "Yes", "No")</f>
        <v>Yes</v>
      </c>
    </row>
    <row r="2066" spans="1:18" x14ac:dyDescent="0.25">
      <c r="A2066" s="3">
        <v>45422</v>
      </c>
      <c r="B2066" t="s">
        <v>142</v>
      </c>
      <c r="C2066" t="s">
        <v>79</v>
      </c>
      <c r="D2066" t="s">
        <v>33</v>
      </c>
      <c r="E2066" t="s">
        <v>21</v>
      </c>
      <c r="F2066" t="s">
        <v>84</v>
      </c>
      <c r="G2066" t="s">
        <v>177</v>
      </c>
      <c r="H2066" t="s">
        <v>432</v>
      </c>
      <c r="I2066" s="5">
        <v>0.3</v>
      </c>
      <c r="J2066">
        <f t="shared" si="96"/>
        <v>126</v>
      </c>
      <c r="K2066">
        <v>0</v>
      </c>
      <c r="L2066">
        <f t="shared" si="97"/>
        <v>126</v>
      </c>
      <c r="M2066" s="4">
        <f t="shared" si="98"/>
        <v>0.27692307692307694</v>
      </c>
      <c r="N2066">
        <v>455</v>
      </c>
      <c r="O2066">
        <v>420</v>
      </c>
      <c r="P2066" t="s">
        <v>25</v>
      </c>
      <c r="Q2066" t="s">
        <v>26</v>
      </c>
      <c r="R2066" t="str">
        <f>IF(COUNTIF(Sheet2!B:B, A2066) &gt; 0, "Yes", "No")</f>
        <v>Yes</v>
      </c>
    </row>
    <row r="2067" spans="1:18" x14ac:dyDescent="0.25">
      <c r="A2067" s="3">
        <v>45422</v>
      </c>
      <c r="B2067" t="s">
        <v>142</v>
      </c>
      <c r="C2067" t="s">
        <v>79</v>
      </c>
      <c r="D2067" t="s">
        <v>20</v>
      </c>
      <c r="E2067" t="s">
        <v>21</v>
      </c>
      <c r="F2067" t="s">
        <v>37</v>
      </c>
      <c r="G2067" t="s">
        <v>38</v>
      </c>
      <c r="H2067" t="s">
        <v>39</v>
      </c>
      <c r="I2067" s="5">
        <v>2.5000000000000001E-2</v>
      </c>
      <c r="J2067">
        <f t="shared" si="96"/>
        <v>15</v>
      </c>
      <c r="K2067">
        <v>1</v>
      </c>
      <c r="L2067">
        <f t="shared" si="97"/>
        <v>14</v>
      </c>
      <c r="M2067" s="4">
        <f t="shared" si="98"/>
        <v>2.1538461538461538E-2</v>
      </c>
      <c r="N2067">
        <v>650</v>
      </c>
      <c r="O2067">
        <v>600</v>
      </c>
      <c r="P2067" t="s">
        <v>25</v>
      </c>
      <c r="Q2067" t="s">
        <v>26</v>
      </c>
      <c r="R2067" t="str">
        <f>IF(COUNTIF(Sheet2!B:B, A2067) &gt; 0, "Yes", "No")</f>
        <v>Yes</v>
      </c>
    </row>
    <row r="2068" spans="1:18" x14ac:dyDescent="0.25">
      <c r="A2068" s="3">
        <v>45422</v>
      </c>
      <c r="B2068" t="s">
        <v>142</v>
      </c>
      <c r="C2068" t="s">
        <v>79</v>
      </c>
      <c r="D2068" t="s">
        <v>20</v>
      </c>
      <c r="E2068" t="s">
        <v>21</v>
      </c>
      <c r="F2068" t="s">
        <v>40</v>
      </c>
      <c r="G2068" t="s">
        <v>164</v>
      </c>
      <c r="H2068" t="s">
        <v>467</v>
      </c>
      <c r="I2068" s="5">
        <v>0.04</v>
      </c>
      <c r="J2068">
        <f t="shared" si="96"/>
        <v>24</v>
      </c>
      <c r="K2068">
        <v>2</v>
      </c>
      <c r="L2068">
        <f t="shared" si="97"/>
        <v>22</v>
      </c>
      <c r="M2068" s="4">
        <f t="shared" si="98"/>
        <v>3.3846153846153845E-2</v>
      </c>
      <c r="N2068">
        <v>650</v>
      </c>
      <c r="O2068">
        <v>600</v>
      </c>
      <c r="P2068" t="s">
        <v>25</v>
      </c>
      <c r="Q2068" t="s">
        <v>26</v>
      </c>
      <c r="R2068" t="str">
        <f>IF(COUNTIF(Sheet2!B:B, A2068) &gt; 0, "Yes", "No")</f>
        <v>Yes</v>
      </c>
    </row>
    <row r="2069" spans="1:18" x14ac:dyDescent="0.25">
      <c r="A2069" s="3">
        <v>45422</v>
      </c>
      <c r="B2069" t="s">
        <v>142</v>
      </c>
      <c r="C2069" t="s">
        <v>79</v>
      </c>
      <c r="D2069" t="s">
        <v>20</v>
      </c>
      <c r="E2069" t="s">
        <v>21</v>
      </c>
      <c r="F2069" t="s">
        <v>43</v>
      </c>
      <c r="G2069" t="s">
        <v>90</v>
      </c>
      <c r="H2069" t="s">
        <v>560</v>
      </c>
      <c r="I2069" s="5">
        <v>7.0000000000000007E-2</v>
      </c>
      <c r="J2069">
        <f t="shared" si="96"/>
        <v>42.000000000000007</v>
      </c>
      <c r="K2069">
        <v>6</v>
      </c>
      <c r="L2069">
        <f t="shared" si="97"/>
        <v>36.000000000000007</v>
      </c>
      <c r="M2069" s="4">
        <f t="shared" si="98"/>
        <v>5.5384615384615393E-2</v>
      </c>
      <c r="N2069">
        <v>650</v>
      </c>
      <c r="O2069">
        <v>600</v>
      </c>
      <c r="P2069" t="s">
        <v>25</v>
      </c>
      <c r="Q2069" t="s">
        <v>26</v>
      </c>
      <c r="R2069" t="str">
        <f>IF(COUNTIF(Sheet2!B:B, A2069) &gt; 0, "Yes", "No")</f>
        <v>Yes</v>
      </c>
    </row>
    <row r="2070" spans="1:18" x14ac:dyDescent="0.25">
      <c r="A2070" s="3">
        <v>45422</v>
      </c>
      <c r="B2070" t="s">
        <v>142</v>
      </c>
      <c r="C2070" t="s">
        <v>79</v>
      </c>
      <c r="D2070" t="s">
        <v>20</v>
      </c>
      <c r="E2070" t="s">
        <v>21</v>
      </c>
      <c r="F2070" t="s">
        <v>46</v>
      </c>
      <c r="G2070" t="s">
        <v>412</v>
      </c>
      <c r="H2070" t="s">
        <v>561</v>
      </c>
      <c r="I2070" s="5">
        <v>0.06</v>
      </c>
      <c r="J2070">
        <f t="shared" si="96"/>
        <v>36</v>
      </c>
      <c r="K2070">
        <v>5</v>
      </c>
      <c r="L2070">
        <f t="shared" si="97"/>
        <v>31</v>
      </c>
      <c r="M2070" s="4">
        <f t="shared" si="98"/>
        <v>4.7692307692307694E-2</v>
      </c>
      <c r="N2070">
        <v>650</v>
      </c>
      <c r="O2070">
        <v>600</v>
      </c>
      <c r="P2070" t="s">
        <v>25</v>
      </c>
      <c r="Q2070" t="s">
        <v>26</v>
      </c>
      <c r="R2070" t="str">
        <f>IF(COUNTIF(Sheet2!B:B, A2070) &gt; 0, "Yes", "No")</f>
        <v>Yes</v>
      </c>
    </row>
    <row r="2071" spans="1:18" x14ac:dyDescent="0.25">
      <c r="A2071" s="3">
        <v>45422</v>
      </c>
      <c r="B2071" t="s">
        <v>142</v>
      </c>
      <c r="C2071" t="s">
        <v>79</v>
      </c>
      <c r="D2071" t="s">
        <v>20</v>
      </c>
      <c r="E2071" t="s">
        <v>21</v>
      </c>
      <c r="F2071" t="s">
        <v>49</v>
      </c>
      <c r="G2071" t="s">
        <v>50</v>
      </c>
      <c r="H2071" t="s">
        <v>49</v>
      </c>
      <c r="I2071" s="5">
        <v>0.04</v>
      </c>
      <c r="J2071">
        <f t="shared" si="96"/>
        <v>24</v>
      </c>
      <c r="K2071">
        <v>5</v>
      </c>
      <c r="L2071">
        <f t="shared" si="97"/>
        <v>19</v>
      </c>
      <c r="M2071" s="4">
        <f t="shared" si="98"/>
        <v>2.923076923076923E-2</v>
      </c>
      <c r="N2071">
        <v>650</v>
      </c>
      <c r="O2071">
        <v>600</v>
      </c>
      <c r="P2071" t="s">
        <v>25</v>
      </c>
      <c r="Q2071" t="s">
        <v>26</v>
      </c>
      <c r="R2071" t="str">
        <f>IF(COUNTIF(Sheet2!B:B, A2071) &gt; 0, "Yes", "No")</f>
        <v>Yes</v>
      </c>
    </row>
    <row r="2072" spans="1:18" x14ac:dyDescent="0.25">
      <c r="A2072" s="3">
        <v>45425</v>
      </c>
      <c r="B2072" t="s">
        <v>142</v>
      </c>
      <c r="C2072" t="s">
        <v>19</v>
      </c>
      <c r="D2072" t="s">
        <v>20</v>
      </c>
      <c r="E2072" t="s">
        <v>21</v>
      </c>
      <c r="F2072" t="s">
        <v>22</v>
      </c>
      <c r="G2072" t="s">
        <v>52</v>
      </c>
      <c r="H2072" t="s">
        <v>562</v>
      </c>
      <c r="I2072">
        <v>8.5000000000000006E-2</v>
      </c>
      <c r="J2072">
        <f t="shared" si="96"/>
        <v>56.95</v>
      </c>
      <c r="K2072">
        <v>2</v>
      </c>
      <c r="L2072">
        <f t="shared" si="97"/>
        <v>54.95</v>
      </c>
      <c r="M2072" s="4">
        <f t="shared" si="98"/>
        <v>7.3266666666666674E-2</v>
      </c>
      <c r="N2072">
        <v>750</v>
      </c>
      <c r="O2072">
        <v>670</v>
      </c>
      <c r="P2072" t="s">
        <v>25</v>
      </c>
      <c r="Q2072" t="s">
        <v>26</v>
      </c>
      <c r="R2072" t="str">
        <f>IF(COUNTIF(Sheet2!B:B, A2072) &gt; 0, "Yes", "No")</f>
        <v>No</v>
      </c>
    </row>
    <row r="2073" spans="1:18" x14ac:dyDescent="0.25">
      <c r="A2073" s="3">
        <v>45425</v>
      </c>
      <c r="B2073" t="s">
        <v>142</v>
      </c>
      <c r="C2073" t="s">
        <v>19</v>
      </c>
      <c r="D2073" t="s">
        <v>20</v>
      </c>
      <c r="E2073" t="s">
        <v>21</v>
      </c>
      <c r="F2073" t="s">
        <v>27</v>
      </c>
      <c r="G2073" t="s">
        <v>235</v>
      </c>
      <c r="H2073" t="s">
        <v>563</v>
      </c>
      <c r="I2073">
        <v>0.12</v>
      </c>
      <c r="J2073">
        <f t="shared" si="96"/>
        <v>80.399999999999991</v>
      </c>
      <c r="K2073">
        <v>0</v>
      </c>
      <c r="L2073">
        <f t="shared" si="97"/>
        <v>80.399999999999991</v>
      </c>
      <c r="M2073" s="4">
        <f t="shared" si="98"/>
        <v>0.10719999999999999</v>
      </c>
      <c r="N2073">
        <v>750</v>
      </c>
      <c r="O2073">
        <v>670</v>
      </c>
      <c r="P2073" t="s">
        <v>25</v>
      </c>
      <c r="Q2073" t="s">
        <v>26</v>
      </c>
      <c r="R2073" t="str">
        <f>IF(COUNTIF(Sheet2!B:B, A2073) &gt; 0, "Yes", "No")</f>
        <v>No</v>
      </c>
    </row>
    <row r="2074" spans="1:18" x14ac:dyDescent="0.25">
      <c r="A2074" s="3">
        <v>45425</v>
      </c>
      <c r="B2074" t="s">
        <v>142</v>
      </c>
      <c r="C2074" t="s">
        <v>19</v>
      </c>
      <c r="D2074" t="s">
        <v>20</v>
      </c>
      <c r="E2074" t="s">
        <v>21</v>
      </c>
      <c r="F2074" t="s">
        <v>30</v>
      </c>
      <c r="G2074" t="s">
        <v>55</v>
      </c>
      <c r="H2074" t="s">
        <v>56</v>
      </c>
      <c r="I2074">
        <v>0.09</v>
      </c>
      <c r="J2074">
        <f t="shared" si="96"/>
        <v>60.3</v>
      </c>
      <c r="K2074">
        <v>0</v>
      </c>
      <c r="L2074">
        <f t="shared" si="97"/>
        <v>60.3</v>
      </c>
      <c r="M2074" s="4">
        <f t="shared" si="98"/>
        <v>8.0399999999999999E-2</v>
      </c>
      <c r="N2074">
        <v>750</v>
      </c>
      <c r="O2074">
        <v>670</v>
      </c>
      <c r="P2074" t="s">
        <v>25</v>
      </c>
      <c r="Q2074" t="s">
        <v>26</v>
      </c>
      <c r="R2074" t="str">
        <f>IF(COUNTIF(Sheet2!B:B, A2074) &gt; 0, "Yes", "No")</f>
        <v>No</v>
      </c>
    </row>
    <row r="2075" spans="1:18" x14ac:dyDescent="0.25">
      <c r="A2075" s="3">
        <v>45425</v>
      </c>
      <c r="B2075" t="s">
        <v>142</v>
      </c>
      <c r="C2075" t="s">
        <v>19</v>
      </c>
      <c r="D2075" t="s">
        <v>33</v>
      </c>
      <c r="E2075" t="s">
        <v>21</v>
      </c>
      <c r="F2075" t="s">
        <v>34</v>
      </c>
      <c r="G2075" t="s">
        <v>35</v>
      </c>
      <c r="H2075" t="s">
        <v>299</v>
      </c>
      <c r="I2075">
        <v>0.15</v>
      </c>
      <c r="J2075">
        <f t="shared" si="96"/>
        <v>60</v>
      </c>
      <c r="K2075">
        <v>0</v>
      </c>
      <c r="L2075">
        <f t="shared" si="97"/>
        <v>60</v>
      </c>
      <c r="M2075" s="4">
        <f t="shared" si="98"/>
        <v>0.11428571428571428</v>
      </c>
      <c r="N2075">
        <v>525</v>
      </c>
      <c r="O2075">
        <v>400</v>
      </c>
      <c r="P2075" t="s">
        <v>25</v>
      </c>
      <c r="Q2075" t="s">
        <v>26</v>
      </c>
      <c r="R2075" t="str">
        <f>IF(COUNTIF(Sheet2!B:B, A2075) &gt; 0, "Yes", "No")</f>
        <v>No</v>
      </c>
    </row>
    <row r="2076" spans="1:18" x14ac:dyDescent="0.25">
      <c r="A2076" s="3">
        <v>45425</v>
      </c>
      <c r="B2076" t="s">
        <v>142</v>
      </c>
      <c r="C2076" t="s">
        <v>19</v>
      </c>
      <c r="D2076" t="s">
        <v>20</v>
      </c>
      <c r="E2076" t="s">
        <v>21</v>
      </c>
      <c r="F2076" t="s">
        <v>37</v>
      </c>
      <c r="G2076" t="s">
        <v>87</v>
      </c>
      <c r="H2076" t="s">
        <v>88</v>
      </c>
      <c r="I2076">
        <v>0.03</v>
      </c>
      <c r="J2076">
        <f t="shared" si="96"/>
        <v>20.099999999999998</v>
      </c>
      <c r="K2076">
        <v>3</v>
      </c>
      <c r="L2076">
        <f t="shared" si="97"/>
        <v>17.099999999999998</v>
      </c>
      <c r="M2076" s="4">
        <f t="shared" si="98"/>
        <v>2.2799999999999997E-2</v>
      </c>
      <c r="N2076">
        <v>750</v>
      </c>
      <c r="O2076">
        <v>670</v>
      </c>
      <c r="P2076" t="s">
        <v>25</v>
      </c>
      <c r="Q2076" t="s">
        <v>26</v>
      </c>
      <c r="R2076" t="str">
        <f>IF(COUNTIF(Sheet2!B:B, A2076) &gt; 0, "Yes", "No")</f>
        <v>No</v>
      </c>
    </row>
    <row r="2077" spans="1:18" x14ac:dyDescent="0.25">
      <c r="A2077" s="3">
        <v>45425</v>
      </c>
      <c r="B2077" t="s">
        <v>142</v>
      </c>
      <c r="C2077" t="s">
        <v>19</v>
      </c>
      <c r="D2077" t="s">
        <v>20</v>
      </c>
      <c r="E2077" t="s">
        <v>21</v>
      </c>
      <c r="F2077" t="s">
        <v>40</v>
      </c>
      <c r="G2077" t="s">
        <v>61</v>
      </c>
      <c r="H2077" t="s">
        <v>119</v>
      </c>
      <c r="I2077">
        <v>4.4999999999999998E-2</v>
      </c>
      <c r="J2077">
        <f t="shared" si="96"/>
        <v>30.15</v>
      </c>
      <c r="K2077">
        <v>3</v>
      </c>
      <c r="L2077">
        <f t="shared" si="97"/>
        <v>27.15</v>
      </c>
      <c r="M2077" s="4">
        <f t="shared" si="98"/>
        <v>3.6199999999999996E-2</v>
      </c>
      <c r="N2077">
        <v>750</v>
      </c>
      <c r="O2077">
        <v>670</v>
      </c>
      <c r="P2077" t="s">
        <v>25</v>
      </c>
      <c r="Q2077" t="s">
        <v>26</v>
      </c>
      <c r="R2077" t="str">
        <f>IF(COUNTIF(Sheet2!B:B, A2077) &gt; 0, "Yes", "No")</f>
        <v>No</v>
      </c>
    </row>
    <row r="2078" spans="1:18" x14ac:dyDescent="0.25">
      <c r="A2078" s="3">
        <v>45425</v>
      </c>
      <c r="B2078" t="s">
        <v>142</v>
      </c>
      <c r="C2078" t="s">
        <v>19</v>
      </c>
      <c r="D2078" t="s">
        <v>20</v>
      </c>
      <c r="E2078" t="s">
        <v>21</v>
      </c>
      <c r="F2078" t="s">
        <v>43</v>
      </c>
      <c r="G2078" t="s">
        <v>63</v>
      </c>
      <c r="H2078" t="s">
        <v>64</v>
      </c>
      <c r="I2078">
        <v>0.11</v>
      </c>
      <c r="J2078">
        <f t="shared" si="96"/>
        <v>73.7</v>
      </c>
      <c r="K2078">
        <v>1.2</v>
      </c>
      <c r="L2078">
        <f t="shared" si="97"/>
        <v>72.5</v>
      </c>
      <c r="M2078" s="4">
        <f t="shared" si="98"/>
        <v>9.6666666666666665E-2</v>
      </c>
      <c r="N2078">
        <v>750</v>
      </c>
      <c r="O2078">
        <v>670</v>
      </c>
      <c r="P2078" t="s">
        <v>25</v>
      </c>
      <c r="Q2078" t="s">
        <v>26</v>
      </c>
      <c r="R2078" t="str">
        <f>IF(COUNTIF(Sheet2!B:B, A2078) &gt; 0, "Yes", "No")</f>
        <v>No</v>
      </c>
    </row>
    <row r="2079" spans="1:18" x14ac:dyDescent="0.25">
      <c r="A2079" s="3">
        <v>45425</v>
      </c>
      <c r="B2079" t="s">
        <v>142</v>
      </c>
      <c r="C2079" t="s">
        <v>19</v>
      </c>
      <c r="D2079" t="s">
        <v>20</v>
      </c>
      <c r="E2079" t="s">
        <v>21</v>
      </c>
      <c r="F2079" t="s">
        <v>46</v>
      </c>
      <c r="G2079" t="s">
        <v>77</v>
      </c>
      <c r="H2079" t="s">
        <v>564</v>
      </c>
      <c r="I2079">
        <v>8.5000000000000006E-2</v>
      </c>
      <c r="J2079">
        <f t="shared" si="96"/>
        <v>56.95</v>
      </c>
      <c r="K2079">
        <v>1</v>
      </c>
      <c r="L2079">
        <f t="shared" si="97"/>
        <v>55.95</v>
      </c>
      <c r="M2079" s="4">
        <f t="shared" si="98"/>
        <v>7.46E-2</v>
      </c>
      <c r="N2079">
        <v>750</v>
      </c>
      <c r="O2079">
        <v>670</v>
      </c>
      <c r="P2079" t="s">
        <v>25</v>
      </c>
      <c r="Q2079" t="s">
        <v>26</v>
      </c>
      <c r="R2079" t="str">
        <f>IF(COUNTIF(Sheet2!B:B, A2079) &gt; 0, "Yes", "No")</f>
        <v>No</v>
      </c>
    </row>
    <row r="2080" spans="1:18" x14ac:dyDescent="0.25">
      <c r="A2080" s="3">
        <v>45425</v>
      </c>
      <c r="B2080" t="s">
        <v>142</v>
      </c>
      <c r="C2080" t="s">
        <v>19</v>
      </c>
      <c r="D2080" t="s">
        <v>20</v>
      </c>
      <c r="E2080" t="s">
        <v>21</v>
      </c>
      <c r="F2080" t="s">
        <v>49</v>
      </c>
      <c r="G2080" t="s">
        <v>50</v>
      </c>
      <c r="H2080" t="s">
        <v>49</v>
      </c>
      <c r="I2080">
        <v>0.09</v>
      </c>
      <c r="J2080">
        <f t="shared" si="96"/>
        <v>60.3</v>
      </c>
      <c r="K2080">
        <v>2</v>
      </c>
      <c r="L2080">
        <f t="shared" si="97"/>
        <v>58.3</v>
      </c>
      <c r="M2080" s="4">
        <f t="shared" si="98"/>
        <v>7.7733333333333335E-2</v>
      </c>
      <c r="N2080">
        <v>750</v>
      </c>
      <c r="O2080">
        <v>670</v>
      </c>
      <c r="P2080" t="s">
        <v>25</v>
      </c>
      <c r="Q2080" t="s">
        <v>26</v>
      </c>
      <c r="R2080" t="str">
        <f>IF(COUNTIF(Sheet2!B:B, A2080) &gt; 0, "Yes", "No")</f>
        <v>No</v>
      </c>
    </row>
    <row r="2081" spans="1:18" x14ac:dyDescent="0.25">
      <c r="A2081" s="3">
        <v>45426</v>
      </c>
      <c r="B2081" t="s">
        <v>142</v>
      </c>
      <c r="C2081" t="s">
        <v>105</v>
      </c>
      <c r="D2081" t="s">
        <v>20</v>
      </c>
      <c r="E2081" t="s">
        <v>67</v>
      </c>
      <c r="F2081" t="s">
        <v>22</v>
      </c>
      <c r="G2081" t="s">
        <v>52</v>
      </c>
      <c r="H2081" t="s">
        <v>243</v>
      </c>
      <c r="I2081">
        <v>8.5000000000000006E-2</v>
      </c>
      <c r="J2081">
        <f t="shared" si="96"/>
        <v>55.250000000000007</v>
      </c>
      <c r="K2081">
        <v>0</v>
      </c>
      <c r="L2081">
        <f t="shared" si="97"/>
        <v>55.250000000000007</v>
      </c>
      <c r="M2081" s="4">
        <f t="shared" si="98"/>
        <v>7.8928571428571445E-2</v>
      </c>
      <c r="N2081">
        <v>700</v>
      </c>
      <c r="O2081">
        <v>650</v>
      </c>
      <c r="P2081" t="s">
        <v>25</v>
      </c>
      <c r="Q2081" t="s">
        <v>26</v>
      </c>
      <c r="R2081" t="str">
        <f>IF(COUNTIF(Sheet2!B:B, A2081) &gt; 0, "Yes", "No")</f>
        <v>No</v>
      </c>
    </row>
    <row r="2082" spans="1:18" x14ac:dyDescent="0.25">
      <c r="A2082" s="3">
        <v>45426</v>
      </c>
      <c r="B2082" t="s">
        <v>142</v>
      </c>
      <c r="C2082" t="s">
        <v>105</v>
      </c>
      <c r="D2082" t="s">
        <v>20</v>
      </c>
      <c r="E2082" t="s">
        <v>67</v>
      </c>
      <c r="F2082" t="s">
        <v>27</v>
      </c>
      <c r="G2082" t="s">
        <v>115</v>
      </c>
      <c r="H2082" t="s">
        <v>115</v>
      </c>
      <c r="I2082">
        <v>0.11</v>
      </c>
      <c r="J2082">
        <f t="shared" si="96"/>
        <v>71.5</v>
      </c>
      <c r="K2082">
        <v>2</v>
      </c>
      <c r="L2082">
        <f t="shared" si="97"/>
        <v>69.5</v>
      </c>
      <c r="M2082" s="4">
        <f t="shared" si="98"/>
        <v>9.9285714285714283E-2</v>
      </c>
      <c r="N2082">
        <v>700</v>
      </c>
      <c r="O2082">
        <v>650</v>
      </c>
      <c r="P2082" t="s">
        <v>25</v>
      </c>
      <c r="Q2082" t="s">
        <v>26</v>
      </c>
      <c r="R2082" t="str">
        <f>IF(COUNTIF(Sheet2!B:B, A2082) &gt; 0, "Yes", "No")</f>
        <v>No</v>
      </c>
    </row>
    <row r="2083" spans="1:18" x14ac:dyDescent="0.25">
      <c r="A2083" s="3">
        <v>45426</v>
      </c>
      <c r="B2083" t="s">
        <v>142</v>
      </c>
      <c r="C2083" t="s">
        <v>105</v>
      </c>
      <c r="D2083" t="s">
        <v>20</v>
      </c>
      <c r="E2083" t="s">
        <v>67</v>
      </c>
      <c r="F2083" t="s">
        <v>30</v>
      </c>
      <c r="G2083" t="s">
        <v>55</v>
      </c>
      <c r="H2083" t="s">
        <v>134</v>
      </c>
      <c r="I2083">
        <v>0.09</v>
      </c>
      <c r="J2083">
        <f t="shared" si="96"/>
        <v>58.5</v>
      </c>
      <c r="K2083">
        <v>1</v>
      </c>
      <c r="L2083">
        <f t="shared" si="97"/>
        <v>57.5</v>
      </c>
      <c r="M2083" s="4">
        <f t="shared" si="98"/>
        <v>8.2142857142857142E-2</v>
      </c>
      <c r="N2083">
        <v>700</v>
      </c>
      <c r="O2083">
        <v>650</v>
      </c>
      <c r="P2083" t="s">
        <v>25</v>
      </c>
      <c r="Q2083" t="s">
        <v>26</v>
      </c>
      <c r="R2083" t="str">
        <f>IF(COUNTIF(Sheet2!B:B, A2083) &gt; 0, "Yes", "No")</f>
        <v>No</v>
      </c>
    </row>
    <row r="2084" spans="1:18" x14ac:dyDescent="0.25">
      <c r="A2084" s="3">
        <v>45426</v>
      </c>
      <c r="B2084" t="s">
        <v>142</v>
      </c>
      <c r="C2084" t="s">
        <v>105</v>
      </c>
      <c r="D2084" t="s">
        <v>20</v>
      </c>
      <c r="E2084" t="s">
        <v>67</v>
      </c>
      <c r="F2084" t="s">
        <v>37</v>
      </c>
      <c r="G2084" t="s">
        <v>108</v>
      </c>
      <c r="H2084" t="s">
        <v>109</v>
      </c>
      <c r="I2084">
        <v>3.5000000000000003E-2</v>
      </c>
      <c r="J2084">
        <f t="shared" si="96"/>
        <v>22.750000000000004</v>
      </c>
      <c r="K2084">
        <v>1</v>
      </c>
      <c r="L2084">
        <f t="shared" si="97"/>
        <v>21.750000000000004</v>
      </c>
      <c r="M2084" s="4">
        <f t="shared" si="98"/>
        <v>3.1071428571428576E-2</v>
      </c>
      <c r="N2084">
        <v>700</v>
      </c>
      <c r="O2084">
        <v>650</v>
      </c>
      <c r="P2084" t="s">
        <v>25</v>
      </c>
      <c r="Q2084" t="s">
        <v>26</v>
      </c>
      <c r="R2084" t="str">
        <f>IF(COUNTIF(Sheet2!B:B, A2084) &gt; 0, "Yes", "No")</f>
        <v>No</v>
      </c>
    </row>
    <row r="2085" spans="1:18" x14ac:dyDescent="0.25">
      <c r="A2085" s="3">
        <v>45426</v>
      </c>
      <c r="B2085" t="s">
        <v>142</v>
      </c>
      <c r="C2085" t="s">
        <v>105</v>
      </c>
      <c r="D2085" t="s">
        <v>20</v>
      </c>
      <c r="E2085" t="s">
        <v>67</v>
      </c>
      <c r="F2085" t="s">
        <v>40</v>
      </c>
      <c r="G2085" t="s">
        <v>137</v>
      </c>
      <c r="H2085" t="s">
        <v>138</v>
      </c>
      <c r="I2085">
        <v>0.05</v>
      </c>
      <c r="J2085">
        <f t="shared" si="96"/>
        <v>32.5</v>
      </c>
      <c r="K2085">
        <v>1</v>
      </c>
      <c r="L2085">
        <f t="shared" si="97"/>
        <v>31.5</v>
      </c>
      <c r="M2085" s="4">
        <f t="shared" si="98"/>
        <v>4.4999999999999998E-2</v>
      </c>
      <c r="N2085">
        <v>700</v>
      </c>
      <c r="O2085">
        <v>650</v>
      </c>
      <c r="P2085" t="s">
        <v>25</v>
      </c>
      <c r="Q2085" t="s">
        <v>26</v>
      </c>
      <c r="R2085" t="str">
        <f>IF(COUNTIF(Sheet2!B:B, A2085) &gt; 0, "Yes", "No")</f>
        <v>No</v>
      </c>
    </row>
    <row r="2086" spans="1:18" x14ac:dyDescent="0.25">
      <c r="A2086" s="3">
        <v>45426</v>
      </c>
      <c r="B2086" t="s">
        <v>142</v>
      </c>
      <c r="C2086" t="s">
        <v>105</v>
      </c>
      <c r="D2086" t="s">
        <v>20</v>
      </c>
      <c r="E2086" t="s">
        <v>67</v>
      </c>
      <c r="F2086" t="s">
        <v>43</v>
      </c>
      <c r="G2086" t="s">
        <v>252</v>
      </c>
      <c r="H2086" t="s">
        <v>253</v>
      </c>
      <c r="I2086">
        <v>0.11</v>
      </c>
      <c r="J2086">
        <f t="shared" si="96"/>
        <v>71.5</v>
      </c>
      <c r="K2086">
        <v>0</v>
      </c>
      <c r="L2086">
        <f t="shared" si="97"/>
        <v>71.5</v>
      </c>
      <c r="M2086" s="4">
        <f t="shared" si="98"/>
        <v>0.10214285714285715</v>
      </c>
      <c r="N2086">
        <v>700</v>
      </c>
      <c r="O2086">
        <v>650</v>
      </c>
      <c r="P2086" t="s">
        <v>25</v>
      </c>
      <c r="Q2086" t="s">
        <v>26</v>
      </c>
      <c r="R2086" t="str">
        <f>IF(COUNTIF(Sheet2!B:B, A2086) &gt; 0, "Yes", "No")</f>
        <v>No</v>
      </c>
    </row>
    <row r="2087" spans="1:18" x14ac:dyDescent="0.25">
      <c r="A2087" s="3">
        <v>45426</v>
      </c>
      <c r="B2087" t="s">
        <v>142</v>
      </c>
      <c r="C2087" t="s">
        <v>105</v>
      </c>
      <c r="D2087" t="s">
        <v>20</v>
      </c>
      <c r="E2087" t="s">
        <v>67</v>
      </c>
      <c r="F2087" t="s">
        <v>46</v>
      </c>
      <c r="G2087" t="s">
        <v>92</v>
      </c>
      <c r="H2087" t="s">
        <v>93</v>
      </c>
      <c r="I2087">
        <v>8.5000000000000006E-2</v>
      </c>
      <c r="J2087">
        <f t="shared" si="96"/>
        <v>55.250000000000007</v>
      </c>
      <c r="K2087">
        <v>0</v>
      </c>
      <c r="L2087">
        <f t="shared" si="97"/>
        <v>55.250000000000007</v>
      </c>
      <c r="M2087" s="4">
        <f t="shared" si="98"/>
        <v>7.8928571428571445E-2</v>
      </c>
      <c r="N2087">
        <v>700</v>
      </c>
      <c r="O2087">
        <v>650</v>
      </c>
      <c r="P2087" t="s">
        <v>25</v>
      </c>
      <c r="Q2087" t="s">
        <v>26</v>
      </c>
      <c r="R2087" t="str">
        <f>IF(COUNTIF(Sheet2!B:B, A2087) &gt; 0, "Yes", "No")</f>
        <v>No</v>
      </c>
    </row>
    <row r="2088" spans="1:18" x14ac:dyDescent="0.25">
      <c r="A2088" s="3">
        <v>45426</v>
      </c>
      <c r="B2088" t="s">
        <v>142</v>
      </c>
      <c r="C2088" t="s">
        <v>105</v>
      </c>
      <c r="D2088" t="s">
        <v>20</v>
      </c>
      <c r="E2088" t="s">
        <v>67</v>
      </c>
      <c r="F2088" t="s">
        <v>49</v>
      </c>
      <c r="G2088" t="s">
        <v>50</v>
      </c>
      <c r="H2088" t="s">
        <v>49</v>
      </c>
      <c r="I2088">
        <v>0.09</v>
      </c>
      <c r="J2088">
        <f t="shared" si="96"/>
        <v>58.5</v>
      </c>
      <c r="K2088">
        <v>3</v>
      </c>
      <c r="L2088">
        <f t="shared" si="97"/>
        <v>55.5</v>
      </c>
      <c r="M2088" s="4">
        <f t="shared" si="98"/>
        <v>7.9285714285714279E-2</v>
      </c>
      <c r="N2088">
        <v>700</v>
      </c>
      <c r="O2088">
        <v>650</v>
      </c>
      <c r="P2088" t="s">
        <v>25</v>
      </c>
      <c r="Q2088" t="s">
        <v>26</v>
      </c>
      <c r="R2088" t="str">
        <f>IF(COUNTIF(Sheet2!B:B, A2088) &gt; 0, "Yes", "No")</f>
        <v>No</v>
      </c>
    </row>
    <row r="2089" spans="1:18" x14ac:dyDescent="0.25">
      <c r="A2089" s="3">
        <v>45427</v>
      </c>
      <c r="B2089" t="s">
        <v>142</v>
      </c>
      <c r="C2089" t="s">
        <v>51</v>
      </c>
      <c r="D2089" t="s">
        <v>20</v>
      </c>
      <c r="E2089" t="s">
        <v>21</v>
      </c>
      <c r="F2089" t="s">
        <v>22</v>
      </c>
      <c r="G2089" t="s">
        <v>94</v>
      </c>
      <c r="H2089" t="s">
        <v>143</v>
      </c>
      <c r="I2089">
        <v>8.5000000000000006E-2</v>
      </c>
      <c r="J2089">
        <f t="shared" si="96"/>
        <v>56.95</v>
      </c>
      <c r="K2089">
        <v>0</v>
      </c>
      <c r="L2089">
        <f t="shared" si="97"/>
        <v>56.95</v>
      </c>
      <c r="M2089" s="4">
        <f t="shared" si="98"/>
        <v>7.5933333333333339E-2</v>
      </c>
      <c r="N2089">
        <v>750</v>
      </c>
      <c r="O2089">
        <v>670</v>
      </c>
      <c r="P2089" t="s">
        <v>25</v>
      </c>
      <c r="Q2089" t="s">
        <v>26</v>
      </c>
      <c r="R2089" t="str">
        <f>IF(COUNTIF(Sheet2!B:B, A2089) &gt; 0, "Yes", "No")</f>
        <v>No</v>
      </c>
    </row>
    <row r="2090" spans="1:18" x14ac:dyDescent="0.25">
      <c r="A2090" s="3">
        <v>45427</v>
      </c>
      <c r="B2090" t="s">
        <v>142</v>
      </c>
      <c r="C2090" t="s">
        <v>51</v>
      </c>
      <c r="D2090" t="s">
        <v>20</v>
      </c>
      <c r="E2090" t="s">
        <v>21</v>
      </c>
      <c r="F2090" t="s">
        <v>27</v>
      </c>
      <c r="G2090" t="s">
        <v>451</v>
      </c>
      <c r="H2090" t="s">
        <v>452</v>
      </c>
      <c r="I2090">
        <v>0.11</v>
      </c>
      <c r="J2090">
        <f t="shared" si="96"/>
        <v>73.7</v>
      </c>
      <c r="K2090">
        <v>4</v>
      </c>
      <c r="L2090">
        <f t="shared" si="97"/>
        <v>69.7</v>
      </c>
      <c r="M2090" s="4">
        <f t="shared" si="98"/>
        <v>9.293333333333334E-2</v>
      </c>
      <c r="N2090">
        <v>750</v>
      </c>
      <c r="O2090">
        <v>670</v>
      </c>
      <c r="P2090" t="s">
        <v>25</v>
      </c>
      <c r="Q2090" t="s">
        <v>26</v>
      </c>
      <c r="R2090" t="str">
        <f>IF(COUNTIF(Sheet2!B:B, A2090) &gt; 0, "Yes", "No")</f>
        <v>No</v>
      </c>
    </row>
    <row r="2091" spans="1:18" x14ac:dyDescent="0.25">
      <c r="A2091" s="3">
        <v>45427</v>
      </c>
      <c r="B2091" t="s">
        <v>142</v>
      </c>
      <c r="C2091" t="s">
        <v>51</v>
      </c>
      <c r="D2091" t="s">
        <v>20</v>
      </c>
      <c r="E2091" t="s">
        <v>21</v>
      </c>
      <c r="F2091" t="s">
        <v>30</v>
      </c>
      <c r="G2091" t="s">
        <v>31</v>
      </c>
      <c r="H2091" t="s">
        <v>31</v>
      </c>
      <c r="I2091">
        <v>0.09</v>
      </c>
      <c r="J2091">
        <f t="shared" si="96"/>
        <v>60.3</v>
      </c>
      <c r="K2091">
        <v>0</v>
      </c>
      <c r="L2091">
        <f t="shared" si="97"/>
        <v>60.3</v>
      </c>
      <c r="M2091" s="4">
        <f t="shared" si="98"/>
        <v>8.0399999999999999E-2</v>
      </c>
      <c r="N2091">
        <v>750</v>
      </c>
      <c r="O2091">
        <v>670</v>
      </c>
      <c r="P2091" t="s">
        <v>25</v>
      </c>
      <c r="Q2091" t="s">
        <v>26</v>
      </c>
      <c r="R2091" t="str">
        <f>IF(COUNTIF(Sheet2!B:B, A2091) &gt; 0, "Yes", "No")</f>
        <v>No</v>
      </c>
    </row>
    <row r="2092" spans="1:18" x14ac:dyDescent="0.25">
      <c r="A2092" s="3">
        <v>45427</v>
      </c>
      <c r="B2092" t="s">
        <v>142</v>
      </c>
      <c r="C2092" t="s">
        <v>51</v>
      </c>
      <c r="D2092" t="s">
        <v>33</v>
      </c>
      <c r="E2092" t="s">
        <v>21</v>
      </c>
      <c r="F2092" t="s">
        <v>34</v>
      </c>
      <c r="G2092" t="s">
        <v>57</v>
      </c>
      <c r="H2092" t="s">
        <v>116</v>
      </c>
      <c r="I2092">
        <v>0.15</v>
      </c>
      <c r="J2092">
        <f t="shared" si="96"/>
        <v>69</v>
      </c>
      <c r="K2092">
        <v>0</v>
      </c>
      <c r="L2092">
        <f t="shared" si="97"/>
        <v>69</v>
      </c>
      <c r="M2092" s="4">
        <f t="shared" si="98"/>
        <v>0.13142857142857142</v>
      </c>
      <c r="N2092">
        <v>525</v>
      </c>
      <c r="O2092">
        <v>460</v>
      </c>
      <c r="P2092" t="s">
        <v>25</v>
      </c>
      <c r="Q2092" t="s">
        <v>26</v>
      </c>
      <c r="R2092" t="str">
        <f>IF(COUNTIF(Sheet2!B:B, A2092) &gt; 0, "Yes", "No")</f>
        <v>No</v>
      </c>
    </row>
    <row r="2093" spans="1:18" x14ac:dyDescent="0.25">
      <c r="A2093" s="3">
        <v>45427</v>
      </c>
      <c r="B2093" t="s">
        <v>142</v>
      </c>
      <c r="C2093" t="s">
        <v>51</v>
      </c>
      <c r="D2093" t="s">
        <v>20</v>
      </c>
      <c r="E2093" t="s">
        <v>21</v>
      </c>
      <c r="F2093" t="s">
        <v>37</v>
      </c>
      <c r="G2093" t="s">
        <v>117</v>
      </c>
      <c r="H2093" t="s">
        <v>421</v>
      </c>
      <c r="I2093">
        <v>0.03</v>
      </c>
      <c r="J2093">
        <f t="shared" si="96"/>
        <v>20.099999999999998</v>
      </c>
      <c r="K2093">
        <v>3</v>
      </c>
      <c r="L2093">
        <f t="shared" si="97"/>
        <v>17.099999999999998</v>
      </c>
      <c r="M2093" s="4">
        <f t="shared" si="98"/>
        <v>2.2799999999999997E-2</v>
      </c>
      <c r="N2093">
        <v>750</v>
      </c>
      <c r="O2093">
        <v>670</v>
      </c>
      <c r="P2093" t="s">
        <v>25</v>
      </c>
      <c r="Q2093" t="s">
        <v>26</v>
      </c>
      <c r="R2093" t="str">
        <f>IF(COUNTIF(Sheet2!B:B, A2093) &gt; 0, "Yes", "No")</f>
        <v>No</v>
      </c>
    </row>
    <row r="2094" spans="1:18" x14ac:dyDescent="0.25">
      <c r="A2094" s="3">
        <v>45427</v>
      </c>
      <c r="B2094" t="s">
        <v>142</v>
      </c>
      <c r="C2094" t="s">
        <v>51</v>
      </c>
      <c r="D2094" t="s">
        <v>20</v>
      </c>
      <c r="E2094" t="s">
        <v>21</v>
      </c>
      <c r="F2094" t="s">
        <v>40</v>
      </c>
      <c r="G2094" t="s">
        <v>127</v>
      </c>
      <c r="H2094" t="s">
        <v>565</v>
      </c>
      <c r="I2094">
        <v>4.4999999999999998E-2</v>
      </c>
      <c r="J2094">
        <f t="shared" si="96"/>
        <v>30.15</v>
      </c>
      <c r="K2094">
        <v>3</v>
      </c>
      <c r="L2094">
        <f t="shared" si="97"/>
        <v>27.15</v>
      </c>
      <c r="M2094" s="4">
        <f t="shared" si="98"/>
        <v>3.6199999999999996E-2</v>
      </c>
      <c r="N2094">
        <v>750</v>
      </c>
      <c r="O2094">
        <v>670</v>
      </c>
      <c r="P2094" t="s">
        <v>25</v>
      </c>
      <c r="Q2094" t="s">
        <v>26</v>
      </c>
      <c r="R2094" t="str">
        <f>IF(COUNTIF(Sheet2!B:B, A2094) &gt; 0, "Yes", "No")</f>
        <v>No</v>
      </c>
    </row>
    <row r="2095" spans="1:18" x14ac:dyDescent="0.25">
      <c r="A2095" s="3">
        <v>45427</v>
      </c>
      <c r="B2095" t="s">
        <v>142</v>
      </c>
      <c r="C2095" t="s">
        <v>51</v>
      </c>
      <c r="D2095" t="s">
        <v>20</v>
      </c>
      <c r="E2095" t="s">
        <v>21</v>
      </c>
      <c r="F2095" t="s">
        <v>43</v>
      </c>
      <c r="G2095" t="s">
        <v>44</v>
      </c>
      <c r="H2095" t="s">
        <v>566</v>
      </c>
      <c r="I2095">
        <v>0.11</v>
      </c>
      <c r="J2095">
        <f t="shared" si="96"/>
        <v>73.7</v>
      </c>
      <c r="K2095">
        <v>4</v>
      </c>
      <c r="L2095">
        <f t="shared" si="97"/>
        <v>69.7</v>
      </c>
      <c r="M2095" s="4">
        <f t="shared" si="98"/>
        <v>9.293333333333334E-2</v>
      </c>
      <c r="N2095">
        <v>750</v>
      </c>
      <c r="O2095">
        <v>670</v>
      </c>
      <c r="P2095" t="s">
        <v>25</v>
      </c>
      <c r="Q2095" t="s">
        <v>26</v>
      </c>
      <c r="R2095" t="str">
        <f>IF(COUNTIF(Sheet2!B:B, A2095) &gt; 0, "Yes", "No")</f>
        <v>No</v>
      </c>
    </row>
    <row r="2096" spans="1:18" x14ac:dyDescent="0.25">
      <c r="A2096" s="3">
        <v>45427</v>
      </c>
      <c r="B2096" t="s">
        <v>142</v>
      </c>
      <c r="C2096" t="s">
        <v>51</v>
      </c>
      <c r="D2096" t="s">
        <v>20</v>
      </c>
      <c r="E2096" t="s">
        <v>21</v>
      </c>
      <c r="F2096" t="s">
        <v>46</v>
      </c>
      <c r="G2096" t="s">
        <v>47</v>
      </c>
      <c r="H2096" t="s">
        <v>403</v>
      </c>
      <c r="I2096">
        <v>8.5000000000000006E-2</v>
      </c>
      <c r="J2096">
        <f t="shared" si="96"/>
        <v>56.95</v>
      </c>
      <c r="K2096">
        <v>4</v>
      </c>
      <c r="L2096">
        <f t="shared" si="97"/>
        <v>52.95</v>
      </c>
      <c r="M2096" s="4">
        <f t="shared" si="98"/>
        <v>7.060000000000001E-2</v>
      </c>
      <c r="N2096">
        <v>750</v>
      </c>
      <c r="O2096">
        <v>670</v>
      </c>
      <c r="P2096" t="s">
        <v>25</v>
      </c>
      <c r="Q2096" t="s">
        <v>26</v>
      </c>
      <c r="R2096" t="str">
        <f>IF(COUNTIF(Sheet2!B:B, A2096) &gt; 0, "Yes", "No")</f>
        <v>No</v>
      </c>
    </row>
    <row r="2097" spans="1:18" x14ac:dyDescent="0.25">
      <c r="A2097" s="3">
        <v>45427</v>
      </c>
      <c r="B2097" t="s">
        <v>142</v>
      </c>
      <c r="C2097" t="s">
        <v>51</v>
      </c>
      <c r="D2097" t="s">
        <v>20</v>
      </c>
      <c r="E2097" t="s">
        <v>21</v>
      </c>
      <c r="F2097" t="s">
        <v>49</v>
      </c>
      <c r="G2097" t="s">
        <v>50</v>
      </c>
      <c r="H2097" t="s">
        <v>49</v>
      </c>
      <c r="I2097">
        <v>0.09</v>
      </c>
      <c r="J2097">
        <f t="shared" si="96"/>
        <v>60.3</v>
      </c>
      <c r="K2097">
        <v>4</v>
      </c>
      <c r="L2097">
        <f t="shared" si="97"/>
        <v>56.3</v>
      </c>
      <c r="M2097" s="4">
        <f t="shared" si="98"/>
        <v>7.5066666666666657E-2</v>
      </c>
      <c r="N2097">
        <v>750</v>
      </c>
      <c r="O2097">
        <v>670</v>
      </c>
      <c r="P2097" t="s">
        <v>25</v>
      </c>
      <c r="Q2097" t="s">
        <v>26</v>
      </c>
      <c r="R2097" t="str">
        <f>IF(COUNTIF(Sheet2!B:B, A2097) &gt; 0, "Yes", "No")</f>
        <v>No</v>
      </c>
    </row>
    <row r="2098" spans="1:18" x14ac:dyDescent="0.25">
      <c r="A2098" s="3">
        <v>45428</v>
      </c>
      <c r="B2098" t="s">
        <v>142</v>
      </c>
      <c r="C2098" t="s">
        <v>66</v>
      </c>
      <c r="D2098" t="s">
        <v>20</v>
      </c>
      <c r="E2098" t="s">
        <v>67</v>
      </c>
      <c r="F2098" t="s">
        <v>22</v>
      </c>
      <c r="G2098" t="s">
        <v>122</v>
      </c>
      <c r="H2098" t="s">
        <v>155</v>
      </c>
      <c r="I2098">
        <v>8.5000000000000006E-2</v>
      </c>
      <c r="J2098">
        <f t="shared" si="96"/>
        <v>54.400000000000006</v>
      </c>
      <c r="K2098">
        <v>0</v>
      </c>
      <c r="L2098">
        <f t="shared" si="97"/>
        <v>54.400000000000006</v>
      </c>
      <c r="M2098" s="4">
        <f t="shared" si="98"/>
        <v>7.7714285714285722E-2</v>
      </c>
      <c r="N2098">
        <v>700</v>
      </c>
      <c r="O2098">
        <v>640</v>
      </c>
      <c r="P2098" t="s">
        <v>25</v>
      </c>
      <c r="Q2098" t="s">
        <v>26</v>
      </c>
      <c r="R2098" t="str">
        <f>IF(COUNTIF(Sheet2!B:B, A2098) &gt; 0, "Yes", "No")</f>
        <v>No</v>
      </c>
    </row>
    <row r="2099" spans="1:18" x14ac:dyDescent="0.25">
      <c r="A2099" s="3">
        <v>45428</v>
      </c>
      <c r="B2099" t="s">
        <v>142</v>
      </c>
      <c r="C2099" t="s">
        <v>66</v>
      </c>
      <c r="D2099" t="s">
        <v>20</v>
      </c>
      <c r="E2099" t="s">
        <v>67</v>
      </c>
      <c r="F2099" t="s">
        <v>27</v>
      </c>
      <c r="G2099" t="s">
        <v>541</v>
      </c>
      <c r="H2099" t="s">
        <v>541</v>
      </c>
      <c r="I2099">
        <v>0.12</v>
      </c>
      <c r="J2099">
        <f t="shared" si="96"/>
        <v>76.8</v>
      </c>
      <c r="K2099">
        <v>0</v>
      </c>
      <c r="L2099">
        <f t="shared" si="97"/>
        <v>76.8</v>
      </c>
      <c r="M2099" s="4">
        <f t="shared" si="98"/>
        <v>0.10971428571428571</v>
      </c>
      <c r="N2099">
        <v>700</v>
      </c>
      <c r="O2099">
        <v>640</v>
      </c>
      <c r="P2099" t="s">
        <v>25</v>
      </c>
      <c r="Q2099" t="s">
        <v>26</v>
      </c>
      <c r="R2099" t="str">
        <f>IF(COUNTIF(Sheet2!B:B, A2099) &gt; 0, "Yes", "No")</f>
        <v>No</v>
      </c>
    </row>
    <row r="2100" spans="1:18" x14ac:dyDescent="0.25">
      <c r="A2100" s="3">
        <v>45428</v>
      </c>
      <c r="B2100" t="s">
        <v>142</v>
      </c>
      <c r="C2100" t="s">
        <v>66</v>
      </c>
      <c r="D2100" t="s">
        <v>20</v>
      </c>
      <c r="E2100" t="s">
        <v>67</v>
      </c>
      <c r="F2100" t="s">
        <v>30</v>
      </c>
      <c r="G2100" t="s">
        <v>55</v>
      </c>
      <c r="H2100" t="s">
        <v>125</v>
      </c>
      <c r="I2100">
        <v>0.09</v>
      </c>
      <c r="J2100">
        <f t="shared" si="96"/>
        <v>57.599999999999994</v>
      </c>
      <c r="K2100">
        <v>1</v>
      </c>
      <c r="L2100">
        <f t="shared" si="97"/>
        <v>56.599999999999994</v>
      </c>
      <c r="M2100" s="4">
        <f t="shared" si="98"/>
        <v>8.085714285714285E-2</v>
      </c>
      <c r="N2100">
        <v>700</v>
      </c>
      <c r="O2100">
        <v>640</v>
      </c>
      <c r="P2100" t="s">
        <v>25</v>
      </c>
      <c r="Q2100" t="s">
        <v>26</v>
      </c>
      <c r="R2100" t="str">
        <f>IF(COUNTIF(Sheet2!B:B, A2100) &gt; 0, "Yes", "No")</f>
        <v>No</v>
      </c>
    </row>
    <row r="2101" spans="1:18" x14ac:dyDescent="0.25">
      <c r="A2101" s="3">
        <v>45428</v>
      </c>
      <c r="B2101" t="s">
        <v>142</v>
      </c>
      <c r="C2101" t="s">
        <v>66</v>
      </c>
      <c r="D2101" t="s">
        <v>20</v>
      </c>
      <c r="E2101" t="s">
        <v>67</v>
      </c>
      <c r="F2101" t="s">
        <v>37</v>
      </c>
      <c r="G2101" t="s">
        <v>87</v>
      </c>
      <c r="H2101" t="s">
        <v>136</v>
      </c>
      <c r="I2101">
        <v>3.5000000000000003E-2</v>
      </c>
      <c r="J2101">
        <f t="shared" si="96"/>
        <v>22.400000000000002</v>
      </c>
      <c r="K2101">
        <v>2</v>
      </c>
      <c r="L2101">
        <f t="shared" si="97"/>
        <v>20.400000000000002</v>
      </c>
      <c r="M2101" s="4">
        <f t="shared" si="98"/>
        <v>2.9142857142857147E-2</v>
      </c>
      <c r="N2101">
        <v>700</v>
      </c>
      <c r="O2101">
        <v>640</v>
      </c>
      <c r="P2101" t="s">
        <v>25</v>
      </c>
      <c r="Q2101" t="s">
        <v>26</v>
      </c>
      <c r="R2101" t="str">
        <f>IF(COUNTIF(Sheet2!B:B, A2101) &gt; 0, "Yes", "No")</f>
        <v>No</v>
      </c>
    </row>
    <row r="2102" spans="1:18" x14ac:dyDescent="0.25">
      <c r="A2102" s="3">
        <v>45428</v>
      </c>
      <c r="B2102" t="s">
        <v>142</v>
      </c>
      <c r="C2102" t="s">
        <v>66</v>
      </c>
      <c r="D2102" t="s">
        <v>20</v>
      </c>
      <c r="E2102" t="s">
        <v>67</v>
      </c>
      <c r="F2102" t="s">
        <v>40</v>
      </c>
      <c r="G2102" t="s">
        <v>137</v>
      </c>
      <c r="H2102" t="s">
        <v>567</v>
      </c>
      <c r="I2102">
        <v>0.05</v>
      </c>
      <c r="J2102">
        <f t="shared" si="96"/>
        <v>32</v>
      </c>
      <c r="K2102">
        <v>2</v>
      </c>
      <c r="L2102">
        <f t="shared" si="97"/>
        <v>30</v>
      </c>
      <c r="M2102" s="4">
        <f t="shared" si="98"/>
        <v>4.2857142857142858E-2</v>
      </c>
      <c r="N2102">
        <v>700</v>
      </c>
      <c r="O2102">
        <v>640</v>
      </c>
      <c r="P2102" t="s">
        <v>25</v>
      </c>
      <c r="Q2102" t="s">
        <v>26</v>
      </c>
      <c r="R2102" t="str">
        <f>IF(COUNTIF(Sheet2!B:B, A2102) &gt; 0, "Yes", "No")</f>
        <v>No</v>
      </c>
    </row>
    <row r="2103" spans="1:18" x14ac:dyDescent="0.25">
      <c r="A2103" s="3">
        <v>45428</v>
      </c>
      <c r="B2103" t="s">
        <v>142</v>
      </c>
      <c r="C2103" t="s">
        <v>66</v>
      </c>
      <c r="D2103" t="s">
        <v>20</v>
      </c>
      <c r="E2103" t="s">
        <v>67</v>
      </c>
      <c r="F2103" t="s">
        <v>43</v>
      </c>
      <c r="G2103" t="s">
        <v>90</v>
      </c>
      <c r="H2103" t="s">
        <v>568</v>
      </c>
      <c r="I2103">
        <v>0.11</v>
      </c>
      <c r="J2103">
        <f t="shared" si="96"/>
        <v>70.400000000000006</v>
      </c>
      <c r="K2103">
        <v>2</v>
      </c>
      <c r="L2103">
        <f t="shared" si="97"/>
        <v>68.400000000000006</v>
      </c>
      <c r="M2103" s="4">
        <f t="shared" si="98"/>
        <v>9.7714285714285726E-2</v>
      </c>
      <c r="N2103">
        <v>700</v>
      </c>
      <c r="O2103">
        <v>640</v>
      </c>
      <c r="P2103" t="s">
        <v>25</v>
      </c>
      <c r="Q2103" t="s">
        <v>26</v>
      </c>
      <c r="R2103" t="str">
        <f>IF(COUNTIF(Sheet2!B:B, A2103) &gt; 0, "Yes", "No")</f>
        <v>No</v>
      </c>
    </row>
    <row r="2104" spans="1:18" x14ac:dyDescent="0.25">
      <c r="A2104" s="3">
        <v>45428</v>
      </c>
      <c r="B2104" t="s">
        <v>142</v>
      </c>
      <c r="C2104" t="s">
        <v>66</v>
      </c>
      <c r="D2104" t="s">
        <v>20</v>
      </c>
      <c r="E2104" t="s">
        <v>67</v>
      </c>
      <c r="F2104" t="s">
        <v>46</v>
      </c>
      <c r="G2104" t="s">
        <v>130</v>
      </c>
      <c r="H2104" t="s">
        <v>242</v>
      </c>
      <c r="I2104">
        <v>8.5000000000000006E-2</v>
      </c>
      <c r="J2104">
        <f t="shared" si="96"/>
        <v>54.400000000000006</v>
      </c>
      <c r="K2104">
        <v>0</v>
      </c>
      <c r="L2104">
        <f t="shared" si="97"/>
        <v>54.400000000000006</v>
      </c>
      <c r="M2104" s="4">
        <f t="shared" si="98"/>
        <v>7.7714285714285722E-2</v>
      </c>
      <c r="N2104">
        <v>700</v>
      </c>
      <c r="O2104">
        <v>640</v>
      </c>
      <c r="P2104" t="s">
        <v>25</v>
      </c>
      <c r="Q2104" t="s">
        <v>26</v>
      </c>
      <c r="R2104" t="str">
        <f>IF(COUNTIF(Sheet2!B:B, A2104) &gt; 0, "Yes", "No")</f>
        <v>No</v>
      </c>
    </row>
    <row r="2105" spans="1:18" x14ac:dyDescent="0.25">
      <c r="A2105" s="3">
        <v>45428</v>
      </c>
      <c r="B2105" t="s">
        <v>142</v>
      </c>
      <c r="C2105" t="s">
        <v>66</v>
      </c>
      <c r="D2105" t="s">
        <v>20</v>
      </c>
      <c r="E2105" t="s">
        <v>67</v>
      </c>
      <c r="F2105" t="s">
        <v>49</v>
      </c>
      <c r="G2105" t="s">
        <v>50</v>
      </c>
      <c r="H2105" t="s">
        <v>49</v>
      </c>
      <c r="I2105">
        <v>0.09</v>
      </c>
      <c r="J2105">
        <f t="shared" si="96"/>
        <v>57.599999999999994</v>
      </c>
      <c r="K2105">
        <v>0</v>
      </c>
      <c r="L2105">
        <f t="shared" si="97"/>
        <v>57.599999999999994</v>
      </c>
      <c r="M2105" s="4">
        <f t="shared" si="98"/>
        <v>8.2285714285714281E-2</v>
      </c>
      <c r="N2105">
        <v>700</v>
      </c>
      <c r="O2105">
        <v>640</v>
      </c>
      <c r="P2105" t="s">
        <v>25</v>
      </c>
      <c r="Q2105" t="s">
        <v>26</v>
      </c>
      <c r="R2105" t="str">
        <f>IF(COUNTIF(Sheet2!B:B, A2105) &gt; 0, "Yes", "No")</f>
        <v>No</v>
      </c>
    </row>
    <row r="2106" spans="1:18" x14ac:dyDescent="0.25">
      <c r="A2106" s="3">
        <v>45429</v>
      </c>
      <c r="B2106" t="s">
        <v>142</v>
      </c>
      <c r="C2106" t="s">
        <v>79</v>
      </c>
      <c r="D2106" t="s">
        <v>20</v>
      </c>
      <c r="E2106" t="s">
        <v>21</v>
      </c>
      <c r="F2106" t="s">
        <v>22</v>
      </c>
      <c r="G2106" t="s">
        <v>94</v>
      </c>
      <c r="H2106" t="s">
        <v>458</v>
      </c>
      <c r="I2106" s="5">
        <v>0.06</v>
      </c>
      <c r="J2106">
        <f t="shared" si="96"/>
        <v>36</v>
      </c>
      <c r="K2106">
        <v>3.5</v>
      </c>
      <c r="L2106">
        <f t="shared" si="97"/>
        <v>32.5</v>
      </c>
      <c r="M2106" s="4">
        <f t="shared" si="98"/>
        <v>0.05</v>
      </c>
      <c r="N2106">
        <v>650</v>
      </c>
      <c r="O2106">
        <v>600</v>
      </c>
      <c r="P2106" t="s">
        <v>25</v>
      </c>
      <c r="Q2106" t="s">
        <v>26</v>
      </c>
      <c r="R2106" t="str">
        <f>IF(COUNTIF(Sheet2!B:B, A2106) &gt; 0, "Yes", "No")</f>
        <v>Yes</v>
      </c>
    </row>
    <row r="2107" spans="1:18" x14ac:dyDescent="0.25">
      <c r="A2107" s="3">
        <v>45429</v>
      </c>
      <c r="B2107" t="s">
        <v>142</v>
      </c>
      <c r="C2107" t="s">
        <v>79</v>
      </c>
      <c r="D2107" t="s">
        <v>20</v>
      </c>
      <c r="E2107" t="s">
        <v>21</v>
      </c>
      <c r="F2107" t="s">
        <v>27</v>
      </c>
      <c r="G2107" t="s">
        <v>304</v>
      </c>
      <c r="H2107" t="s">
        <v>569</v>
      </c>
      <c r="I2107" s="5">
        <v>0.1</v>
      </c>
      <c r="J2107">
        <f t="shared" si="96"/>
        <v>60</v>
      </c>
      <c r="K2107">
        <v>4</v>
      </c>
      <c r="L2107">
        <f t="shared" si="97"/>
        <v>56</v>
      </c>
      <c r="M2107" s="4">
        <f t="shared" si="98"/>
        <v>8.615384615384615E-2</v>
      </c>
      <c r="N2107">
        <v>650</v>
      </c>
      <c r="O2107">
        <v>600</v>
      </c>
      <c r="P2107" t="s">
        <v>25</v>
      </c>
      <c r="Q2107" t="s">
        <v>26</v>
      </c>
      <c r="R2107" t="str">
        <f>IF(COUNTIF(Sheet2!B:B, A2107) &gt; 0, "Yes", "No")</f>
        <v>Yes</v>
      </c>
    </row>
    <row r="2108" spans="1:18" x14ac:dyDescent="0.25">
      <c r="A2108" s="3">
        <v>45429</v>
      </c>
      <c r="B2108" t="s">
        <v>142</v>
      </c>
      <c r="C2108" t="s">
        <v>79</v>
      </c>
      <c r="D2108" t="s">
        <v>20</v>
      </c>
      <c r="E2108" t="s">
        <v>21</v>
      </c>
      <c r="F2108" t="s">
        <v>30</v>
      </c>
      <c r="G2108" t="s">
        <v>31</v>
      </c>
      <c r="H2108" t="s">
        <v>389</v>
      </c>
      <c r="I2108" s="5">
        <v>0.06</v>
      </c>
      <c r="J2108">
        <f t="shared" si="96"/>
        <v>36</v>
      </c>
      <c r="K2108">
        <v>1</v>
      </c>
      <c r="L2108">
        <f t="shared" si="97"/>
        <v>35</v>
      </c>
      <c r="M2108" s="4">
        <f t="shared" si="98"/>
        <v>5.3846153846153849E-2</v>
      </c>
      <c r="N2108">
        <v>650</v>
      </c>
      <c r="O2108">
        <v>600</v>
      </c>
      <c r="P2108" t="s">
        <v>25</v>
      </c>
      <c r="Q2108" t="s">
        <v>26</v>
      </c>
      <c r="R2108" t="str">
        <f>IF(COUNTIF(Sheet2!B:B, A2108) &gt; 0, "Yes", "No")</f>
        <v>Yes</v>
      </c>
    </row>
    <row r="2109" spans="1:18" x14ac:dyDescent="0.25">
      <c r="A2109" s="3">
        <v>45429</v>
      </c>
      <c r="B2109" t="s">
        <v>142</v>
      </c>
      <c r="C2109" t="s">
        <v>79</v>
      </c>
      <c r="D2109" t="s">
        <v>33</v>
      </c>
      <c r="E2109" t="s">
        <v>21</v>
      </c>
      <c r="F2109" t="s">
        <v>84</v>
      </c>
      <c r="G2109" t="s">
        <v>177</v>
      </c>
      <c r="H2109" t="s">
        <v>220</v>
      </c>
      <c r="I2109" s="5">
        <v>0.3</v>
      </c>
      <c r="J2109">
        <f t="shared" si="96"/>
        <v>126</v>
      </c>
      <c r="K2109">
        <v>0</v>
      </c>
      <c r="L2109">
        <f t="shared" si="97"/>
        <v>126</v>
      </c>
      <c r="M2109" s="4">
        <f t="shared" si="98"/>
        <v>0.27692307692307694</v>
      </c>
      <c r="N2109">
        <v>455</v>
      </c>
      <c r="O2109">
        <v>420</v>
      </c>
      <c r="P2109" t="s">
        <v>25</v>
      </c>
      <c r="Q2109" t="s">
        <v>26</v>
      </c>
      <c r="R2109" t="str">
        <f>IF(COUNTIF(Sheet2!B:B, A2109) &gt; 0, "Yes", "No")</f>
        <v>Yes</v>
      </c>
    </row>
    <row r="2110" spans="1:18" x14ac:dyDescent="0.25">
      <c r="A2110" s="3">
        <v>45429</v>
      </c>
      <c r="B2110" t="s">
        <v>142</v>
      </c>
      <c r="C2110" t="s">
        <v>79</v>
      </c>
      <c r="D2110" t="s">
        <v>20</v>
      </c>
      <c r="E2110" t="s">
        <v>21</v>
      </c>
      <c r="F2110" t="s">
        <v>37</v>
      </c>
      <c r="G2110" t="s">
        <v>87</v>
      </c>
      <c r="H2110" t="s">
        <v>99</v>
      </c>
      <c r="I2110" s="5">
        <v>2.5000000000000001E-2</v>
      </c>
      <c r="J2110">
        <f t="shared" si="96"/>
        <v>15</v>
      </c>
      <c r="K2110">
        <v>3</v>
      </c>
      <c r="L2110">
        <f t="shared" si="97"/>
        <v>12</v>
      </c>
      <c r="M2110" s="4">
        <f t="shared" si="98"/>
        <v>1.8461538461538463E-2</v>
      </c>
      <c r="N2110">
        <v>650</v>
      </c>
      <c r="O2110">
        <v>600</v>
      </c>
      <c r="P2110" t="s">
        <v>25</v>
      </c>
      <c r="Q2110" t="s">
        <v>26</v>
      </c>
      <c r="R2110" t="str">
        <f>IF(COUNTIF(Sheet2!B:B, A2110) &gt; 0, "Yes", "No")</f>
        <v>Yes</v>
      </c>
    </row>
    <row r="2111" spans="1:18" x14ac:dyDescent="0.25">
      <c r="A2111" s="3">
        <v>45429</v>
      </c>
      <c r="B2111" t="s">
        <v>142</v>
      </c>
      <c r="C2111" t="s">
        <v>79</v>
      </c>
      <c r="D2111" t="s">
        <v>20</v>
      </c>
      <c r="E2111" t="s">
        <v>21</v>
      </c>
      <c r="F2111" t="s">
        <v>40</v>
      </c>
      <c r="G2111" t="s">
        <v>61</v>
      </c>
      <c r="H2111" t="s">
        <v>570</v>
      </c>
      <c r="I2111" s="5">
        <v>0.04</v>
      </c>
      <c r="J2111">
        <f t="shared" si="96"/>
        <v>24</v>
      </c>
      <c r="K2111">
        <v>3</v>
      </c>
      <c r="L2111">
        <f t="shared" si="97"/>
        <v>21</v>
      </c>
      <c r="M2111" s="4">
        <f t="shared" si="98"/>
        <v>3.2307692307692308E-2</v>
      </c>
      <c r="N2111">
        <v>650</v>
      </c>
      <c r="O2111">
        <v>600</v>
      </c>
      <c r="P2111" t="s">
        <v>25</v>
      </c>
      <c r="Q2111" t="s">
        <v>26</v>
      </c>
      <c r="R2111" t="str">
        <f>IF(COUNTIF(Sheet2!B:B, A2111) &gt; 0, "Yes", "No")</f>
        <v>Yes</v>
      </c>
    </row>
    <row r="2112" spans="1:18" x14ac:dyDescent="0.25">
      <c r="A2112" s="3">
        <v>45429</v>
      </c>
      <c r="B2112" t="s">
        <v>142</v>
      </c>
      <c r="C2112" t="s">
        <v>79</v>
      </c>
      <c r="D2112" t="s">
        <v>20</v>
      </c>
      <c r="E2112" t="s">
        <v>21</v>
      </c>
      <c r="F2112" t="s">
        <v>43</v>
      </c>
      <c r="G2112" t="s">
        <v>90</v>
      </c>
      <c r="H2112" t="s">
        <v>188</v>
      </c>
      <c r="I2112" s="5">
        <v>7.0000000000000007E-2</v>
      </c>
      <c r="J2112">
        <f t="shared" si="96"/>
        <v>42.000000000000007</v>
      </c>
      <c r="K2112">
        <v>4</v>
      </c>
      <c r="L2112">
        <f t="shared" si="97"/>
        <v>38.000000000000007</v>
      </c>
      <c r="M2112" s="4">
        <f t="shared" si="98"/>
        <v>5.8461538461538474E-2</v>
      </c>
      <c r="N2112">
        <v>650</v>
      </c>
      <c r="O2112">
        <v>600</v>
      </c>
      <c r="P2112" t="s">
        <v>25</v>
      </c>
      <c r="Q2112" t="s">
        <v>26</v>
      </c>
      <c r="R2112" t="str">
        <f>IF(COUNTIF(Sheet2!B:B, A2112) &gt; 0, "Yes", "No")</f>
        <v>Yes</v>
      </c>
    </row>
    <row r="2113" spans="1:18" x14ac:dyDescent="0.25">
      <c r="A2113" s="3">
        <v>45429</v>
      </c>
      <c r="B2113" t="s">
        <v>142</v>
      </c>
      <c r="C2113" t="s">
        <v>79</v>
      </c>
      <c r="D2113" t="s">
        <v>20</v>
      </c>
      <c r="E2113" t="s">
        <v>21</v>
      </c>
      <c r="F2113" t="s">
        <v>46</v>
      </c>
      <c r="G2113" t="s">
        <v>103</v>
      </c>
      <c r="H2113" t="s">
        <v>309</v>
      </c>
      <c r="I2113" s="5">
        <v>7.4999999999999997E-2</v>
      </c>
      <c r="J2113">
        <f t="shared" si="96"/>
        <v>45</v>
      </c>
      <c r="K2113">
        <v>1</v>
      </c>
      <c r="L2113">
        <f t="shared" si="97"/>
        <v>44</v>
      </c>
      <c r="M2113" s="4">
        <f t="shared" si="98"/>
        <v>6.7692307692307691E-2</v>
      </c>
      <c r="N2113">
        <v>650</v>
      </c>
      <c r="O2113">
        <v>600</v>
      </c>
      <c r="P2113" t="s">
        <v>25</v>
      </c>
      <c r="Q2113" t="s">
        <v>26</v>
      </c>
      <c r="R2113" t="str">
        <f>IF(COUNTIF(Sheet2!B:B, A2113) &gt; 0, "Yes", "No")</f>
        <v>Yes</v>
      </c>
    </row>
    <row r="2114" spans="1:18" x14ac:dyDescent="0.25">
      <c r="A2114" s="3">
        <v>45429</v>
      </c>
      <c r="B2114" t="s">
        <v>142</v>
      </c>
      <c r="C2114" t="s">
        <v>79</v>
      </c>
      <c r="D2114" t="s">
        <v>20</v>
      </c>
      <c r="E2114" t="s">
        <v>21</v>
      </c>
      <c r="F2114" t="s">
        <v>49</v>
      </c>
      <c r="G2114" t="s">
        <v>50</v>
      </c>
      <c r="H2114" t="s">
        <v>49</v>
      </c>
      <c r="I2114" s="5">
        <v>0.04</v>
      </c>
      <c r="J2114">
        <f t="shared" si="96"/>
        <v>24</v>
      </c>
      <c r="K2114">
        <v>3</v>
      </c>
      <c r="L2114">
        <f t="shared" si="97"/>
        <v>21</v>
      </c>
      <c r="M2114" s="4">
        <f t="shared" si="98"/>
        <v>3.2307692307692308E-2</v>
      </c>
      <c r="N2114">
        <v>650</v>
      </c>
      <c r="O2114">
        <v>600</v>
      </c>
      <c r="P2114" t="s">
        <v>25</v>
      </c>
      <c r="Q2114" t="s">
        <v>26</v>
      </c>
      <c r="R2114" t="str">
        <f>IF(COUNTIF(Sheet2!B:B, A2114) &gt; 0, "Yes", "No")</f>
        <v>Yes</v>
      </c>
    </row>
    <row r="2115" spans="1:18" x14ac:dyDescent="0.25">
      <c r="A2115" s="3">
        <v>45432</v>
      </c>
      <c r="B2115" t="s">
        <v>142</v>
      </c>
      <c r="C2115" t="s">
        <v>19</v>
      </c>
      <c r="D2115" t="s">
        <v>20</v>
      </c>
      <c r="E2115" t="s">
        <v>21</v>
      </c>
      <c r="F2115" t="s">
        <v>22</v>
      </c>
      <c r="G2115" t="s">
        <v>94</v>
      </c>
      <c r="H2115" t="s">
        <v>168</v>
      </c>
      <c r="I2115">
        <v>8.5000000000000006E-2</v>
      </c>
      <c r="J2115">
        <f t="shared" ref="J2115:J2178" si="99">I2115*O2115</f>
        <v>68</v>
      </c>
      <c r="K2115">
        <v>5</v>
      </c>
      <c r="L2115">
        <f t="shared" ref="L2115:L2178" si="100">J2115-K2115</f>
        <v>63</v>
      </c>
      <c r="M2115" s="4">
        <f t="shared" ref="M2115:M2178" si="101">((I2115*O2115)-K2115)/N2115</f>
        <v>7.4117647058823524E-2</v>
      </c>
      <c r="N2115">
        <v>850</v>
      </c>
      <c r="O2115">
        <v>800</v>
      </c>
      <c r="P2115" t="s">
        <v>25</v>
      </c>
      <c r="Q2115" t="s">
        <v>26</v>
      </c>
      <c r="R2115" t="str">
        <f>IF(COUNTIF(Sheet2!B:B, A2115) &gt; 0, "Yes", "No")</f>
        <v>No</v>
      </c>
    </row>
    <row r="2116" spans="1:18" x14ac:dyDescent="0.25">
      <c r="A2116" s="3">
        <v>45432</v>
      </c>
      <c r="B2116" t="s">
        <v>142</v>
      </c>
      <c r="C2116" t="s">
        <v>19</v>
      </c>
      <c r="D2116" t="s">
        <v>20</v>
      </c>
      <c r="E2116" t="s">
        <v>21</v>
      </c>
      <c r="F2116" t="s">
        <v>27</v>
      </c>
      <c r="G2116" t="s">
        <v>541</v>
      </c>
      <c r="H2116" t="s">
        <v>541</v>
      </c>
      <c r="I2116">
        <v>0.12</v>
      </c>
      <c r="J2116">
        <f t="shared" si="99"/>
        <v>96</v>
      </c>
      <c r="K2116">
        <v>5</v>
      </c>
      <c r="L2116">
        <f t="shared" si="100"/>
        <v>91</v>
      </c>
      <c r="M2116" s="4">
        <f t="shared" si="101"/>
        <v>0.10705882352941176</v>
      </c>
      <c r="N2116">
        <v>850</v>
      </c>
      <c r="O2116">
        <v>800</v>
      </c>
      <c r="P2116" t="s">
        <v>25</v>
      </c>
      <c r="Q2116" t="s">
        <v>26</v>
      </c>
      <c r="R2116" t="str">
        <f>IF(COUNTIF(Sheet2!B:B, A2116) &gt; 0, "Yes", "No")</f>
        <v>No</v>
      </c>
    </row>
    <row r="2117" spans="1:18" x14ac:dyDescent="0.25">
      <c r="A2117" s="3">
        <v>45432</v>
      </c>
      <c r="B2117" t="s">
        <v>142</v>
      </c>
      <c r="C2117" t="s">
        <v>19</v>
      </c>
      <c r="D2117" t="s">
        <v>20</v>
      </c>
      <c r="E2117" t="s">
        <v>21</v>
      </c>
      <c r="F2117" t="s">
        <v>30</v>
      </c>
      <c r="G2117" t="s">
        <v>31</v>
      </c>
      <c r="H2117" t="s">
        <v>70</v>
      </c>
      <c r="I2117">
        <v>0.09</v>
      </c>
      <c r="J2117">
        <f t="shared" si="99"/>
        <v>72</v>
      </c>
      <c r="K2117">
        <v>4</v>
      </c>
      <c r="L2117">
        <f t="shared" si="100"/>
        <v>68</v>
      </c>
      <c r="M2117" s="4">
        <f t="shared" si="101"/>
        <v>0.08</v>
      </c>
      <c r="N2117">
        <v>850</v>
      </c>
      <c r="O2117">
        <v>800</v>
      </c>
      <c r="P2117" t="s">
        <v>25</v>
      </c>
      <c r="Q2117" t="s">
        <v>26</v>
      </c>
      <c r="R2117" t="str">
        <f>IF(COUNTIF(Sheet2!B:B, A2117) &gt; 0, "Yes", "No")</f>
        <v>No</v>
      </c>
    </row>
    <row r="2118" spans="1:18" x14ac:dyDescent="0.25">
      <c r="A2118" s="3">
        <v>45432</v>
      </c>
      <c r="B2118" t="s">
        <v>142</v>
      </c>
      <c r="C2118" t="s">
        <v>19</v>
      </c>
      <c r="D2118" t="s">
        <v>33</v>
      </c>
      <c r="E2118" t="s">
        <v>21</v>
      </c>
      <c r="F2118" t="s">
        <v>34</v>
      </c>
      <c r="G2118" t="s">
        <v>57</v>
      </c>
      <c r="H2118" t="s">
        <v>98</v>
      </c>
      <c r="I2118">
        <v>0.15</v>
      </c>
      <c r="J2118">
        <f t="shared" si="99"/>
        <v>78</v>
      </c>
      <c r="K2118">
        <v>0</v>
      </c>
      <c r="L2118">
        <f t="shared" si="100"/>
        <v>78</v>
      </c>
      <c r="M2118" s="4">
        <f t="shared" si="101"/>
        <v>0.13109243697478992</v>
      </c>
      <c r="N2118">
        <v>595</v>
      </c>
      <c r="O2118">
        <v>520</v>
      </c>
      <c r="P2118" t="s">
        <v>25</v>
      </c>
      <c r="Q2118" t="s">
        <v>26</v>
      </c>
      <c r="R2118" t="str">
        <f>IF(COUNTIF(Sheet2!B:B, A2118) &gt; 0, "Yes", "No")</f>
        <v>No</v>
      </c>
    </row>
    <row r="2119" spans="1:18" x14ac:dyDescent="0.25">
      <c r="A2119" s="3">
        <v>45432</v>
      </c>
      <c r="B2119" t="s">
        <v>142</v>
      </c>
      <c r="C2119" t="s">
        <v>19</v>
      </c>
      <c r="D2119" t="s">
        <v>20</v>
      </c>
      <c r="E2119" t="s">
        <v>21</v>
      </c>
      <c r="F2119" t="s">
        <v>37</v>
      </c>
      <c r="G2119" t="s">
        <v>59</v>
      </c>
      <c r="H2119" t="s">
        <v>60</v>
      </c>
      <c r="I2119">
        <v>0.03</v>
      </c>
      <c r="J2119">
        <f t="shared" si="99"/>
        <v>24</v>
      </c>
      <c r="K2119">
        <v>3</v>
      </c>
      <c r="L2119">
        <f t="shared" si="100"/>
        <v>21</v>
      </c>
      <c r="M2119" s="4">
        <f t="shared" si="101"/>
        <v>2.4705882352941175E-2</v>
      </c>
      <c r="N2119">
        <v>850</v>
      </c>
      <c r="O2119">
        <v>800</v>
      </c>
      <c r="P2119" t="s">
        <v>25</v>
      </c>
      <c r="Q2119" t="s">
        <v>26</v>
      </c>
      <c r="R2119" t="str">
        <f>IF(COUNTIF(Sheet2!B:B, A2119) &gt; 0, "Yes", "No")</f>
        <v>No</v>
      </c>
    </row>
    <row r="2120" spans="1:18" x14ac:dyDescent="0.25">
      <c r="A2120" s="3">
        <v>45432</v>
      </c>
      <c r="B2120" t="s">
        <v>142</v>
      </c>
      <c r="C2120" t="s">
        <v>19</v>
      </c>
      <c r="D2120" t="s">
        <v>20</v>
      </c>
      <c r="E2120" t="s">
        <v>21</v>
      </c>
      <c r="F2120" t="s">
        <v>40</v>
      </c>
      <c r="G2120" t="s">
        <v>100</v>
      </c>
      <c r="H2120" t="s">
        <v>101</v>
      </c>
      <c r="I2120">
        <v>4.4999999999999998E-2</v>
      </c>
      <c r="J2120">
        <f t="shared" si="99"/>
        <v>36</v>
      </c>
      <c r="K2120">
        <v>4</v>
      </c>
      <c r="L2120">
        <f t="shared" si="100"/>
        <v>32</v>
      </c>
      <c r="M2120" s="4">
        <f t="shared" si="101"/>
        <v>3.7647058823529408E-2</v>
      </c>
      <c r="N2120">
        <v>850</v>
      </c>
      <c r="O2120">
        <v>800</v>
      </c>
      <c r="P2120" t="s">
        <v>25</v>
      </c>
      <c r="Q2120" t="s">
        <v>26</v>
      </c>
      <c r="R2120" t="str">
        <f>IF(COUNTIF(Sheet2!B:B, A2120) &gt; 0, "Yes", "No")</f>
        <v>No</v>
      </c>
    </row>
    <row r="2121" spans="1:18" x14ac:dyDescent="0.25">
      <c r="A2121" s="3">
        <v>45432</v>
      </c>
      <c r="B2121" t="s">
        <v>142</v>
      </c>
      <c r="C2121" t="s">
        <v>19</v>
      </c>
      <c r="D2121" t="s">
        <v>20</v>
      </c>
      <c r="E2121" t="s">
        <v>21</v>
      </c>
      <c r="F2121" t="s">
        <v>43</v>
      </c>
      <c r="G2121" t="s">
        <v>159</v>
      </c>
      <c r="H2121" t="s">
        <v>160</v>
      </c>
      <c r="I2121">
        <v>0.11</v>
      </c>
      <c r="J2121">
        <f t="shared" si="99"/>
        <v>88</v>
      </c>
      <c r="K2121">
        <v>2.4</v>
      </c>
      <c r="L2121">
        <f t="shared" si="100"/>
        <v>85.6</v>
      </c>
      <c r="M2121" s="4">
        <f t="shared" si="101"/>
        <v>0.10070588235294117</v>
      </c>
      <c r="N2121">
        <v>850</v>
      </c>
      <c r="O2121">
        <v>800</v>
      </c>
      <c r="P2121" t="s">
        <v>25</v>
      </c>
      <c r="Q2121" t="s">
        <v>26</v>
      </c>
      <c r="R2121" t="str">
        <f>IF(COUNTIF(Sheet2!B:B, A2121) &gt; 0, "Yes", "No")</f>
        <v>No</v>
      </c>
    </row>
    <row r="2122" spans="1:18" x14ac:dyDescent="0.25">
      <c r="A2122" s="3">
        <v>45432</v>
      </c>
      <c r="B2122" t="s">
        <v>142</v>
      </c>
      <c r="C2122" t="s">
        <v>19</v>
      </c>
      <c r="D2122" t="s">
        <v>20</v>
      </c>
      <c r="E2122" t="s">
        <v>21</v>
      </c>
      <c r="F2122" t="s">
        <v>46</v>
      </c>
      <c r="G2122" t="s">
        <v>92</v>
      </c>
      <c r="H2122" t="s">
        <v>571</v>
      </c>
      <c r="I2122">
        <v>8.5000000000000006E-2</v>
      </c>
      <c r="J2122">
        <f t="shared" si="99"/>
        <v>68</v>
      </c>
      <c r="K2122">
        <v>1</v>
      </c>
      <c r="L2122">
        <f t="shared" si="100"/>
        <v>67</v>
      </c>
      <c r="M2122" s="4">
        <f t="shared" si="101"/>
        <v>7.8823529411764709E-2</v>
      </c>
      <c r="N2122">
        <v>850</v>
      </c>
      <c r="O2122">
        <v>800</v>
      </c>
      <c r="P2122" t="s">
        <v>25</v>
      </c>
      <c r="Q2122" t="s">
        <v>26</v>
      </c>
      <c r="R2122" t="str">
        <f>IF(COUNTIF(Sheet2!B:B, A2122) &gt; 0, "Yes", "No")</f>
        <v>No</v>
      </c>
    </row>
    <row r="2123" spans="1:18" x14ac:dyDescent="0.25">
      <c r="A2123" s="3">
        <v>45432</v>
      </c>
      <c r="B2123" t="s">
        <v>142</v>
      </c>
      <c r="C2123" t="s">
        <v>19</v>
      </c>
      <c r="D2123" t="s">
        <v>20</v>
      </c>
      <c r="E2123" t="s">
        <v>21</v>
      </c>
      <c r="F2123" t="s">
        <v>49</v>
      </c>
      <c r="G2123" t="s">
        <v>50</v>
      </c>
      <c r="H2123" t="s">
        <v>49</v>
      </c>
      <c r="I2123">
        <v>0.09</v>
      </c>
      <c r="J2123">
        <f t="shared" si="99"/>
        <v>72</v>
      </c>
      <c r="K2123">
        <v>1</v>
      </c>
      <c r="L2123">
        <f t="shared" si="100"/>
        <v>71</v>
      </c>
      <c r="M2123" s="4">
        <f t="shared" si="101"/>
        <v>8.352941176470588E-2</v>
      </c>
      <c r="N2123">
        <v>850</v>
      </c>
      <c r="O2123">
        <v>800</v>
      </c>
      <c r="P2123" t="s">
        <v>25</v>
      </c>
      <c r="Q2123" t="s">
        <v>26</v>
      </c>
      <c r="R2123" t="str">
        <f>IF(COUNTIF(Sheet2!B:B, A2123) &gt; 0, "Yes", "No")</f>
        <v>No</v>
      </c>
    </row>
    <row r="2124" spans="1:18" x14ac:dyDescent="0.25">
      <c r="A2124" s="3">
        <v>45433</v>
      </c>
      <c r="B2124" t="s">
        <v>142</v>
      </c>
      <c r="C2124" t="s">
        <v>105</v>
      </c>
      <c r="D2124" t="s">
        <v>20</v>
      </c>
      <c r="E2124" t="s">
        <v>67</v>
      </c>
      <c r="F2124" t="s">
        <v>22</v>
      </c>
      <c r="G2124" t="s">
        <v>52</v>
      </c>
      <c r="H2124" t="s">
        <v>572</v>
      </c>
      <c r="I2124">
        <v>8.5000000000000006E-2</v>
      </c>
      <c r="J2124">
        <f t="shared" si="99"/>
        <v>68</v>
      </c>
      <c r="K2124">
        <v>4</v>
      </c>
      <c r="L2124">
        <f t="shared" si="100"/>
        <v>64</v>
      </c>
      <c r="M2124" s="4">
        <f t="shared" si="101"/>
        <v>7.5294117647058817E-2</v>
      </c>
      <c r="N2124">
        <v>850</v>
      </c>
      <c r="O2124">
        <v>800</v>
      </c>
      <c r="P2124" t="s">
        <v>25</v>
      </c>
      <c r="Q2124" t="s">
        <v>26</v>
      </c>
      <c r="R2124" t="str">
        <f>IF(COUNTIF(Sheet2!B:B, A2124) &gt; 0, "Yes", "No")</f>
        <v>No</v>
      </c>
    </row>
    <row r="2125" spans="1:18" x14ac:dyDescent="0.25">
      <c r="A2125" s="3">
        <v>45433</v>
      </c>
      <c r="B2125" t="s">
        <v>142</v>
      </c>
      <c r="C2125" t="s">
        <v>105</v>
      </c>
      <c r="D2125" t="s">
        <v>20</v>
      </c>
      <c r="E2125" t="s">
        <v>67</v>
      </c>
      <c r="F2125" t="s">
        <v>27</v>
      </c>
      <c r="G2125" t="s">
        <v>190</v>
      </c>
      <c r="H2125" t="s">
        <v>573</v>
      </c>
      <c r="I2125">
        <v>0.11</v>
      </c>
      <c r="J2125">
        <f t="shared" si="99"/>
        <v>88</v>
      </c>
      <c r="K2125">
        <v>3</v>
      </c>
      <c r="L2125">
        <f t="shared" si="100"/>
        <v>85</v>
      </c>
      <c r="M2125" s="4">
        <f t="shared" si="101"/>
        <v>0.1</v>
      </c>
      <c r="N2125">
        <v>850</v>
      </c>
      <c r="O2125">
        <v>800</v>
      </c>
      <c r="P2125" t="s">
        <v>25</v>
      </c>
      <c r="Q2125" t="s">
        <v>26</v>
      </c>
      <c r="R2125" t="str">
        <f>IF(COUNTIF(Sheet2!B:B, A2125) &gt; 0, "Yes", "No")</f>
        <v>No</v>
      </c>
    </row>
    <row r="2126" spans="1:18" x14ac:dyDescent="0.25">
      <c r="A2126" s="3">
        <v>45433</v>
      </c>
      <c r="B2126" t="s">
        <v>142</v>
      </c>
      <c r="C2126" t="s">
        <v>105</v>
      </c>
      <c r="D2126" t="s">
        <v>20</v>
      </c>
      <c r="E2126" t="s">
        <v>67</v>
      </c>
      <c r="F2126" t="s">
        <v>30</v>
      </c>
      <c r="G2126" t="s">
        <v>31</v>
      </c>
      <c r="H2126" t="s">
        <v>389</v>
      </c>
      <c r="I2126">
        <v>0.09</v>
      </c>
      <c r="J2126">
        <f t="shared" si="99"/>
        <v>72</v>
      </c>
      <c r="K2126">
        <v>2</v>
      </c>
      <c r="L2126">
        <f t="shared" si="100"/>
        <v>70</v>
      </c>
      <c r="M2126" s="4">
        <f t="shared" si="101"/>
        <v>8.2352941176470587E-2</v>
      </c>
      <c r="N2126">
        <v>850</v>
      </c>
      <c r="O2126">
        <v>800</v>
      </c>
      <c r="P2126" t="s">
        <v>25</v>
      </c>
      <c r="Q2126" t="s">
        <v>26</v>
      </c>
      <c r="R2126" t="str">
        <f>IF(COUNTIF(Sheet2!B:B, A2126) &gt; 0, "Yes", "No")</f>
        <v>No</v>
      </c>
    </row>
    <row r="2127" spans="1:18" x14ac:dyDescent="0.25">
      <c r="A2127" s="3">
        <v>45433</v>
      </c>
      <c r="B2127" t="s">
        <v>142</v>
      </c>
      <c r="C2127" t="s">
        <v>105</v>
      </c>
      <c r="D2127" t="s">
        <v>20</v>
      </c>
      <c r="E2127" t="s">
        <v>67</v>
      </c>
      <c r="F2127" t="s">
        <v>37</v>
      </c>
      <c r="G2127" t="s">
        <v>71</v>
      </c>
      <c r="H2127" t="s">
        <v>574</v>
      </c>
      <c r="I2127">
        <v>3.5000000000000003E-2</v>
      </c>
      <c r="J2127">
        <f t="shared" si="99"/>
        <v>28.000000000000004</v>
      </c>
      <c r="K2127">
        <v>4</v>
      </c>
      <c r="L2127">
        <f t="shared" si="100"/>
        <v>24.000000000000004</v>
      </c>
      <c r="M2127" s="4">
        <f t="shared" si="101"/>
        <v>2.8235294117647063E-2</v>
      </c>
      <c r="N2127">
        <v>850</v>
      </c>
      <c r="O2127">
        <v>800</v>
      </c>
      <c r="P2127" t="s">
        <v>25</v>
      </c>
      <c r="Q2127" t="s">
        <v>26</v>
      </c>
      <c r="R2127" t="str">
        <f>IF(COUNTIF(Sheet2!B:B, A2127) &gt; 0, "Yes", "No")</f>
        <v>No</v>
      </c>
    </row>
    <row r="2128" spans="1:18" x14ac:dyDescent="0.25">
      <c r="A2128" s="3">
        <v>45433</v>
      </c>
      <c r="B2128" t="s">
        <v>142</v>
      </c>
      <c r="C2128" t="s">
        <v>105</v>
      </c>
      <c r="D2128" t="s">
        <v>20</v>
      </c>
      <c r="E2128" t="s">
        <v>67</v>
      </c>
      <c r="F2128" t="s">
        <v>40</v>
      </c>
      <c r="G2128" t="s">
        <v>127</v>
      </c>
      <c r="H2128" t="s">
        <v>127</v>
      </c>
      <c r="I2128">
        <v>0.05</v>
      </c>
      <c r="J2128">
        <f t="shared" si="99"/>
        <v>40</v>
      </c>
      <c r="K2128">
        <v>4</v>
      </c>
      <c r="L2128">
        <f t="shared" si="100"/>
        <v>36</v>
      </c>
      <c r="M2128" s="4">
        <f t="shared" si="101"/>
        <v>4.2352941176470586E-2</v>
      </c>
      <c r="N2128">
        <v>850</v>
      </c>
      <c r="O2128">
        <v>800</v>
      </c>
      <c r="P2128" t="s">
        <v>25</v>
      </c>
      <c r="Q2128" t="s">
        <v>26</v>
      </c>
      <c r="R2128" t="str">
        <f>IF(COUNTIF(Sheet2!B:B, A2128) &gt; 0, "Yes", "No")</f>
        <v>No</v>
      </c>
    </row>
    <row r="2129" spans="1:18" x14ac:dyDescent="0.25">
      <c r="A2129" s="3">
        <v>45433</v>
      </c>
      <c r="B2129" t="s">
        <v>142</v>
      </c>
      <c r="C2129" t="s">
        <v>105</v>
      </c>
      <c r="D2129" t="s">
        <v>20</v>
      </c>
      <c r="E2129" t="s">
        <v>67</v>
      </c>
      <c r="F2129" t="s">
        <v>43</v>
      </c>
      <c r="G2129" t="s">
        <v>44</v>
      </c>
      <c r="H2129" t="s">
        <v>352</v>
      </c>
      <c r="I2129">
        <v>0.11</v>
      </c>
      <c r="J2129">
        <f t="shared" si="99"/>
        <v>88</v>
      </c>
      <c r="K2129">
        <v>0</v>
      </c>
      <c r="L2129">
        <f t="shared" si="100"/>
        <v>88</v>
      </c>
      <c r="M2129" s="4">
        <f t="shared" si="101"/>
        <v>0.10352941176470588</v>
      </c>
      <c r="N2129">
        <v>850</v>
      </c>
      <c r="O2129">
        <v>800</v>
      </c>
      <c r="P2129" t="s">
        <v>25</v>
      </c>
      <c r="Q2129" t="s">
        <v>26</v>
      </c>
      <c r="R2129" t="str">
        <f>IF(COUNTIF(Sheet2!B:B, A2129) &gt; 0, "Yes", "No")</f>
        <v>No</v>
      </c>
    </row>
    <row r="2130" spans="1:18" x14ac:dyDescent="0.25">
      <c r="A2130" s="3">
        <v>45433</v>
      </c>
      <c r="B2130" t="s">
        <v>142</v>
      </c>
      <c r="C2130" t="s">
        <v>105</v>
      </c>
      <c r="D2130" t="s">
        <v>20</v>
      </c>
      <c r="E2130" t="s">
        <v>67</v>
      </c>
      <c r="F2130" t="s">
        <v>46</v>
      </c>
      <c r="G2130" t="s">
        <v>47</v>
      </c>
      <c r="H2130" t="s">
        <v>575</v>
      </c>
      <c r="I2130">
        <v>8.5000000000000006E-2</v>
      </c>
      <c r="J2130">
        <f t="shared" si="99"/>
        <v>68</v>
      </c>
      <c r="K2130">
        <v>3</v>
      </c>
      <c r="L2130">
        <f t="shared" si="100"/>
        <v>65</v>
      </c>
      <c r="M2130" s="4">
        <f t="shared" si="101"/>
        <v>7.6470588235294124E-2</v>
      </c>
      <c r="N2130">
        <v>850</v>
      </c>
      <c r="O2130">
        <v>800</v>
      </c>
      <c r="P2130" t="s">
        <v>25</v>
      </c>
      <c r="Q2130" t="s">
        <v>26</v>
      </c>
      <c r="R2130" t="str">
        <f>IF(COUNTIF(Sheet2!B:B, A2130) &gt; 0, "Yes", "No")</f>
        <v>No</v>
      </c>
    </row>
    <row r="2131" spans="1:18" x14ac:dyDescent="0.25">
      <c r="A2131" s="3">
        <v>45433</v>
      </c>
      <c r="B2131" t="s">
        <v>142</v>
      </c>
      <c r="C2131" t="s">
        <v>105</v>
      </c>
      <c r="D2131" t="s">
        <v>20</v>
      </c>
      <c r="E2131" t="s">
        <v>67</v>
      </c>
      <c r="F2131" t="s">
        <v>49</v>
      </c>
      <c r="G2131" t="s">
        <v>50</v>
      </c>
      <c r="H2131" t="s">
        <v>49</v>
      </c>
      <c r="I2131">
        <v>0.09</v>
      </c>
      <c r="J2131">
        <f t="shared" si="99"/>
        <v>72</v>
      </c>
      <c r="K2131">
        <v>5</v>
      </c>
      <c r="L2131">
        <f t="shared" si="100"/>
        <v>67</v>
      </c>
      <c r="M2131" s="4">
        <f t="shared" si="101"/>
        <v>7.8823529411764709E-2</v>
      </c>
      <c r="N2131">
        <v>850</v>
      </c>
      <c r="O2131">
        <v>800</v>
      </c>
      <c r="P2131" t="s">
        <v>25</v>
      </c>
      <c r="Q2131" t="s">
        <v>26</v>
      </c>
      <c r="R2131" t="str">
        <f>IF(COUNTIF(Sheet2!B:B, A2131) &gt; 0, "Yes", "No")</f>
        <v>No</v>
      </c>
    </row>
    <row r="2132" spans="1:18" x14ac:dyDescent="0.25">
      <c r="A2132" s="3">
        <v>45434</v>
      </c>
      <c r="B2132" t="s">
        <v>142</v>
      </c>
      <c r="C2132" t="s">
        <v>51</v>
      </c>
      <c r="D2132" t="s">
        <v>20</v>
      </c>
      <c r="E2132" t="s">
        <v>21</v>
      </c>
      <c r="F2132" t="s">
        <v>22</v>
      </c>
      <c r="G2132" t="s">
        <v>52</v>
      </c>
      <c r="H2132" t="s">
        <v>68</v>
      </c>
      <c r="I2132">
        <v>8.5000000000000006E-2</v>
      </c>
      <c r="J2132">
        <f t="shared" si="99"/>
        <v>61.2</v>
      </c>
      <c r="K2132">
        <v>2</v>
      </c>
      <c r="L2132">
        <f t="shared" si="100"/>
        <v>59.2</v>
      </c>
      <c r="M2132" s="4">
        <f t="shared" si="101"/>
        <v>7.400000000000001E-2</v>
      </c>
      <c r="N2132">
        <v>800</v>
      </c>
      <c r="O2132">
        <v>720</v>
      </c>
      <c r="P2132" t="s">
        <v>25</v>
      </c>
      <c r="Q2132" t="s">
        <v>26</v>
      </c>
      <c r="R2132" t="str">
        <f>IF(COUNTIF(Sheet2!B:B, A2132) &gt; 0, "Yes", "No")</f>
        <v>No</v>
      </c>
    </row>
    <row r="2133" spans="1:18" x14ac:dyDescent="0.25">
      <c r="A2133" s="3">
        <v>45434</v>
      </c>
      <c r="B2133" t="s">
        <v>142</v>
      </c>
      <c r="C2133" t="s">
        <v>51</v>
      </c>
      <c r="D2133" t="s">
        <v>20</v>
      </c>
      <c r="E2133" t="s">
        <v>21</v>
      </c>
      <c r="F2133" t="s">
        <v>27</v>
      </c>
      <c r="G2133" t="s">
        <v>235</v>
      </c>
      <c r="H2133" t="s">
        <v>236</v>
      </c>
      <c r="I2133">
        <v>0.12</v>
      </c>
      <c r="J2133">
        <f t="shared" si="99"/>
        <v>86.399999999999991</v>
      </c>
      <c r="K2133">
        <v>5</v>
      </c>
      <c r="L2133">
        <f t="shared" si="100"/>
        <v>81.399999999999991</v>
      </c>
      <c r="M2133" s="4">
        <f t="shared" si="101"/>
        <v>0.10174999999999999</v>
      </c>
      <c r="N2133">
        <v>800</v>
      </c>
      <c r="O2133">
        <v>720</v>
      </c>
      <c r="P2133" t="s">
        <v>25</v>
      </c>
      <c r="Q2133" t="s">
        <v>26</v>
      </c>
      <c r="R2133" t="str">
        <f>IF(COUNTIF(Sheet2!B:B, A2133) &gt; 0, "Yes", "No")</f>
        <v>No</v>
      </c>
    </row>
    <row r="2134" spans="1:18" x14ac:dyDescent="0.25">
      <c r="A2134" s="3">
        <v>45434</v>
      </c>
      <c r="B2134" t="s">
        <v>142</v>
      </c>
      <c r="C2134" t="s">
        <v>51</v>
      </c>
      <c r="D2134" t="s">
        <v>20</v>
      </c>
      <c r="E2134" t="s">
        <v>21</v>
      </c>
      <c r="F2134" t="s">
        <v>30</v>
      </c>
      <c r="G2134" t="s">
        <v>55</v>
      </c>
      <c r="H2134" t="s">
        <v>125</v>
      </c>
      <c r="I2134">
        <v>0.09</v>
      </c>
      <c r="J2134">
        <f t="shared" si="99"/>
        <v>64.8</v>
      </c>
      <c r="K2134">
        <v>0</v>
      </c>
      <c r="L2134">
        <f t="shared" si="100"/>
        <v>64.8</v>
      </c>
      <c r="M2134" s="4">
        <f t="shared" si="101"/>
        <v>8.1000000000000003E-2</v>
      </c>
      <c r="N2134">
        <v>800</v>
      </c>
      <c r="O2134">
        <v>720</v>
      </c>
      <c r="P2134" t="s">
        <v>25</v>
      </c>
      <c r="Q2134" t="s">
        <v>26</v>
      </c>
      <c r="R2134" t="str">
        <f>IF(COUNTIF(Sheet2!B:B, A2134) &gt; 0, "Yes", "No")</f>
        <v>No</v>
      </c>
    </row>
    <row r="2135" spans="1:18" x14ac:dyDescent="0.25">
      <c r="A2135" s="3">
        <v>45434</v>
      </c>
      <c r="B2135" t="s">
        <v>142</v>
      </c>
      <c r="C2135" t="s">
        <v>51</v>
      </c>
      <c r="D2135" t="s">
        <v>33</v>
      </c>
      <c r="E2135" t="s">
        <v>21</v>
      </c>
      <c r="F2135" t="s">
        <v>34</v>
      </c>
      <c r="G2135" t="s">
        <v>57</v>
      </c>
      <c r="H2135" t="s">
        <v>277</v>
      </c>
      <c r="I2135">
        <v>0.15</v>
      </c>
      <c r="J2135">
        <f t="shared" si="99"/>
        <v>75</v>
      </c>
      <c r="K2135">
        <v>0</v>
      </c>
      <c r="L2135">
        <f t="shared" si="100"/>
        <v>75</v>
      </c>
      <c r="M2135" s="4">
        <f t="shared" si="101"/>
        <v>0.13392857142857142</v>
      </c>
      <c r="N2135">
        <v>560</v>
      </c>
      <c r="O2135">
        <v>500</v>
      </c>
      <c r="P2135" t="s">
        <v>25</v>
      </c>
      <c r="Q2135" t="s">
        <v>26</v>
      </c>
      <c r="R2135" t="str">
        <f>IF(COUNTIF(Sheet2!B:B, A2135) &gt; 0, "Yes", "No")</f>
        <v>No</v>
      </c>
    </row>
    <row r="2136" spans="1:18" x14ac:dyDescent="0.25">
      <c r="A2136" s="3">
        <v>45434</v>
      </c>
      <c r="B2136" t="s">
        <v>142</v>
      </c>
      <c r="C2136" t="s">
        <v>51</v>
      </c>
      <c r="D2136" t="s">
        <v>20</v>
      </c>
      <c r="E2136" t="s">
        <v>21</v>
      </c>
      <c r="F2136" t="s">
        <v>37</v>
      </c>
      <c r="G2136" t="s">
        <v>71</v>
      </c>
      <c r="H2136" t="s">
        <v>151</v>
      </c>
      <c r="I2136">
        <v>0.03</v>
      </c>
      <c r="J2136">
        <f t="shared" si="99"/>
        <v>21.599999999999998</v>
      </c>
      <c r="K2136">
        <v>0</v>
      </c>
      <c r="L2136">
        <f t="shared" si="100"/>
        <v>21.599999999999998</v>
      </c>
      <c r="M2136" s="4">
        <f t="shared" si="101"/>
        <v>2.6999999999999996E-2</v>
      </c>
      <c r="N2136">
        <v>800</v>
      </c>
      <c r="O2136">
        <v>720</v>
      </c>
      <c r="P2136" t="s">
        <v>25</v>
      </c>
      <c r="Q2136" t="s">
        <v>26</v>
      </c>
      <c r="R2136" t="str">
        <f>IF(COUNTIF(Sheet2!B:B, A2136) &gt; 0, "Yes", "No")</f>
        <v>No</v>
      </c>
    </row>
    <row r="2137" spans="1:18" x14ac:dyDescent="0.25">
      <c r="A2137" s="3">
        <v>45434</v>
      </c>
      <c r="B2137" t="s">
        <v>142</v>
      </c>
      <c r="C2137" t="s">
        <v>51</v>
      </c>
      <c r="D2137" t="s">
        <v>20</v>
      </c>
      <c r="E2137" t="s">
        <v>21</v>
      </c>
      <c r="F2137" t="s">
        <v>40</v>
      </c>
      <c r="G2137" t="s">
        <v>137</v>
      </c>
      <c r="H2137" t="s">
        <v>152</v>
      </c>
      <c r="I2137">
        <v>4.4999999999999998E-2</v>
      </c>
      <c r="J2137">
        <f t="shared" si="99"/>
        <v>32.4</v>
      </c>
      <c r="K2137">
        <v>2</v>
      </c>
      <c r="L2137">
        <f t="shared" si="100"/>
        <v>30.4</v>
      </c>
      <c r="M2137" s="4">
        <f t="shared" si="101"/>
        <v>3.7999999999999999E-2</v>
      </c>
      <c r="N2137">
        <v>800</v>
      </c>
      <c r="O2137">
        <v>720</v>
      </c>
      <c r="P2137" t="s">
        <v>25</v>
      </c>
      <c r="Q2137" t="s">
        <v>26</v>
      </c>
      <c r="R2137" t="str">
        <f>IF(COUNTIF(Sheet2!B:B, A2137) &gt; 0, "Yes", "No")</f>
        <v>No</v>
      </c>
    </row>
    <row r="2138" spans="1:18" x14ac:dyDescent="0.25">
      <c r="A2138" s="3">
        <v>45434</v>
      </c>
      <c r="B2138" t="s">
        <v>142</v>
      </c>
      <c r="C2138" t="s">
        <v>51</v>
      </c>
      <c r="D2138" t="s">
        <v>20</v>
      </c>
      <c r="E2138" t="s">
        <v>21</v>
      </c>
      <c r="F2138" t="s">
        <v>43</v>
      </c>
      <c r="G2138" t="s">
        <v>75</v>
      </c>
      <c r="H2138" t="s">
        <v>212</v>
      </c>
      <c r="I2138">
        <v>0.11</v>
      </c>
      <c r="J2138">
        <f t="shared" si="99"/>
        <v>79.2</v>
      </c>
      <c r="K2138">
        <v>4</v>
      </c>
      <c r="L2138">
        <f t="shared" si="100"/>
        <v>75.2</v>
      </c>
      <c r="M2138" s="4">
        <f t="shared" si="101"/>
        <v>9.4E-2</v>
      </c>
      <c r="N2138">
        <v>800</v>
      </c>
      <c r="O2138">
        <v>720</v>
      </c>
      <c r="P2138" t="s">
        <v>25</v>
      </c>
      <c r="Q2138" t="s">
        <v>26</v>
      </c>
      <c r="R2138" t="str">
        <f>IF(COUNTIF(Sheet2!B:B, A2138) &gt; 0, "Yes", "No")</f>
        <v>No</v>
      </c>
    </row>
    <row r="2139" spans="1:18" x14ac:dyDescent="0.25">
      <c r="A2139" s="3">
        <v>45434</v>
      </c>
      <c r="B2139" t="s">
        <v>142</v>
      </c>
      <c r="C2139" t="s">
        <v>51</v>
      </c>
      <c r="D2139" t="s">
        <v>20</v>
      </c>
      <c r="E2139" t="s">
        <v>21</v>
      </c>
      <c r="F2139" t="s">
        <v>46</v>
      </c>
      <c r="G2139" t="s">
        <v>169</v>
      </c>
      <c r="H2139" t="s">
        <v>519</v>
      </c>
      <c r="I2139">
        <v>8.5000000000000006E-2</v>
      </c>
      <c r="J2139">
        <f t="shared" si="99"/>
        <v>61.2</v>
      </c>
      <c r="K2139">
        <v>4</v>
      </c>
      <c r="L2139">
        <f t="shared" si="100"/>
        <v>57.2</v>
      </c>
      <c r="M2139" s="4">
        <f t="shared" si="101"/>
        <v>7.1500000000000008E-2</v>
      </c>
      <c r="N2139">
        <v>800</v>
      </c>
      <c r="O2139">
        <v>720</v>
      </c>
      <c r="P2139" t="s">
        <v>25</v>
      </c>
      <c r="Q2139" t="s">
        <v>26</v>
      </c>
      <c r="R2139" t="str">
        <f>IF(COUNTIF(Sheet2!B:B, A2139) &gt; 0, "Yes", "No")</f>
        <v>No</v>
      </c>
    </row>
    <row r="2140" spans="1:18" x14ac:dyDescent="0.25">
      <c r="A2140" s="3">
        <v>45434</v>
      </c>
      <c r="B2140" t="s">
        <v>142</v>
      </c>
      <c r="C2140" t="s">
        <v>51</v>
      </c>
      <c r="D2140" t="s">
        <v>20</v>
      </c>
      <c r="E2140" t="s">
        <v>21</v>
      </c>
      <c r="F2140" t="s">
        <v>49</v>
      </c>
      <c r="G2140" t="s">
        <v>50</v>
      </c>
      <c r="H2140" t="s">
        <v>49</v>
      </c>
      <c r="I2140">
        <v>0.09</v>
      </c>
      <c r="J2140">
        <f t="shared" si="99"/>
        <v>64.8</v>
      </c>
      <c r="K2140">
        <v>0</v>
      </c>
      <c r="L2140">
        <f t="shared" si="100"/>
        <v>64.8</v>
      </c>
      <c r="M2140" s="4">
        <f t="shared" si="101"/>
        <v>8.1000000000000003E-2</v>
      </c>
      <c r="N2140">
        <v>800</v>
      </c>
      <c r="O2140">
        <v>720</v>
      </c>
      <c r="P2140" t="s">
        <v>25</v>
      </c>
      <c r="Q2140" t="s">
        <v>26</v>
      </c>
      <c r="R2140" t="str">
        <f>IF(COUNTIF(Sheet2!B:B, A2140) &gt; 0, "Yes", "No")</f>
        <v>No</v>
      </c>
    </row>
    <row r="2141" spans="1:18" x14ac:dyDescent="0.25">
      <c r="A2141" s="3">
        <v>45435</v>
      </c>
      <c r="B2141" t="s">
        <v>142</v>
      </c>
      <c r="C2141" t="s">
        <v>66</v>
      </c>
      <c r="D2141" t="s">
        <v>20</v>
      </c>
      <c r="E2141" t="s">
        <v>67</v>
      </c>
      <c r="F2141" t="s">
        <v>22</v>
      </c>
      <c r="G2141" t="s">
        <v>23</v>
      </c>
      <c r="H2141" t="s">
        <v>196</v>
      </c>
      <c r="I2141">
        <v>8.5000000000000006E-2</v>
      </c>
      <c r="J2141">
        <f t="shared" si="99"/>
        <v>55.250000000000007</v>
      </c>
      <c r="K2141">
        <v>2</v>
      </c>
      <c r="L2141">
        <f t="shared" si="100"/>
        <v>53.250000000000007</v>
      </c>
      <c r="M2141" s="4">
        <f t="shared" si="101"/>
        <v>7.3958333333333348E-2</v>
      </c>
      <c r="N2141">
        <v>720</v>
      </c>
      <c r="O2141">
        <v>650</v>
      </c>
      <c r="P2141" t="s">
        <v>25</v>
      </c>
      <c r="Q2141" t="s">
        <v>26</v>
      </c>
      <c r="R2141" t="str">
        <f>IF(COUNTIF(Sheet2!B:B, A2141) &gt; 0, "Yes", "No")</f>
        <v>No</v>
      </c>
    </row>
    <row r="2142" spans="1:18" x14ac:dyDescent="0.25">
      <c r="A2142" s="3">
        <v>45435</v>
      </c>
      <c r="B2142" t="s">
        <v>142</v>
      </c>
      <c r="C2142" t="s">
        <v>66</v>
      </c>
      <c r="D2142" t="s">
        <v>20</v>
      </c>
      <c r="E2142" t="s">
        <v>67</v>
      </c>
      <c r="F2142" t="s">
        <v>27</v>
      </c>
      <c r="G2142" t="s">
        <v>451</v>
      </c>
      <c r="H2142" t="s">
        <v>452</v>
      </c>
      <c r="I2142">
        <v>0.11</v>
      </c>
      <c r="J2142">
        <f t="shared" si="99"/>
        <v>71.5</v>
      </c>
      <c r="K2142">
        <v>1</v>
      </c>
      <c r="L2142">
        <f t="shared" si="100"/>
        <v>70.5</v>
      </c>
      <c r="M2142" s="4">
        <f t="shared" si="101"/>
        <v>9.7916666666666666E-2</v>
      </c>
      <c r="N2142">
        <v>720</v>
      </c>
      <c r="O2142">
        <v>650</v>
      </c>
      <c r="P2142" t="s">
        <v>25</v>
      </c>
      <c r="Q2142" t="s">
        <v>26</v>
      </c>
      <c r="R2142" t="str">
        <f>IF(COUNTIF(Sheet2!B:B, A2142) &gt; 0, "Yes", "No")</f>
        <v>No</v>
      </c>
    </row>
    <row r="2143" spans="1:18" x14ac:dyDescent="0.25">
      <c r="A2143" s="3">
        <v>45435</v>
      </c>
      <c r="B2143" t="s">
        <v>142</v>
      </c>
      <c r="C2143" t="s">
        <v>66</v>
      </c>
      <c r="D2143" t="s">
        <v>20</v>
      </c>
      <c r="E2143" t="s">
        <v>67</v>
      </c>
      <c r="F2143" t="s">
        <v>30</v>
      </c>
      <c r="G2143" t="s">
        <v>55</v>
      </c>
      <c r="H2143" t="s">
        <v>56</v>
      </c>
      <c r="I2143">
        <v>0.09</v>
      </c>
      <c r="J2143">
        <f t="shared" si="99"/>
        <v>58.5</v>
      </c>
      <c r="K2143">
        <v>1.5</v>
      </c>
      <c r="L2143">
        <f t="shared" si="100"/>
        <v>57</v>
      </c>
      <c r="M2143" s="4">
        <f t="shared" si="101"/>
        <v>7.9166666666666663E-2</v>
      </c>
      <c r="N2143">
        <v>720</v>
      </c>
      <c r="O2143">
        <v>650</v>
      </c>
      <c r="P2143" t="s">
        <v>25</v>
      </c>
      <c r="Q2143" t="s">
        <v>26</v>
      </c>
      <c r="R2143" t="str">
        <f>IF(COUNTIF(Sheet2!B:B, A2143) &gt; 0, "Yes", "No")</f>
        <v>No</v>
      </c>
    </row>
    <row r="2144" spans="1:18" x14ac:dyDescent="0.25">
      <c r="A2144" s="3">
        <v>45435</v>
      </c>
      <c r="B2144" t="s">
        <v>142</v>
      </c>
      <c r="C2144" t="s">
        <v>66</v>
      </c>
      <c r="D2144" t="s">
        <v>20</v>
      </c>
      <c r="E2144" t="s">
        <v>67</v>
      </c>
      <c r="F2144" t="s">
        <v>37</v>
      </c>
      <c r="G2144" t="s">
        <v>108</v>
      </c>
      <c r="H2144" t="s">
        <v>109</v>
      </c>
      <c r="I2144">
        <v>3.5000000000000003E-2</v>
      </c>
      <c r="J2144">
        <f t="shared" si="99"/>
        <v>22.750000000000004</v>
      </c>
      <c r="K2144">
        <v>2</v>
      </c>
      <c r="L2144">
        <f t="shared" si="100"/>
        <v>20.750000000000004</v>
      </c>
      <c r="M2144" s="4">
        <f t="shared" si="101"/>
        <v>2.881944444444445E-2</v>
      </c>
      <c r="N2144">
        <v>720</v>
      </c>
      <c r="O2144">
        <v>650</v>
      </c>
      <c r="P2144" t="s">
        <v>25</v>
      </c>
      <c r="Q2144" t="s">
        <v>26</v>
      </c>
      <c r="R2144" t="str">
        <f>IF(COUNTIF(Sheet2!B:B, A2144) &gt; 0, "Yes", "No")</f>
        <v>No</v>
      </c>
    </row>
    <row r="2145" spans="1:18" x14ac:dyDescent="0.25">
      <c r="A2145" s="3">
        <v>45435</v>
      </c>
      <c r="B2145" t="s">
        <v>142</v>
      </c>
      <c r="C2145" t="s">
        <v>66</v>
      </c>
      <c r="D2145" t="s">
        <v>20</v>
      </c>
      <c r="E2145" t="s">
        <v>67</v>
      </c>
      <c r="F2145" t="s">
        <v>40</v>
      </c>
      <c r="G2145" t="s">
        <v>157</v>
      </c>
      <c r="H2145" t="s">
        <v>158</v>
      </c>
      <c r="I2145">
        <v>0.05</v>
      </c>
      <c r="J2145">
        <f t="shared" si="99"/>
        <v>32.5</v>
      </c>
      <c r="K2145">
        <v>0</v>
      </c>
      <c r="L2145">
        <f t="shared" si="100"/>
        <v>32.5</v>
      </c>
      <c r="M2145" s="4">
        <f t="shared" si="101"/>
        <v>4.5138888888888888E-2</v>
      </c>
      <c r="N2145">
        <v>720</v>
      </c>
      <c r="O2145">
        <v>650</v>
      </c>
      <c r="P2145" t="s">
        <v>25</v>
      </c>
      <c r="Q2145" t="s">
        <v>26</v>
      </c>
      <c r="R2145" t="str">
        <f>IF(COUNTIF(Sheet2!B:B, A2145) &gt; 0, "Yes", "No")</f>
        <v>No</v>
      </c>
    </row>
    <row r="2146" spans="1:18" x14ac:dyDescent="0.25">
      <c r="A2146" s="3">
        <v>45435</v>
      </c>
      <c r="B2146" t="s">
        <v>142</v>
      </c>
      <c r="C2146" t="s">
        <v>66</v>
      </c>
      <c r="D2146" t="s">
        <v>20</v>
      </c>
      <c r="E2146" t="s">
        <v>67</v>
      </c>
      <c r="F2146" t="s">
        <v>43</v>
      </c>
      <c r="G2146" t="s">
        <v>90</v>
      </c>
      <c r="H2146" t="s">
        <v>174</v>
      </c>
      <c r="I2146">
        <v>0.11</v>
      </c>
      <c r="J2146">
        <f t="shared" si="99"/>
        <v>71.5</v>
      </c>
      <c r="K2146">
        <v>3</v>
      </c>
      <c r="L2146">
        <f t="shared" si="100"/>
        <v>68.5</v>
      </c>
      <c r="M2146" s="4">
        <f t="shared" si="101"/>
        <v>9.5138888888888884E-2</v>
      </c>
      <c r="N2146">
        <v>720</v>
      </c>
      <c r="O2146">
        <v>650</v>
      </c>
      <c r="P2146" t="s">
        <v>25</v>
      </c>
      <c r="Q2146" t="s">
        <v>26</v>
      </c>
      <c r="R2146" t="str">
        <f>IF(COUNTIF(Sheet2!B:B, A2146) &gt; 0, "Yes", "No")</f>
        <v>No</v>
      </c>
    </row>
    <row r="2147" spans="1:18" x14ac:dyDescent="0.25">
      <c r="A2147" s="3">
        <v>45435</v>
      </c>
      <c r="B2147" t="s">
        <v>142</v>
      </c>
      <c r="C2147" t="s">
        <v>66</v>
      </c>
      <c r="D2147" t="s">
        <v>20</v>
      </c>
      <c r="E2147" t="s">
        <v>67</v>
      </c>
      <c r="F2147" t="s">
        <v>46</v>
      </c>
      <c r="G2147" t="s">
        <v>92</v>
      </c>
      <c r="H2147" t="s">
        <v>377</v>
      </c>
      <c r="I2147">
        <v>8.5000000000000006E-2</v>
      </c>
      <c r="J2147">
        <f t="shared" si="99"/>
        <v>55.250000000000007</v>
      </c>
      <c r="K2147">
        <v>0</v>
      </c>
      <c r="L2147">
        <f t="shared" si="100"/>
        <v>55.250000000000007</v>
      </c>
      <c r="M2147" s="4">
        <f t="shared" si="101"/>
        <v>7.6736111111111116E-2</v>
      </c>
      <c r="N2147">
        <v>720</v>
      </c>
      <c r="O2147">
        <v>650</v>
      </c>
      <c r="P2147" t="s">
        <v>25</v>
      </c>
      <c r="Q2147" t="s">
        <v>26</v>
      </c>
      <c r="R2147" t="str">
        <f>IF(COUNTIF(Sheet2!B:B, A2147) &gt; 0, "Yes", "No")</f>
        <v>No</v>
      </c>
    </row>
    <row r="2148" spans="1:18" x14ac:dyDescent="0.25">
      <c r="A2148" s="3">
        <v>45435</v>
      </c>
      <c r="B2148" t="s">
        <v>142</v>
      </c>
      <c r="C2148" t="s">
        <v>66</v>
      </c>
      <c r="D2148" t="s">
        <v>20</v>
      </c>
      <c r="E2148" t="s">
        <v>67</v>
      </c>
      <c r="F2148" t="s">
        <v>49</v>
      </c>
      <c r="G2148" t="s">
        <v>50</v>
      </c>
      <c r="H2148" t="s">
        <v>49</v>
      </c>
      <c r="I2148">
        <v>0.09</v>
      </c>
      <c r="J2148">
        <f t="shared" si="99"/>
        <v>58.5</v>
      </c>
      <c r="K2148">
        <v>3</v>
      </c>
      <c r="L2148">
        <f t="shared" si="100"/>
        <v>55.5</v>
      </c>
      <c r="M2148" s="4">
        <f t="shared" si="101"/>
        <v>7.7083333333333337E-2</v>
      </c>
      <c r="N2148">
        <v>720</v>
      </c>
      <c r="O2148">
        <v>650</v>
      </c>
      <c r="P2148" t="s">
        <v>25</v>
      </c>
      <c r="Q2148" t="s">
        <v>26</v>
      </c>
      <c r="R2148" t="str">
        <f>IF(COUNTIF(Sheet2!B:B, A2148) &gt; 0, "Yes", "No")</f>
        <v>No</v>
      </c>
    </row>
    <row r="2149" spans="1:18" x14ac:dyDescent="0.25">
      <c r="A2149" s="3">
        <v>45436</v>
      </c>
      <c r="B2149" t="s">
        <v>142</v>
      </c>
      <c r="C2149" t="s">
        <v>79</v>
      </c>
      <c r="D2149" t="s">
        <v>20</v>
      </c>
      <c r="E2149" t="s">
        <v>21</v>
      </c>
      <c r="F2149" t="s">
        <v>22</v>
      </c>
      <c r="G2149" t="s">
        <v>52</v>
      </c>
      <c r="H2149" t="s">
        <v>53</v>
      </c>
      <c r="I2149" s="5">
        <v>0.06</v>
      </c>
      <c r="J2149">
        <f t="shared" si="99"/>
        <v>39</v>
      </c>
      <c r="K2149">
        <v>4</v>
      </c>
      <c r="L2149">
        <f t="shared" si="100"/>
        <v>35</v>
      </c>
      <c r="M2149" s="4">
        <f t="shared" si="101"/>
        <v>0.05</v>
      </c>
      <c r="N2149">
        <v>700</v>
      </c>
      <c r="O2149">
        <v>650</v>
      </c>
      <c r="P2149" t="s">
        <v>25</v>
      </c>
      <c r="Q2149" t="s">
        <v>26</v>
      </c>
      <c r="R2149" t="str">
        <f>IF(COUNTIF(Sheet2!B:B, A2149) &gt; 0, "Yes", "No")</f>
        <v>Yes</v>
      </c>
    </row>
    <row r="2150" spans="1:18" x14ac:dyDescent="0.25">
      <c r="A2150" s="3">
        <v>45436</v>
      </c>
      <c r="B2150" t="s">
        <v>142</v>
      </c>
      <c r="C2150" t="s">
        <v>79</v>
      </c>
      <c r="D2150" t="s">
        <v>20</v>
      </c>
      <c r="E2150" t="s">
        <v>21</v>
      </c>
      <c r="F2150" t="s">
        <v>27</v>
      </c>
      <c r="G2150" t="s">
        <v>81</v>
      </c>
      <c r="H2150" t="s">
        <v>378</v>
      </c>
      <c r="I2150" s="5">
        <v>0.1</v>
      </c>
      <c r="J2150">
        <f t="shared" si="99"/>
        <v>65</v>
      </c>
      <c r="K2150">
        <v>0</v>
      </c>
      <c r="L2150">
        <f t="shared" si="100"/>
        <v>65</v>
      </c>
      <c r="M2150" s="4">
        <f t="shared" si="101"/>
        <v>9.285714285714286E-2</v>
      </c>
      <c r="N2150">
        <v>700</v>
      </c>
      <c r="O2150">
        <v>650</v>
      </c>
      <c r="P2150" t="s">
        <v>25</v>
      </c>
      <c r="Q2150" t="s">
        <v>26</v>
      </c>
      <c r="R2150" t="str">
        <f>IF(COUNTIF(Sheet2!B:B, A2150) &gt; 0, "Yes", "No")</f>
        <v>Yes</v>
      </c>
    </row>
    <row r="2151" spans="1:18" x14ac:dyDescent="0.25">
      <c r="A2151" s="3">
        <v>45436</v>
      </c>
      <c r="B2151" t="s">
        <v>142</v>
      </c>
      <c r="C2151" t="s">
        <v>79</v>
      </c>
      <c r="D2151" t="s">
        <v>20</v>
      </c>
      <c r="E2151" t="s">
        <v>21</v>
      </c>
      <c r="F2151" t="s">
        <v>30</v>
      </c>
      <c r="G2151" t="s">
        <v>31</v>
      </c>
      <c r="H2151" t="s">
        <v>172</v>
      </c>
      <c r="I2151" s="5">
        <v>0.06</v>
      </c>
      <c r="J2151">
        <f t="shared" si="99"/>
        <v>39</v>
      </c>
      <c r="K2151">
        <v>1</v>
      </c>
      <c r="L2151">
        <f t="shared" si="100"/>
        <v>38</v>
      </c>
      <c r="M2151" s="4">
        <f t="shared" si="101"/>
        <v>5.4285714285714284E-2</v>
      </c>
      <c r="N2151">
        <v>700</v>
      </c>
      <c r="O2151">
        <v>650</v>
      </c>
      <c r="P2151" t="s">
        <v>25</v>
      </c>
      <c r="Q2151" t="s">
        <v>26</v>
      </c>
      <c r="R2151" t="str">
        <f>IF(COUNTIF(Sheet2!B:B, A2151) &gt; 0, "Yes", "No")</f>
        <v>Yes</v>
      </c>
    </row>
    <row r="2152" spans="1:18" x14ac:dyDescent="0.25">
      <c r="A2152" s="3">
        <v>45436</v>
      </c>
      <c r="B2152" t="s">
        <v>142</v>
      </c>
      <c r="C2152" t="s">
        <v>79</v>
      </c>
      <c r="D2152" t="s">
        <v>33</v>
      </c>
      <c r="E2152" t="s">
        <v>21</v>
      </c>
      <c r="F2152" t="s">
        <v>84</v>
      </c>
      <c r="G2152" t="s">
        <v>177</v>
      </c>
      <c r="H2152" t="s">
        <v>220</v>
      </c>
      <c r="I2152" s="5">
        <v>0.3</v>
      </c>
      <c r="J2152">
        <f t="shared" si="99"/>
        <v>135</v>
      </c>
      <c r="K2152">
        <v>0</v>
      </c>
      <c r="L2152">
        <f t="shared" si="100"/>
        <v>135</v>
      </c>
      <c r="M2152" s="4">
        <f t="shared" si="101"/>
        <v>0.27551020408163263</v>
      </c>
      <c r="N2152">
        <v>490</v>
      </c>
      <c r="O2152">
        <v>450</v>
      </c>
      <c r="P2152" t="s">
        <v>25</v>
      </c>
      <c r="Q2152" t="s">
        <v>26</v>
      </c>
      <c r="R2152" t="str">
        <f>IF(COUNTIF(Sheet2!B:B, A2152) &gt; 0, "Yes", "No")</f>
        <v>Yes</v>
      </c>
    </row>
    <row r="2153" spans="1:18" x14ac:dyDescent="0.25">
      <c r="A2153" s="3">
        <v>45436</v>
      </c>
      <c r="B2153" t="s">
        <v>142</v>
      </c>
      <c r="C2153" t="s">
        <v>79</v>
      </c>
      <c r="D2153" t="s">
        <v>20</v>
      </c>
      <c r="E2153" t="s">
        <v>21</v>
      </c>
      <c r="F2153" t="s">
        <v>37</v>
      </c>
      <c r="G2153" t="s">
        <v>87</v>
      </c>
      <c r="H2153" t="s">
        <v>99</v>
      </c>
      <c r="I2153" s="5">
        <v>2.5000000000000001E-2</v>
      </c>
      <c r="J2153">
        <f t="shared" si="99"/>
        <v>16.25</v>
      </c>
      <c r="K2153">
        <v>2</v>
      </c>
      <c r="L2153">
        <f t="shared" si="100"/>
        <v>14.25</v>
      </c>
      <c r="M2153" s="4">
        <f t="shared" si="101"/>
        <v>2.0357142857142858E-2</v>
      </c>
      <c r="N2153">
        <v>700</v>
      </c>
      <c r="O2153">
        <v>650</v>
      </c>
      <c r="P2153" t="s">
        <v>25</v>
      </c>
      <c r="Q2153" t="s">
        <v>26</v>
      </c>
      <c r="R2153" t="str">
        <f>IF(COUNTIF(Sheet2!B:B, A2153) &gt; 0, "Yes", "No")</f>
        <v>Yes</v>
      </c>
    </row>
    <row r="2154" spans="1:18" x14ac:dyDescent="0.25">
      <c r="A2154" s="3">
        <v>45436</v>
      </c>
      <c r="B2154" t="s">
        <v>142</v>
      </c>
      <c r="C2154" t="s">
        <v>79</v>
      </c>
      <c r="D2154" t="s">
        <v>20</v>
      </c>
      <c r="E2154" t="s">
        <v>21</v>
      </c>
      <c r="F2154" t="s">
        <v>40</v>
      </c>
      <c r="G2154" t="s">
        <v>164</v>
      </c>
      <c r="H2154" t="s">
        <v>165</v>
      </c>
      <c r="I2154" s="5">
        <v>0.04</v>
      </c>
      <c r="J2154">
        <f t="shared" si="99"/>
        <v>26</v>
      </c>
      <c r="K2154">
        <v>3</v>
      </c>
      <c r="L2154">
        <f t="shared" si="100"/>
        <v>23</v>
      </c>
      <c r="M2154" s="4">
        <f t="shared" si="101"/>
        <v>3.2857142857142856E-2</v>
      </c>
      <c r="N2154">
        <v>700</v>
      </c>
      <c r="O2154">
        <v>650</v>
      </c>
      <c r="P2154" t="s">
        <v>25</v>
      </c>
      <c r="Q2154" t="s">
        <v>26</v>
      </c>
      <c r="R2154" t="str">
        <f>IF(COUNTIF(Sheet2!B:B, A2154) &gt; 0, "Yes", "No")</f>
        <v>Yes</v>
      </c>
    </row>
    <row r="2155" spans="1:18" x14ac:dyDescent="0.25">
      <c r="A2155" s="3">
        <v>45436</v>
      </c>
      <c r="B2155" t="s">
        <v>142</v>
      </c>
      <c r="C2155" t="s">
        <v>79</v>
      </c>
      <c r="D2155" t="s">
        <v>20</v>
      </c>
      <c r="E2155" t="s">
        <v>21</v>
      </c>
      <c r="F2155" t="s">
        <v>43</v>
      </c>
      <c r="G2155" t="s">
        <v>288</v>
      </c>
      <c r="H2155" t="s">
        <v>289</v>
      </c>
      <c r="I2155" s="5">
        <v>7.0000000000000007E-2</v>
      </c>
      <c r="J2155">
        <f t="shared" si="99"/>
        <v>45.500000000000007</v>
      </c>
      <c r="K2155">
        <v>3</v>
      </c>
      <c r="L2155">
        <f t="shared" si="100"/>
        <v>42.500000000000007</v>
      </c>
      <c r="M2155" s="4">
        <f t="shared" si="101"/>
        <v>6.0714285714285728E-2</v>
      </c>
      <c r="N2155">
        <v>700</v>
      </c>
      <c r="O2155">
        <v>650</v>
      </c>
      <c r="P2155" t="s">
        <v>25</v>
      </c>
      <c r="Q2155" t="s">
        <v>26</v>
      </c>
      <c r="R2155" t="str">
        <f>IF(COUNTIF(Sheet2!B:B, A2155) &gt; 0, "Yes", "No")</f>
        <v>Yes</v>
      </c>
    </row>
    <row r="2156" spans="1:18" x14ac:dyDescent="0.25">
      <c r="A2156" s="3">
        <v>45436</v>
      </c>
      <c r="B2156" t="s">
        <v>142</v>
      </c>
      <c r="C2156" t="s">
        <v>79</v>
      </c>
      <c r="D2156" t="s">
        <v>20</v>
      </c>
      <c r="E2156" t="s">
        <v>21</v>
      </c>
      <c r="F2156" t="s">
        <v>46</v>
      </c>
      <c r="G2156" t="s">
        <v>169</v>
      </c>
      <c r="H2156" t="s">
        <v>170</v>
      </c>
      <c r="I2156" s="5">
        <v>0.06</v>
      </c>
      <c r="J2156">
        <f t="shared" si="99"/>
        <v>39</v>
      </c>
      <c r="K2156">
        <v>2</v>
      </c>
      <c r="L2156">
        <f t="shared" si="100"/>
        <v>37</v>
      </c>
      <c r="M2156" s="4">
        <f t="shared" si="101"/>
        <v>5.2857142857142859E-2</v>
      </c>
      <c r="N2156">
        <v>700</v>
      </c>
      <c r="O2156">
        <v>650</v>
      </c>
      <c r="P2156" t="s">
        <v>25</v>
      </c>
      <c r="Q2156" t="s">
        <v>26</v>
      </c>
      <c r="R2156" t="str">
        <f>IF(COUNTIF(Sheet2!B:B, A2156) &gt; 0, "Yes", "No")</f>
        <v>Yes</v>
      </c>
    </row>
    <row r="2157" spans="1:18" x14ac:dyDescent="0.25">
      <c r="A2157" s="3">
        <v>45436</v>
      </c>
      <c r="B2157" t="s">
        <v>142</v>
      </c>
      <c r="C2157" t="s">
        <v>79</v>
      </c>
      <c r="D2157" t="s">
        <v>20</v>
      </c>
      <c r="E2157" t="s">
        <v>21</v>
      </c>
      <c r="F2157" t="s">
        <v>49</v>
      </c>
      <c r="G2157" t="s">
        <v>50</v>
      </c>
      <c r="H2157" t="s">
        <v>49</v>
      </c>
      <c r="I2157" s="5">
        <v>0.04</v>
      </c>
      <c r="J2157">
        <f t="shared" si="99"/>
        <v>26</v>
      </c>
      <c r="K2157">
        <v>4</v>
      </c>
      <c r="L2157">
        <f t="shared" si="100"/>
        <v>22</v>
      </c>
      <c r="M2157" s="4">
        <f t="shared" si="101"/>
        <v>3.1428571428571431E-2</v>
      </c>
      <c r="N2157">
        <v>700</v>
      </c>
      <c r="O2157">
        <v>650</v>
      </c>
      <c r="P2157" t="s">
        <v>25</v>
      </c>
      <c r="Q2157" t="s">
        <v>26</v>
      </c>
      <c r="R2157" t="str">
        <f>IF(COUNTIF(Sheet2!B:B, A2157) &gt; 0, "Yes", "No")</f>
        <v>Yes</v>
      </c>
    </row>
    <row r="2158" spans="1:18" x14ac:dyDescent="0.25">
      <c r="A2158" s="3">
        <v>45439</v>
      </c>
      <c r="B2158" t="s">
        <v>142</v>
      </c>
      <c r="C2158" t="s">
        <v>19</v>
      </c>
      <c r="D2158" t="s">
        <v>20</v>
      </c>
      <c r="E2158" t="s">
        <v>21</v>
      </c>
      <c r="F2158" t="s">
        <v>22</v>
      </c>
      <c r="G2158" t="s">
        <v>94</v>
      </c>
      <c r="H2158" t="s">
        <v>95</v>
      </c>
      <c r="I2158">
        <v>8.5000000000000006E-2</v>
      </c>
      <c r="J2158">
        <f t="shared" si="99"/>
        <v>56.95</v>
      </c>
      <c r="K2158">
        <v>2</v>
      </c>
      <c r="L2158">
        <f t="shared" si="100"/>
        <v>54.95</v>
      </c>
      <c r="M2158" s="4">
        <f t="shared" si="101"/>
        <v>7.3266666666666674E-2</v>
      </c>
      <c r="N2158">
        <v>750</v>
      </c>
      <c r="O2158">
        <v>670</v>
      </c>
      <c r="P2158" t="s">
        <v>25</v>
      </c>
      <c r="Q2158" t="s">
        <v>26</v>
      </c>
      <c r="R2158" t="str">
        <f>IF(COUNTIF(Sheet2!B:B, A2158) &gt; 0, "Yes", "No")</f>
        <v>No</v>
      </c>
    </row>
    <row r="2159" spans="1:18" x14ac:dyDescent="0.25">
      <c r="A2159" s="3">
        <v>45439</v>
      </c>
      <c r="B2159" t="s">
        <v>142</v>
      </c>
      <c r="C2159" t="s">
        <v>19</v>
      </c>
      <c r="D2159" t="s">
        <v>20</v>
      </c>
      <c r="E2159" t="s">
        <v>21</v>
      </c>
      <c r="F2159" t="s">
        <v>27</v>
      </c>
      <c r="G2159" t="s">
        <v>541</v>
      </c>
      <c r="H2159" t="s">
        <v>541</v>
      </c>
      <c r="I2159">
        <v>0.12</v>
      </c>
      <c r="J2159">
        <f t="shared" si="99"/>
        <v>80.399999999999991</v>
      </c>
      <c r="K2159">
        <v>2</v>
      </c>
      <c r="L2159">
        <f t="shared" si="100"/>
        <v>78.399999999999991</v>
      </c>
      <c r="M2159" s="4">
        <f t="shared" si="101"/>
        <v>0.10453333333333333</v>
      </c>
      <c r="N2159">
        <v>750</v>
      </c>
      <c r="O2159">
        <v>670</v>
      </c>
      <c r="P2159" t="s">
        <v>25</v>
      </c>
      <c r="Q2159" t="s">
        <v>26</v>
      </c>
      <c r="R2159" t="str">
        <f>IF(COUNTIF(Sheet2!B:B, A2159) &gt; 0, "Yes", "No")</f>
        <v>No</v>
      </c>
    </row>
    <row r="2160" spans="1:18" x14ac:dyDescent="0.25">
      <c r="A2160" s="3">
        <v>45439</v>
      </c>
      <c r="B2160" t="s">
        <v>142</v>
      </c>
      <c r="C2160" t="s">
        <v>19</v>
      </c>
      <c r="D2160" t="s">
        <v>20</v>
      </c>
      <c r="E2160" t="s">
        <v>21</v>
      </c>
      <c r="F2160" t="s">
        <v>30</v>
      </c>
      <c r="G2160" t="s">
        <v>31</v>
      </c>
      <c r="H2160" t="s">
        <v>172</v>
      </c>
      <c r="I2160">
        <v>0.09</v>
      </c>
      <c r="J2160">
        <f t="shared" si="99"/>
        <v>60.3</v>
      </c>
      <c r="K2160">
        <v>1</v>
      </c>
      <c r="L2160">
        <f t="shared" si="100"/>
        <v>59.3</v>
      </c>
      <c r="M2160" s="4">
        <f t="shared" si="101"/>
        <v>7.906666666666666E-2</v>
      </c>
      <c r="N2160">
        <v>750</v>
      </c>
      <c r="O2160">
        <v>670</v>
      </c>
      <c r="P2160" t="s">
        <v>25</v>
      </c>
      <c r="Q2160" t="s">
        <v>26</v>
      </c>
      <c r="R2160" t="str">
        <f>IF(COUNTIF(Sheet2!B:B, A2160) &gt; 0, "Yes", "No")</f>
        <v>No</v>
      </c>
    </row>
    <row r="2161" spans="1:18" x14ac:dyDescent="0.25">
      <c r="A2161" s="3">
        <v>45439</v>
      </c>
      <c r="B2161" t="s">
        <v>142</v>
      </c>
      <c r="C2161" t="s">
        <v>19</v>
      </c>
      <c r="D2161" t="s">
        <v>33</v>
      </c>
      <c r="E2161" t="s">
        <v>21</v>
      </c>
      <c r="F2161" t="s">
        <v>34</v>
      </c>
      <c r="G2161" t="s">
        <v>57</v>
      </c>
      <c r="H2161" t="s">
        <v>576</v>
      </c>
      <c r="I2161">
        <v>0.15</v>
      </c>
      <c r="J2161">
        <f t="shared" si="99"/>
        <v>60</v>
      </c>
      <c r="K2161">
        <v>0</v>
      </c>
      <c r="L2161">
        <f t="shared" si="100"/>
        <v>60</v>
      </c>
      <c r="M2161" s="4">
        <f t="shared" si="101"/>
        <v>0.11428571428571428</v>
      </c>
      <c r="N2161">
        <v>525</v>
      </c>
      <c r="O2161">
        <v>400</v>
      </c>
      <c r="P2161" t="s">
        <v>25</v>
      </c>
      <c r="Q2161" t="s">
        <v>26</v>
      </c>
      <c r="R2161" t="str">
        <f>IF(COUNTIF(Sheet2!B:B, A2161) &gt; 0, "Yes", "No")</f>
        <v>No</v>
      </c>
    </row>
    <row r="2162" spans="1:18" x14ac:dyDescent="0.25">
      <c r="A2162" s="3">
        <v>45439</v>
      </c>
      <c r="B2162" t="s">
        <v>142</v>
      </c>
      <c r="C2162" t="s">
        <v>19</v>
      </c>
      <c r="D2162" t="s">
        <v>20</v>
      </c>
      <c r="E2162" t="s">
        <v>21</v>
      </c>
      <c r="F2162" t="s">
        <v>37</v>
      </c>
      <c r="G2162" t="s">
        <v>117</v>
      </c>
      <c r="H2162" t="s">
        <v>118</v>
      </c>
      <c r="I2162">
        <v>0.03</v>
      </c>
      <c r="J2162">
        <f t="shared" si="99"/>
        <v>20.099999999999998</v>
      </c>
      <c r="K2162">
        <v>2</v>
      </c>
      <c r="L2162">
        <f t="shared" si="100"/>
        <v>18.099999999999998</v>
      </c>
      <c r="M2162" s="4">
        <f t="shared" si="101"/>
        <v>2.413333333333333E-2</v>
      </c>
      <c r="N2162">
        <v>750</v>
      </c>
      <c r="O2162">
        <v>670</v>
      </c>
      <c r="P2162" t="s">
        <v>25</v>
      </c>
      <c r="Q2162" t="s">
        <v>26</v>
      </c>
      <c r="R2162" t="str">
        <f>IF(COUNTIF(Sheet2!B:B, A2162) &gt; 0, "Yes", "No")</f>
        <v>No</v>
      </c>
    </row>
    <row r="2163" spans="1:18" x14ac:dyDescent="0.25">
      <c r="A2163" s="3">
        <v>45439</v>
      </c>
      <c r="B2163" t="s">
        <v>142</v>
      </c>
      <c r="C2163" t="s">
        <v>19</v>
      </c>
      <c r="D2163" t="s">
        <v>20</v>
      </c>
      <c r="E2163" t="s">
        <v>21</v>
      </c>
      <c r="F2163" t="s">
        <v>40</v>
      </c>
      <c r="G2163" t="s">
        <v>164</v>
      </c>
      <c r="H2163" t="s">
        <v>193</v>
      </c>
      <c r="I2163">
        <v>4.4999999999999998E-2</v>
      </c>
      <c r="J2163">
        <f t="shared" si="99"/>
        <v>30.15</v>
      </c>
      <c r="K2163">
        <v>2</v>
      </c>
      <c r="L2163">
        <f t="shared" si="100"/>
        <v>28.15</v>
      </c>
      <c r="M2163" s="4">
        <f t="shared" si="101"/>
        <v>3.7533333333333328E-2</v>
      </c>
      <c r="N2163">
        <v>750</v>
      </c>
      <c r="O2163">
        <v>670</v>
      </c>
      <c r="P2163" t="s">
        <v>25</v>
      </c>
      <c r="Q2163" t="s">
        <v>26</v>
      </c>
      <c r="R2163" t="str">
        <f>IF(COUNTIF(Sheet2!B:B, A2163) &gt; 0, "Yes", "No")</f>
        <v>No</v>
      </c>
    </row>
    <row r="2164" spans="1:18" x14ac:dyDescent="0.25">
      <c r="A2164" s="3">
        <v>45439</v>
      </c>
      <c r="B2164" t="s">
        <v>142</v>
      </c>
      <c r="C2164" t="s">
        <v>19</v>
      </c>
      <c r="D2164" t="s">
        <v>20</v>
      </c>
      <c r="E2164" t="s">
        <v>21</v>
      </c>
      <c r="F2164" t="s">
        <v>43</v>
      </c>
      <c r="G2164" t="s">
        <v>44</v>
      </c>
      <c r="H2164" t="s">
        <v>153</v>
      </c>
      <c r="I2164">
        <v>0.11</v>
      </c>
      <c r="J2164">
        <f t="shared" si="99"/>
        <v>73.7</v>
      </c>
      <c r="K2164">
        <v>0.8</v>
      </c>
      <c r="L2164">
        <f t="shared" si="100"/>
        <v>72.900000000000006</v>
      </c>
      <c r="M2164" s="4">
        <f t="shared" si="101"/>
        <v>9.7200000000000009E-2</v>
      </c>
      <c r="N2164">
        <v>750</v>
      </c>
      <c r="O2164">
        <v>670</v>
      </c>
      <c r="P2164" t="s">
        <v>25</v>
      </c>
      <c r="Q2164" t="s">
        <v>26</v>
      </c>
      <c r="R2164" t="str">
        <f>IF(COUNTIF(Sheet2!B:B, A2164) &gt; 0, "Yes", "No")</f>
        <v>No</v>
      </c>
    </row>
    <row r="2165" spans="1:18" x14ac:dyDescent="0.25">
      <c r="A2165" s="3">
        <v>45439</v>
      </c>
      <c r="B2165" t="s">
        <v>142</v>
      </c>
      <c r="C2165" t="s">
        <v>19</v>
      </c>
      <c r="D2165" t="s">
        <v>20</v>
      </c>
      <c r="E2165" t="s">
        <v>21</v>
      </c>
      <c r="F2165" t="s">
        <v>46</v>
      </c>
      <c r="G2165" t="s">
        <v>92</v>
      </c>
      <c r="H2165" t="s">
        <v>374</v>
      </c>
      <c r="I2165">
        <v>8.5000000000000006E-2</v>
      </c>
      <c r="J2165">
        <f t="shared" si="99"/>
        <v>56.95</v>
      </c>
      <c r="K2165">
        <v>2</v>
      </c>
      <c r="L2165">
        <f t="shared" si="100"/>
        <v>54.95</v>
      </c>
      <c r="M2165" s="4">
        <f t="shared" si="101"/>
        <v>7.3266666666666674E-2</v>
      </c>
      <c r="N2165">
        <v>750</v>
      </c>
      <c r="O2165">
        <v>670</v>
      </c>
      <c r="P2165" t="s">
        <v>25</v>
      </c>
      <c r="Q2165" t="s">
        <v>26</v>
      </c>
      <c r="R2165" t="str">
        <f>IF(COUNTIF(Sheet2!B:B, A2165) &gt; 0, "Yes", "No")</f>
        <v>No</v>
      </c>
    </row>
    <row r="2166" spans="1:18" x14ac:dyDescent="0.25">
      <c r="A2166" s="3">
        <v>45439</v>
      </c>
      <c r="B2166" t="s">
        <v>142</v>
      </c>
      <c r="C2166" t="s">
        <v>19</v>
      </c>
      <c r="D2166" t="s">
        <v>20</v>
      </c>
      <c r="E2166" t="s">
        <v>21</v>
      </c>
      <c r="F2166" t="s">
        <v>49</v>
      </c>
      <c r="G2166" t="s">
        <v>50</v>
      </c>
      <c r="H2166" t="s">
        <v>49</v>
      </c>
      <c r="I2166">
        <v>0.09</v>
      </c>
      <c r="J2166">
        <f t="shared" si="99"/>
        <v>60.3</v>
      </c>
      <c r="K2166">
        <v>0</v>
      </c>
      <c r="L2166">
        <f t="shared" si="100"/>
        <v>60.3</v>
      </c>
      <c r="M2166" s="4">
        <f t="shared" si="101"/>
        <v>8.0399999999999999E-2</v>
      </c>
      <c r="N2166">
        <v>750</v>
      </c>
      <c r="O2166">
        <v>670</v>
      </c>
      <c r="P2166" t="s">
        <v>25</v>
      </c>
      <c r="Q2166" t="s">
        <v>26</v>
      </c>
      <c r="R2166" t="str">
        <f>IF(COUNTIF(Sheet2!B:B, A2166) &gt; 0, "Yes", "No")</f>
        <v>No</v>
      </c>
    </row>
    <row r="2167" spans="1:18" x14ac:dyDescent="0.25">
      <c r="A2167" s="3">
        <v>45440</v>
      </c>
      <c r="B2167" t="s">
        <v>142</v>
      </c>
      <c r="C2167" t="s">
        <v>105</v>
      </c>
      <c r="D2167" t="s">
        <v>20</v>
      </c>
      <c r="E2167" t="s">
        <v>67</v>
      </c>
      <c r="F2167" t="s">
        <v>22</v>
      </c>
      <c r="G2167" t="s">
        <v>52</v>
      </c>
      <c r="H2167" t="s">
        <v>577</v>
      </c>
      <c r="I2167">
        <v>8.5000000000000006E-2</v>
      </c>
      <c r="J2167">
        <f t="shared" si="99"/>
        <v>55.250000000000007</v>
      </c>
      <c r="K2167">
        <v>0</v>
      </c>
      <c r="L2167">
        <f t="shared" si="100"/>
        <v>55.250000000000007</v>
      </c>
      <c r="M2167" s="4">
        <f t="shared" si="101"/>
        <v>7.8928571428571445E-2</v>
      </c>
      <c r="N2167">
        <v>700</v>
      </c>
      <c r="O2167">
        <v>650</v>
      </c>
      <c r="P2167" t="s">
        <v>25</v>
      </c>
      <c r="Q2167" t="s">
        <v>26</v>
      </c>
      <c r="R2167" t="str">
        <f>IF(COUNTIF(Sheet2!B:B, A2167) &gt; 0, "Yes", "No")</f>
        <v>No</v>
      </c>
    </row>
    <row r="2168" spans="1:18" x14ac:dyDescent="0.25">
      <c r="A2168" s="3">
        <v>45440</v>
      </c>
      <c r="B2168" t="s">
        <v>142</v>
      </c>
      <c r="C2168" t="s">
        <v>105</v>
      </c>
      <c r="D2168" t="s">
        <v>20</v>
      </c>
      <c r="E2168" t="s">
        <v>67</v>
      </c>
      <c r="F2168" t="s">
        <v>27</v>
      </c>
      <c r="G2168" t="s">
        <v>28</v>
      </c>
      <c r="H2168" t="s">
        <v>578</v>
      </c>
      <c r="I2168">
        <v>0.11</v>
      </c>
      <c r="J2168">
        <f t="shared" si="99"/>
        <v>71.5</v>
      </c>
      <c r="K2168">
        <v>2</v>
      </c>
      <c r="L2168">
        <f t="shared" si="100"/>
        <v>69.5</v>
      </c>
      <c r="M2168" s="4">
        <f t="shared" si="101"/>
        <v>9.9285714285714283E-2</v>
      </c>
      <c r="N2168">
        <v>700</v>
      </c>
      <c r="O2168">
        <v>650</v>
      </c>
      <c r="P2168" t="s">
        <v>25</v>
      </c>
      <c r="Q2168" t="s">
        <v>26</v>
      </c>
      <c r="R2168" t="str">
        <f>IF(COUNTIF(Sheet2!B:B, A2168) &gt; 0, "Yes", "No")</f>
        <v>No</v>
      </c>
    </row>
    <row r="2169" spans="1:18" x14ac:dyDescent="0.25">
      <c r="A2169" s="3">
        <v>45440</v>
      </c>
      <c r="B2169" t="s">
        <v>142</v>
      </c>
      <c r="C2169" t="s">
        <v>105</v>
      </c>
      <c r="D2169" t="s">
        <v>20</v>
      </c>
      <c r="E2169" t="s">
        <v>67</v>
      </c>
      <c r="F2169" t="s">
        <v>30</v>
      </c>
      <c r="G2169" t="s">
        <v>55</v>
      </c>
      <c r="H2169" t="s">
        <v>183</v>
      </c>
      <c r="I2169">
        <v>0.09</v>
      </c>
      <c r="J2169">
        <f t="shared" si="99"/>
        <v>58.5</v>
      </c>
      <c r="K2169">
        <v>1</v>
      </c>
      <c r="L2169">
        <f t="shared" si="100"/>
        <v>57.5</v>
      </c>
      <c r="M2169" s="4">
        <f t="shared" si="101"/>
        <v>8.2142857142857142E-2</v>
      </c>
      <c r="N2169">
        <v>700</v>
      </c>
      <c r="O2169">
        <v>650</v>
      </c>
      <c r="P2169" t="s">
        <v>25</v>
      </c>
      <c r="Q2169" t="s">
        <v>26</v>
      </c>
      <c r="R2169" t="str">
        <f>IF(COUNTIF(Sheet2!B:B, A2169) &gt; 0, "Yes", "No")</f>
        <v>No</v>
      </c>
    </row>
    <row r="2170" spans="1:18" x14ac:dyDescent="0.25">
      <c r="A2170" s="3">
        <v>45440</v>
      </c>
      <c r="B2170" t="s">
        <v>142</v>
      </c>
      <c r="C2170" t="s">
        <v>105</v>
      </c>
      <c r="D2170" t="s">
        <v>20</v>
      </c>
      <c r="E2170" t="s">
        <v>67</v>
      </c>
      <c r="F2170" t="s">
        <v>37</v>
      </c>
      <c r="G2170" t="s">
        <v>108</v>
      </c>
      <c r="H2170" t="s">
        <v>109</v>
      </c>
      <c r="I2170">
        <v>3.5000000000000003E-2</v>
      </c>
      <c r="J2170">
        <f t="shared" si="99"/>
        <v>22.750000000000004</v>
      </c>
      <c r="K2170">
        <v>1</v>
      </c>
      <c r="L2170">
        <f t="shared" si="100"/>
        <v>21.750000000000004</v>
      </c>
      <c r="M2170" s="4">
        <f t="shared" si="101"/>
        <v>3.1071428571428576E-2</v>
      </c>
      <c r="N2170">
        <v>700</v>
      </c>
      <c r="O2170">
        <v>650</v>
      </c>
      <c r="P2170" t="s">
        <v>25</v>
      </c>
      <c r="Q2170" t="s">
        <v>26</v>
      </c>
      <c r="R2170" t="str">
        <f>IF(COUNTIF(Sheet2!B:B, A2170) &gt; 0, "Yes", "No")</f>
        <v>No</v>
      </c>
    </row>
    <row r="2171" spans="1:18" x14ac:dyDescent="0.25">
      <c r="A2171" s="3">
        <v>45440</v>
      </c>
      <c r="B2171" t="s">
        <v>142</v>
      </c>
      <c r="C2171" t="s">
        <v>105</v>
      </c>
      <c r="D2171" t="s">
        <v>20</v>
      </c>
      <c r="E2171" t="s">
        <v>67</v>
      </c>
      <c r="F2171" t="s">
        <v>40</v>
      </c>
      <c r="G2171" t="s">
        <v>41</v>
      </c>
      <c r="H2171" t="s">
        <v>534</v>
      </c>
      <c r="I2171">
        <v>0.05</v>
      </c>
      <c r="J2171">
        <f t="shared" si="99"/>
        <v>32.5</v>
      </c>
      <c r="K2171">
        <v>1</v>
      </c>
      <c r="L2171">
        <f t="shared" si="100"/>
        <v>31.5</v>
      </c>
      <c r="M2171" s="4">
        <f t="shared" si="101"/>
        <v>4.4999999999999998E-2</v>
      </c>
      <c r="N2171">
        <v>700</v>
      </c>
      <c r="O2171">
        <v>650</v>
      </c>
      <c r="P2171" t="s">
        <v>25</v>
      </c>
      <c r="Q2171" t="s">
        <v>26</v>
      </c>
      <c r="R2171" t="str">
        <f>IF(COUNTIF(Sheet2!B:B, A2171) &gt; 0, "Yes", "No")</f>
        <v>No</v>
      </c>
    </row>
    <row r="2172" spans="1:18" x14ac:dyDescent="0.25">
      <c r="A2172" s="3">
        <v>45440</v>
      </c>
      <c r="B2172" t="s">
        <v>142</v>
      </c>
      <c r="C2172" t="s">
        <v>105</v>
      </c>
      <c r="D2172" t="s">
        <v>20</v>
      </c>
      <c r="E2172" t="s">
        <v>67</v>
      </c>
      <c r="F2172" t="s">
        <v>43</v>
      </c>
      <c r="G2172" t="s">
        <v>90</v>
      </c>
      <c r="H2172" t="s">
        <v>356</v>
      </c>
      <c r="I2172">
        <v>0.11</v>
      </c>
      <c r="J2172">
        <f t="shared" si="99"/>
        <v>71.5</v>
      </c>
      <c r="K2172">
        <v>2.5</v>
      </c>
      <c r="L2172">
        <f t="shared" si="100"/>
        <v>69</v>
      </c>
      <c r="M2172" s="4">
        <f t="shared" si="101"/>
        <v>9.8571428571428574E-2</v>
      </c>
      <c r="N2172">
        <v>700</v>
      </c>
      <c r="O2172">
        <v>650</v>
      </c>
      <c r="P2172" t="s">
        <v>25</v>
      </c>
      <c r="Q2172" t="s">
        <v>26</v>
      </c>
      <c r="R2172" t="str">
        <f>IF(COUNTIF(Sheet2!B:B, A2172) &gt; 0, "Yes", "No")</f>
        <v>No</v>
      </c>
    </row>
    <row r="2173" spans="1:18" x14ac:dyDescent="0.25">
      <c r="A2173" s="3">
        <v>45440</v>
      </c>
      <c r="B2173" t="s">
        <v>142</v>
      </c>
      <c r="C2173" t="s">
        <v>105</v>
      </c>
      <c r="D2173" t="s">
        <v>20</v>
      </c>
      <c r="E2173" t="s">
        <v>67</v>
      </c>
      <c r="F2173" t="s">
        <v>46</v>
      </c>
      <c r="G2173" t="s">
        <v>412</v>
      </c>
      <c r="H2173" t="s">
        <v>579</v>
      </c>
      <c r="I2173">
        <v>8.5000000000000006E-2</v>
      </c>
      <c r="J2173">
        <f t="shared" si="99"/>
        <v>55.250000000000007</v>
      </c>
      <c r="K2173">
        <v>1</v>
      </c>
      <c r="L2173">
        <f t="shared" si="100"/>
        <v>54.250000000000007</v>
      </c>
      <c r="M2173" s="4">
        <f t="shared" si="101"/>
        <v>7.7500000000000013E-2</v>
      </c>
      <c r="N2173">
        <v>700</v>
      </c>
      <c r="O2173">
        <v>650</v>
      </c>
      <c r="P2173" t="s">
        <v>25</v>
      </c>
      <c r="Q2173" t="s">
        <v>26</v>
      </c>
      <c r="R2173" t="str">
        <f>IF(COUNTIF(Sheet2!B:B, A2173) &gt; 0, "Yes", "No")</f>
        <v>No</v>
      </c>
    </row>
    <row r="2174" spans="1:18" x14ac:dyDescent="0.25">
      <c r="A2174" s="3">
        <v>45440</v>
      </c>
      <c r="B2174" t="s">
        <v>142</v>
      </c>
      <c r="C2174" t="s">
        <v>105</v>
      </c>
      <c r="D2174" t="s">
        <v>20</v>
      </c>
      <c r="E2174" t="s">
        <v>67</v>
      </c>
      <c r="F2174" t="s">
        <v>49</v>
      </c>
      <c r="G2174" t="s">
        <v>50</v>
      </c>
      <c r="H2174" t="s">
        <v>49</v>
      </c>
      <c r="I2174">
        <v>0.09</v>
      </c>
      <c r="J2174">
        <f t="shared" si="99"/>
        <v>58.5</v>
      </c>
      <c r="K2174">
        <v>1</v>
      </c>
      <c r="L2174">
        <f t="shared" si="100"/>
        <v>57.5</v>
      </c>
      <c r="M2174" s="4">
        <f t="shared" si="101"/>
        <v>8.2142857142857142E-2</v>
      </c>
      <c r="N2174">
        <v>700</v>
      </c>
      <c r="O2174">
        <v>650</v>
      </c>
      <c r="P2174" t="s">
        <v>25</v>
      </c>
      <c r="Q2174" t="s">
        <v>26</v>
      </c>
      <c r="R2174" t="str">
        <f>IF(COUNTIF(Sheet2!B:B, A2174) &gt; 0, "Yes", "No")</f>
        <v>No</v>
      </c>
    </row>
    <row r="2175" spans="1:18" x14ac:dyDescent="0.25">
      <c r="A2175" s="3">
        <v>45441</v>
      </c>
      <c r="B2175" t="s">
        <v>142</v>
      </c>
      <c r="C2175" t="s">
        <v>51</v>
      </c>
      <c r="D2175" t="s">
        <v>20</v>
      </c>
      <c r="E2175" t="s">
        <v>21</v>
      </c>
      <c r="F2175" t="s">
        <v>22</v>
      </c>
      <c r="G2175" t="s">
        <v>122</v>
      </c>
      <c r="H2175" t="s">
        <v>260</v>
      </c>
      <c r="I2175">
        <v>8.5000000000000006E-2</v>
      </c>
      <c r="J2175">
        <f t="shared" si="99"/>
        <v>59.500000000000007</v>
      </c>
      <c r="K2175">
        <v>2</v>
      </c>
      <c r="L2175">
        <f t="shared" si="100"/>
        <v>57.500000000000007</v>
      </c>
      <c r="M2175" s="4">
        <f t="shared" si="101"/>
        <v>7.3717948717948734E-2</v>
      </c>
      <c r="N2175">
        <v>780</v>
      </c>
      <c r="O2175">
        <v>700</v>
      </c>
      <c r="P2175" t="s">
        <v>25</v>
      </c>
      <c r="Q2175" t="s">
        <v>26</v>
      </c>
      <c r="R2175" t="str">
        <f>IF(COUNTIF(Sheet2!B:B, A2175) &gt; 0, "Yes", "No")</f>
        <v>No</v>
      </c>
    </row>
    <row r="2176" spans="1:18" x14ac:dyDescent="0.25">
      <c r="A2176" s="3">
        <v>45441</v>
      </c>
      <c r="B2176" t="s">
        <v>142</v>
      </c>
      <c r="C2176" t="s">
        <v>51</v>
      </c>
      <c r="D2176" t="s">
        <v>20</v>
      </c>
      <c r="E2176" t="s">
        <v>21</v>
      </c>
      <c r="F2176" t="s">
        <v>27</v>
      </c>
      <c r="G2176" t="s">
        <v>144</v>
      </c>
      <c r="H2176" t="s">
        <v>145</v>
      </c>
      <c r="I2176">
        <v>0.11</v>
      </c>
      <c r="J2176">
        <f t="shared" si="99"/>
        <v>77</v>
      </c>
      <c r="K2176">
        <v>1</v>
      </c>
      <c r="L2176">
        <f t="shared" si="100"/>
        <v>76</v>
      </c>
      <c r="M2176" s="4">
        <f t="shared" si="101"/>
        <v>9.7435897435897437E-2</v>
      </c>
      <c r="N2176">
        <v>780</v>
      </c>
      <c r="O2176">
        <v>700</v>
      </c>
      <c r="P2176" t="s">
        <v>25</v>
      </c>
      <c r="Q2176" t="s">
        <v>26</v>
      </c>
      <c r="R2176" t="str">
        <f>IF(COUNTIF(Sheet2!B:B, A2176) &gt; 0, "Yes", "No")</f>
        <v>No</v>
      </c>
    </row>
    <row r="2177" spans="1:18" x14ac:dyDescent="0.25">
      <c r="A2177" s="3">
        <v>45441</v>
      </c>
      <c r="B2177" t="s">
        <v>142</v>
      </c>
      <c r="C2177" t="s">
        <v>51</v>
      </c>
      <c r="D2177" t="s">
        <v>20</v>
      </c>
      <c r="E2177" t="s">
        <v>21</v>
      </c>
      <c r="F2177" t="s">
        <v>30</v>
      </c>
      <c r="G2177" t="s">
        <v>31</v>
      </c>
      <c r="H2177" t="s">
        <v>31</v>
      </c>
      <c r="I2177">
        <v>0.09</v>
      </c>
      <c r="J2177">
        <f t="shared" si="99"/>
        <v>63</v>
      </c>
      <c r="K2177">
        <v>1</v>
      </c>
      <c r="L2177">
        <f t="shared" si="100"/>
        <v>62</v>
      </c>
      <c r="M2177" s="4">
        <f t="shared" si="101"/>
        <v>7.9487179487179482E-2</v>
      </c>
      <c r="N2177">
        <v>780</v>
      </c>
      <c r="O2177">
        <v>700</v>
      </c>
      <c r="P2177" t="s">
        <v>25</v>
      </c>
      <c r="Q2177" t="s">
        <v>26</v>
      </c>
      <c r="R2177" t="str">
        <f>IF(COUNTIF(Sheet2!B:B, A2177) &gt; 0, "Yes", "No")</f>
        <v>No</v>
      </c>
    </row>
    <row r="2178" spans="1:18" x14ac:dyDescent="0.25">
      <c r="A2178" s="3">
        <v>45441</v>
      </c>
      <c r="B2178" t="s">
        <v>142</v>
      </c>
      <c r="C2178" t="s">
        <v>51</v>
      </c>
      <c r="D2178" t="s">
        <v>33</v>
      </c>
      <c r="E2178" t="s">
        <v>21</v>
      </c>
      <c r="F2178" t="s">
        <v>34</v>
      </c>
      <c r="G2178" t="s">
        <v>57</v>
      </c>
      <c r="H2178" t="s">
        <v>314</v>
      </c>
      <c r="I2178">
        <v>0.15</v>
      </c>
      <c r="J2178">
        <f t="shared" si="99"/>
        <v>72</v>
      </c>
      <c r="K2178">
        <v>0</v>
      </c>
      <c r="L2178">
        <f t="shared" si="100"/>
        <v>72</v>
      </c>
      <c r="M2178" s="4">
        <f t="shared" si="101"/>
        <v>0.13186813186813187</v>
      </c>
      <c r="N2178">
        <v>546</v>
      </c>
      <c r="O2178">
        <v>480</v>
      </c>
      <c r="P2178" t="s">
        <v>25</v>
      </c>
      <c r="Q2178" t="s">
        <v>26</v>
      </c>
      <c r="R2178" t="str">
        <f>IF(COUNTIF(Sheet2!B:B, A2178) &gt; 0, "Yes", "No")</f>
        <v>No</v>
      </c>
    </row>
    <row r="2179" spans="1:18" x14ac:dyDescent="0.25">
      <c r="A2179" s="3">
        <v>45441</v>
      </c>
      <c r="B2179" t="s">
        <v>142</v>
      </c>
      <c r="C2179" t="s">
        <v>51</v>
      </c>
      <c r="D2179" t="s">
        <v>20</v>
      </c>
      <c r="E2179" t="s">
        <v>21</v>
      </c>
      <c r="F2179" t="s">
        <v>37</v>
      </c>
      <c r="G2179" t="s">
        <v>87</v>
      </c>
      <c r="H2179" t="s">
        <v>99</v>
      </c>
      <c r="I2179">
        <v>0.03</v>
      </c>
      <c r="J2179">
        <f t="shared" ref="J2179:J2242" si="102">I2179*O2179</f>
        <v>21</v>
      </c>
      <c r="K2179">
        <v>1.5</v>
      </c>
      <c r="L2179">
        <f t="shared" ref="L2179:L2242" si="103">J2179-K2179</f>
        <v>19.5</v>
      </c>
      <c r="M2179" s="4">
        <f t="shared" ref="M2179:M2242" si="104">((I2179*O2179)-K2179)/N2179</f>
        <v>2.5000000000000001E-2</v>
      </c>
      <c r="N2179">
        <v>780</v>
      </c>
      <c r="O2179">
        <v>700</v>
      </c>
      <c r="P2179" t="s">
        <v>25</v>
      </c>
      <c r="Q2179" t="s">
        <v>26</v>
      </c>
      <c r="R2179" t="str">
        <f>IF(COUNTIF(Sheet2!B:B, A2179) &gt; 0, "Yes", "No")</f>
        <v>No</v>
      </c>
    </row>
    <row r="2180" spans="1:18" x14ac:dyDescent="0.25">
      <c r="A2180" s="3">
        <v>45441</v>
      </c>
      <c r="B2180" t="s">
        <v>142</v>
      </c>
      <c r="C2180" t="s">
        <v>51</v>
      </c>
      <c r="D2180" t="s">
        <v>20</v>
      </c>
      <c r="E2180" t="s">
        <v>21</v>
      </c>
      <c r="F2180" t="s">
        <v>40</v>
      </c>
      <c r="G2180" t="s">
        <v>127</v>
      </c>
      <c r="H2180" t="s">
        <v>358</v>
      </c>
      <c r="I2180">
        <v>4.4999999999999998E-2</v>
      </c>
      <c r="J2180">
        <f t="shared" si="102"/>
        <v>31.5</v>
      </c>
      <c r="K2180">
        <v>1.5</v>
      </c>
      <c r="L2180">
        <f t="shared" si="103"/>
        <v>30</v>
      </c>
      <c r="M2180" s="4">
        <f t="shared" si="104"/>
        <v>3.8461538461538464E-2</v>
      </c>
      <c r="N2180">
        <v>780</v>
      </c>
      <c r="O2180">
        <v>700</v>
      </c>
      <c r="P2180" t="s">
        <v>25</v>
      </c>
      <c r="Q2180" t="s">
        <v>26</v>
      </c>
      <c r="R2180" t="str">
        <f>IF(COUNTIF(Sheet2!B:B, A2180) &gt; 0, "Yes", "No")</f>
        <v>No</v>
      </c>
    </row>
    <row r="2181" spans="1:18" x14ac:dyDescent="0.25">
      <c r="A2181" s="3">
        <v>45441</v>
      </c>
      <c r="B2181" t="s">
        <v>142</v>
      </c>
      <c r="C2181" t="s">
        <v>51</v>
      </c>
      <c r="D2181" t="s">
        <v>20</v>
      </c>
      <c r="E2181" t="s">
        <v>21</v>
      </c>
      <c r="F2181" t="s">
        <v>43</v>
      </c>
      <c r="G2181" t="s">
        <v>111</v>
      </c>
      <c r="H2181" t="s">
        <v>112</v>
      </c>
      <c r="I2181">
        <v>0.11</v>
      </c>
      <c r="J2181">
        <f t="shared" si="102"/>
        <v>77</v>
      </c>
      <c r="K2181">
        <v>1</v>
      </c>
      <c r="L2181">
        <f t="shared" si="103"/>
        <v>76</v>
      </c>
      <c r="M2181" s="4">
        <f t="shared" si="104"/>
        <v>9.7435897435897437E-2</v>
      </c>
      <c r="N2181">
        <v>780</v>
      </c>
      <c r="O2181">
        <v>700</v>
      </c>
      <c r="P2181" t="s">
        <v>25</v>
      </c>
      <c r="Q2181" t="s">
        <v>26</v>
      </c>
      <c r="R2181" t="str">
        <f>IF(COUNTIF(Sheet2!B:B, A2181) &gt; 0, "Yes", "No")</f>
        <v>No</v>
      </c>
    </row>
    <row r="2182" spans="1:18" x14ac:dyDescent="0.25">
      <c r="A2182" s="3">
        <v>45441</v>
      </c>
      <c r="B2182" t="s">
        <v>142</v>
      </c>
      <c r="C2182" t="s">
        <v>51</v>
      </c>
      <c r="D2182" t="s">
        <v>20</v>
      </c>
      <c r="E2182" t="s">
        <v>21</v>
      </c>
      <c r="F2182" t="s">
        <v>46</v>
      </c>
      <c r="G2182" t="s">
        <v>47</v>
      </c>
      <c r="H2182" t="s">
        <v>580</v>
      </c>
      <c r="I2182">
        <v>8.5000000000000006E-2</v>
      </c>
      <c r="J2182">
        <f t="shared" si="102"/>
        <v>59.500000000000007</v>
      </c>
      <c r="K2182">
        <v>2</v>
      </c>
      <c r="L2182">
        <f t="shared" si="103"/>
        <v>57.500000000000007</v>
      </c>
      <c r="M2182" s="4">
        <f t="shared" si="104"/>
        <v>7.3717948717948734E-2</v>
      </c>
      <c r="N2182">
        <v>780</v>
      </c>
      <c r="O2182">
        <v>700</v>
      </c>
      <c r="P2182" t="s">
        <v>25</v>
      </c>
      <c r="Q2182" t="s">
        <v>26</v>
      </c>
      <c r="R2182" t="str">
        <f>IF(COUNTIF(Sheet2!B:B, A2182) &gt; 0, "Yes", "No")</f>
        <v>No</v>
      </c>
    </row>
    <row r="2183" spans="1:18" x14ac:dyDescent="0.25">
      <c r="A2183" s="3">
        <v>45441</v>
      </c>
      <c r="B2183" t="s">
        <v>142</v>
      </c>
      <c r="C2183" t="s">
        <v>51</v>
      </c>
      <c r="D2183" t="s">
        <v>20</v>
      </c>
      <c r="E2183" t="s">
        <v>21</v>
      </c>
      <c r="F2183" t="s">
        <v>49</v>
      </c>
      <c r="G2183" t="s">
        <v>50</v>
      </c>
      <c r="H2183" t="s">
        <v>49</v>
      </c>
      <c r="I2183">
        <v>0.09</v>
      </c>
      <c r="J2183">
        <f t="shared" si="102"/>
        <v>63</v>
      </c>
      <c r="K2183">
        <v>1.5</v>
      </c>
      <c r="L2183">
        <f t="shared" si="103"/>
        <v>61.5</v>
      </c>
      <c r="M2183" s="4">
        <f t="shared" si="104"/>
        <v>7.8846153846153844E-2</v>
      </c>
      <c r="N2183">
        <v>780</v>
      </c>
      <c r="O2183">
        <v>700</v>
      </c>
      <c r="P2183" t="s">
        <v>25</v>
      </c>
      <c r="Q2183" t="s">
        <v>26</v>
      </c>
      <c r="R2183" t="str">
        <f>IF(COUNTIF(Sheet2!B:B, A2183) &gt; 0, "Yes", "No")</f>
        <v>No</v>
      </c>
    </row>
    <row r="2184" spans="1:18" x14ac:dyDescent="0.25">
      <c r="A2184" s="3">
        <v>45442</v>
      </c>
      <c r="B2184" t="s">
        <v>142</v>
      </c>
      <c r="C2184" t="s">
        <v>66</v>
      </c>
      <c r="D2184" t="s">
        <v>20</v>
      </c>
      <c r="E2184" t="s">
        <v>67</v>
      </c>
      <c r="F2184" t="s">
        <v>22</v>
      </c>
      <c r="G2184" t="s">
        <v>122</v>
      </c>
      <c r="H2184" t="s">
        <v>521</v>
      </c>
      <c r="I2184">
        <v>8.5000000000000006E-2</v>
      </c>
      <c r="J2184">
        <f t="shared" si="102"/>
        <v>53.550000000000004</v>
      </c>
      <c r="K2184">
        <v>4</v>
      </c>
      <c r="L2184">
        <f t="shared" si="103"/>
        <v>49.550000000000004</v>
      </c>
      <c r="M2184" s="4">
        <f t="shared" si="104"/>
        <v>7.0785714285714285E-2</v>
      </c>
      <c r="N2184">
        <v>700</v>
      </c>
      <c r="O2184">
        <v>630</v>
      </c>
      <c r="P2184" t="s">
        <v>25</v>
      </c>
      <c r="Q2184" t="s">
        <v>26</v>
      </c>
      <c r="R2184" t="str">
        <f>IF(COUNTIF(Sheet2!B:B, A2184) &gt; 0, "Yes", "No")</f>
        <v>No</v>
      </c>
    </row>
    <row r="2185" spans="1:18" x14ac:dyDescent="0.25">
      <c r="A2185" s="3">
        <v>45442</v>
      </c>
      <c r="B2185" t="s">
        <v>142</v>
      </c>
      <c r="C2185" t="s">
        <v>66</v>
      </c>
      <c r="D2185" t="s">
        <v>20</v>
      </c>
      <c r="E2185" t="s">
        <v>67</v>
      </c>
      <c r="F2185" t="s">
        <v>27</v>
      </c>
      <c r="G2185" t="s">
        <v>235</v>
      </c>
      <c r="H2185" t="s">
        <v>581</v>
      </c>
      <c r="I2185">
        <v>0.12</v>
      </c>
      <c r="J2185">
        <f t="shared" si="102"/>
        <v>75.599999999999994</v>
      </c>
      <c r="K2185">
        <v>0.5</v>
      </c>
      <c r="L2185">
        <f t="shared" si="103"/>
        <v>75.099999999999994</v>
      </c>
      <c r="M2185" s="4">
        <f t="shared" si="104"/>
        <v>0.10728571428571428</v>
      </c>
      <c r="N2185">
        <v>700</v>
      </c>
      <c r="O2185">
        <v>630</v>
      </c>
      <c r="P2185" t="s">
        <v>25</v>
      </c>
      <c r="Q2185" t="s">
        <v>26</v>
      </c>
      <c r="R2185" t="str">
        <f>IF(COUNTIF(Sheet2!B:B, A2185) &gt; 0, "Yes", "No")</f>
        <v>No</v>
      </c>
    </row>
    <row r="2186" spans="1:18" x14ac:dyDescent="0.25">
      <c r="A2186" s="3">
        <v>45442</v>
      </c>
      <c r="B2186" t="s">
        <v>142</v>
      </c>
      <c r="C2186" t="s">
        <v>66</v>
      </c>
      <c r="D2186" t="s">
        <v>20</v>
      </c>
      <c r="E2186" t="s">
        <v>67</v>
      </c>
      <c r="F2186" t="s">
        <v>30</v>
      </c>
      <c r="G2186" t="s">
        <v>55</v>
      </c>
      <c r="H2186" t="s">
        <v>56</v>
      </c>
      <c r="I2186">
        <v>0.09</v>
      </c>
      <c r="J2186">
        <f t="shared" si="102"/>
        <v>56.699999999999996</v>
      </c>
      <c r="K2186">
        <v>2</v>
      </c>
      <c r="L2186">
        <f t="shared" si="103"/>
        <v>54.699999999999996</v>
      </c>
      <c r="M2186" s="4">
        <f t="shared" si="104"/>
        <v>7.8142857142857139E-2</v>
      </c>
      <c r="N2186">
        <v>700</v>
      </c>
      <c r="O2186">
        <v>630</v>
      </c>
      <c r="P2186" t="s">
        <v>25</v>
      </c>
      <c r="Q2186" t="s">
        <v>26</v>
      </c>
      <c r="R2186" t="str">
        <f>IF(COUNTIF(Sheet2!B:B, A2186) &gt; 0, "Yes", "No")</f>
        <v>No</v>
      </c>
    </row>
    <row r="2187" spans="1:18" x14ac:dyDescent="0.25">
      <c r="A2187" s="3">
        <v>45442</v>
      </c>
      <c r="B2187" t="s">
        <v>142</v>
      </c>
      <c r="C2187" t="s">
        <v>66</v>
      </c>
      <c r="D2187" t="s">
        <v>20</v>
      </c>
      <c r="E2187" t="s">
        <v>67</v>
      </c>
      <c r="F2187" t="s">
        <v>37</v>
      </c>
      <c r="G2187" t="s">
        <v>38</v>
      </c>
      <c r="H2187" t="s">
        <v>39</v>
      </c>
      <c r="I2187">
        <v>3.5000000000000003E-2</v>
      </c>
      <c r="J2187">
        <f t="shared" si="102"/>
        <v>22.05</v>
      </c>
      <c r="K2187">
        <v>3</v>
      </c>
      <c r="L2187">
        <f t="shared" si="103"/>
        <v>19.05</v>
      </c>
      <c r="M2187" s="4">
        <f t="shared" si="104"/>
        <v>2.7214285714285715E-2</v>
      </c>
      <c r="N2187">
        <v>700</v>
      </c>
      <c r="O2187">
        <v>630</v>
      </c>
      <c r="P2187" t="s">
        <v>25</v>
      </c>
      <c r="Q2187" t="s">
        <v>26</v>
      </c>
      <c r="R2187" t="str">
        <f>IF(COUNTIF(Sheet2!B:B, A2187) &gt; 0, "Yes", "No")</f>
        <v>No</v>
      </c>
    </row>
    <row r="2188" spans="1:18" x14ac:dyDescent="0.25">
      <c r="A2188" s="3">
        <v>45442</v>
      </c>
      <c r="B2188" t="s">
        <v>142</v>
      </c>
      <c r="C2188" t="s">
        <v>66</v>
      </c>
      <c r="D2188" t="s">
        <v>20</v>
      </c>
      <c r="E2188" t="s">
        <v>67</v>
      </c>
      <c r="F2188" t="s">
        <v>40</v>
      </c>
      <c r="G2188" t="s">
        <v>61</v>
      </c>
      <c r="H2188" t="s">
        <v>62</v>
      </c>
      <c r="I2188">
        <v>0.05</v>
      </c>
      <c r="J2188">
        <f t="shared" si="102"/>
        <v>31.5</v>
      </c>
      <c r="K2188">
        <v>4</v>
      </c>
      <c r="L2188">
        <f t="shared" si="103"/>
        <v>27.5</v>
      </c>
      <c r="M2188" s="4">
        <f t="shared" si="104"/>
        <v>3.9285714285714285E-2</v>
      </c>
      <c r="N2188">
        <v>700</v>
      </c>
      <c r="O2188">
        <v>630</v>
      </c>
      <c r="P2188" t="s">
        <v>25</v>
      </c>
      <c r="Q2188" t="s">
        <v>26</v>
      </c>
      <c r="R2188" t="str">
        <f>IF(COUNTIF(Sheet2!B:B, A2188) &gt; 0, "Yes", "No")</f>
        <v>No</v>
      </c>
    </row>
    <row r="2189" spans="1:18" x14ac:dyDescent="0.25">
      <c r="A2189" s="3">
        <v>45442</v>
      </c>
      <c r="B2189" t="s">
        <v>142</v>
      </c>
      <c r="C2189" t="s">
        <v>66</v>
      </c>
      <c r="D2189" t="s">
        <v>20</v>
      </c>
      <c r="E2189" t="s">
        <v>67</v>
      </c>
      <c r="F2189" t="s">
        <v>43</v>
      </c>
      <c r="G2189" t="s">
        <v>139</v>
      </c>
      <c r="H2189" t="s">
        <v>318</v>
      </c>
      <c r="I2189">
        <v>0.11</v>
      </c>
      <c r="J2189">
        <f t="shared" si="102"/>
        <v>69.3</v>
      </c>
      <c r="K2189">
        <v>5</v>
      </c>
      <c r="L2189">
        <f t="shared" si="103"/>
        <v>64.3</v>
      </c>
      <c r="M2189" s="4">
        <f t="shared" si="104"/>
        <v>9.1857142857142859E-2</v>
      </c>
      <c r="N2189">
        <v>700</v>
      </c>
      <c r="O2189">
        <v>630</v>
      </c>
      <c r="P2189" t="s">
        <v>25</v>
      </c>
      <c r="Q2189" t="s">
        <v>26</v>
      </c>
      <c r="R2189" t="str">
        <f>IF(COUNTIF(Sheet2!B:B, A2189) &gt; 0, "Yes", "No")</f>
        <v>No</v>
      </c>
    </row>
    <row r="2190" spans="1:18" x14ac:dyDescent="0.25">
      <c r="A2190" s="3">
        <v>45442</v>
      </c>
      <c r="B2190" t="s">
        <v>142</v>
      </c>
      <c r="C2190" t="s">
        <v>66</v>
      </c>
      <c r="D2190" t="s">
        <v>20</v>
      </c>
      <c r="E2190" t="s">
        <v>67</v>
      </c>
      <c r="F2190" t="s">
        <v>46</v>
      </c>
      <c r="G2190" t="s">
        <v>47</v>
      </c>
      <c r="H2190" t="s">
        <v>113</v>
      </c>
      <c r="I2190">
        <v>8.5000000000000006E-2</v>
      </c>
      <c r="J2190">
        <f t="shared" si="102"/>
        <v>53.550000000000004</v>
      </c>
      <c r="K2190">
        <v>3</v>
      </c>
      <c r="L2190">
        <f t="shared" si="103"/>
        <v>50.550000000000004</v>
      </c>
      <c r="M2190" s="4">
        <f t="shared" si="104"/>
        <v>7.2214285714285717E-2</v>
      </c>
      <c r="N2190">
        <v>700</v>
      </c>
      <c r="O2190">
        <v>630</v>
      </c>
      <c r="P2190" t="s">
        <v>25</v>
      </c>
      <c r="Q2190" t="s">
        <v>26</v>
      </c>
      <c r="R2190" t="str">
        <f>IF(COUNTIF(Sheet2!B:B, A2190) &gt; 0, "Yes", "No")</f>
        <v>No</v>
      </c>
    </row>
    <row r="2191" spans="1:18" x14ac:dyDescent="0.25">
      <c r="A2191" s="3">
        <v>45442</v>
      </c>
      <c r="B2191" t="s">
        <v>142</v>
      </c>
      <c r="C2191" t="s">
        <v>66</v>
      </c>
      <c r="D2191" t="s">
        <v>20</v>
      </c>
      <c r="E2191" t="s">
        <v>67</v>
      </c>
      <c r="F2191" t="s">
        <v>49</v>
      </c>
      <c r="G2191" t="s">
        <v>50</v>
      </c>
      <c r="H2191" t="s">
        <v>49</v>
      </c>
      <c r="I2191">
        <v>0.09</v>
      </c>
      <c r="J2191">
        <f t="shared" si="102"/>
        <v>56.699999999999996</v>
      </c>
      <c r="K2191">
        <v>0</v>
      </c>
      <c r="L2191">
        <f t="shared" si="103"/>
        <v>56.699999999999996</v>
      </c>
      <c r="M2191" s="4">
        <f t="shared" si="104"/>
        <v>8.0999999999999989E-2</v>
      </c>
      <c r="N2191">
        <v>700</v>
      </c>
      <c r="O2191">
        <v>630</v>
      </c>
      <c r="P2191" t="s">
        <v>25</v>
      </c>
      <c r="Q2191" t="s">
        <v>26</v>
      </c>
      <c r="R2191" t="str">
        <f>IF(COUNTIF(Sheet2!B:B, A2191) &gt; 0, "Yes", "No")</f>
        <v>No</v>
      </c>
    </row>
    <row r="2192" spans="1:18" x14ac:dyDescent="0.25">
      <c r="A2192" s="3">
        <v>45443</v>
      </c>
      <c r="B2192" t="s">
        <v>142</v>
      </c>
      <c r="C2192" t="s">
        <v>79</v>
      </c>
      <c r="D2192" t="s">
        <v>20</v>
      </c>
      <c r="E2192" t="s">
        <v>21</v>
      </c>
      <c r="F2192" t="s">
        <v>22</v>
      </c>
      <c r="G2192" t="s">
        <v>94</v>
      </c>
      <c r="H2192" t="s">
        <v>168</v>
      </c>
      <c r="I2192" s="5">
        <v>0.06</v>
      </c>
      <c r="J2192">
        <f t="shared" si="102"/>
        <v>33</v>
      </c>
      <c r="K2192">
        <v>1</v>
      </c>
      <c r="L2192">
        <f t="shared" si="103"/>
        <v>32</v>
      </c>
      <c r="M2192" s="4">
        <f t="shared" si="104"/>
        <v>5.3333333333333337E-2</v>
      </c>
      <c r="N2192">
        <v>600</v>
      </c>
      <c r="O2192">
        <v>550</v>
      </c>
      <c r="P2192" t="s">
        <v>25</v>
      </c>
      <c r="Q2192" t="s">
        <v>26</v>
      </c>
      <c r="R2192" t="str">
        <f>IF(COUNTIF(Sheet2!B:B, A2192) &gt; 0, "Yes", "No")</f>
        <v>Yes</v>
      </c>
    </row>
    <row r="2193" spans="1:18" x14ac:dyDescent="0.25">
      <c r="A2193" s="3">
        <v>45443</v>
      </c>
      <c r="B2193" t="s">
        <v>142</v>
      </c>
      <c r="C2193" t="s">
        <v>79</v>
      </c>
      <c r="D2193" t="s">
        <v>20</v>
      </c>
      <c r="E2193" t="s">
        <v>21</v>
      </c>
      <c r="F2193" t="s">
        <v>27</v>
      </c>
      <c r="G2193" t="s">
        <v>81</v>
      </c>
      <c r="H2193" t="s">
        <v>438</v>
      </c>
      <c r="I2193" s="5">
        <v>0.1</v>
      </c>
      <c r="J2193">
        <f t="shared" si="102"/>
        <v>55</v>
      </c>
      <c r="K2193">
        <v>2</v>
      </c>
      <c r="L2193">
        <f t="shared" si="103"/>
        <v>53</v>
      </c>
      <c r="M2193" s="4">
        <f t="shared" si="104"/>
        <v>8.8333333333333333E-2</v>
      </c>
      <c r="N2193">
        <v>600</v>
      </c>
      <c r="O2193">
        <v>550</v>
      </c>
      <c r="P2193" t="s">
        <v>25</v>
      </c>
      <c r="Q2193" t="s">
        <v>26</v>
      </c>
      <c r="R2193" t="str">
        <f>IF(COUNTIF(Sheet2!B:B, A2193) &gt; 0, "Yes", "No")</f>
        <v>Yes</v>
      </c>
    </row>
    <row r="2194" spans="1:18" x14ac:dyDescent="0.25">
      <c r="A2194" s="3">
        <v>45443</v>
      </c>
      <c r="B2194" t="s">
        <v>142</v>
      </c>
      <c r="C2194" t="s">
        <v>79</v>
      </c>
      <c r="D2194" t="s">
        <v>20</v>
      </c>
      <c r="E2194" t="s">
        <v>21</v>
      </c>
      <c r="F2194" t="s">
        <v>30</v>
      </c>
      <c r="G2194" t="s">
        <v>55</v>
      </c>
      <c r="H2194" t="s">
        <v>83</v>
      </c>
      <c r="I2194" s="5">
        <v>0.06</v>
      </c>
      <c r="J2194">
        <f t="shared" si="102"/>
        <v>33</v>
      </c>
      <c r="K2194">
        <v>1</v>
      </c>
      <c r="L2194">
        <f t="shared" si="103"/>
        <v>32</v>
      </c>
      <c r="M2194" s="4">
        <f t="shared" si="104"/>
        <v>5.3333333333333337E-2</v>
      </c>
      <c r="N2194">
        <v>600</v>
      </c>
      <c r="O2194">
        <v>550</v>
      </c>
      <c r="P2194" t="s">
        <v>25</v>
      </c>
      <c r="Q2194" t="s">
        <v>26</v>
      </c>
      <c r="R2194" t="str">
        <f>IF(COUNTIF(Sheet2!B:B, A2194) &gt; 0, "Yes", "No")</f>
        <v>Yes</v>
      </c>
    </row>
    <row r="2195" spans="1:18" x14ac:dyDescent="0.25">
      <c r="A2195" s="3">
        <v>45443</v>
      </c>
      <c r="B2195" t="s">
        <v>142</v>
      </c>
      <c r="C2195" t="s">
        <v>79</v>
      </c>
      <c r="D2195" t="s">
        <v>33</v>
      </c>
      <c r="E2195" t="s">
        <v>21</v>
      </c>
      <c r="F2195" t="s">
        <v>84</v>
      </c>
      <c r="G2195" t="s">
        <v>85</v>
      </c>
      <c r="H2195" t="s">
        <v>363</v>
      </c>
      <c r="I2195" s="5">
        <v>0.3</v>
      </c>
      <c r="J2195">
        <f t="shared" si="102"/>
        <v>115.5</v>
      </c>
      <c r="K2195">
        <v>0</v>
      </c>
      <c r="L2195">
        <f t="shared" si="103"/>
        <v>115.5</v>
      </c>
      <c r="M2195" s="4">
        <f t="shared" si="104"/>
        <v>0.27500000000000002</v>
      </c>
      <c r="N2195">
        <v>420</v>
      </c>
      <c r="O2195">
        <v>385</v>
      </c>
      <c r="P2195" t="s">
        <v>25</v>
      </c>
      <c r="Q2195" t="s">
        <v>26</v>
      </c>
      <c r="R2195" t="str">
        <f>IF(COUNTIF(Sheet2!B:B, A2195) &gt; 0, "Yes", "No")</f>
        <v>Yes</v>
      </c>
    </row>
    <row r="2196" spans="1:18" x14ac:dyDescent="0.25">
      <c r="A2196" s="3">
        <v>45443</v>
      </c>
      <c r="B2196" t="s">
        <v>142</v>
      </c>
      <c r="C2196" t="s">
        <v>79</v>
      </c>
      <c r="D2196" t="s">
        <v>20</v>
      </c>
      <c r="E2196" t="s">
        <v>21</v>
      </c>
      <c r="F2196" t="s">
        <v>37</v>
      </c>
      <c r="G2196" t="s">
        <v>71</v>
      </c>
      <c r="H2196" t="s">
        <v>151</v>
      </c>
      <c r="I2196" s="5">
        <v>2.5000000000000001E-2</v>
      </c>
      <c r="J2196">
        <f t="shared" si="102"/>
        <v>13.75</v>
      </c>
      <c r="K2196">
        <v>1</v>
      </c>
      <c r="L2196">
        <f t="shared" si="103"/>
        <v>12.75</v>
      </c>
      <c r="M2196" s="4">
        <f t="shared" si="104"/>
        <v>2.1250000000000002E-2</v>
      </c>
      <c r="N2196">
        <v>600</v>
      </c>
      <c r="O2196">
        <v>550</v>
      </c>
      <c r="P2196" t="s">
        <v>25</v>
      </c>
      <c r="Q2196" t="s">
        <v>26</v>
      </c>
      <c r="R2196" t="str">
        <f>IF(COUNTIF(Sheet2!B:B, A2196) &gt; 0, "Yes", "No")</f>
        <v>Yes</v>
      </c>
    </row>
    <row r="2197" spans="1:18" x14ac:dyDescent="0.25">
      <c r="A2197" s="3">
        <v>45443</v>
      </c>
      <c r="B2197" t="s">
        <v>142</v>
      </c>
      <c r="C2197" t="s">
        <v>79</v>
      </c>
      <c r="D2197" t="s">
        <v>20</v>
      </c>
      <c r="E2197" t="s">
        <v>21</v>
      </c>
      <c r="F2197" t="s">
        <v>40</v>
      </c>
      <c r="G2197" t="s">
        <v>164</v>
      </c>
      <c r="H2197" t="s">
        <v>202</v>
      </c>
      <c r="I2197" s="5">
        <v>0.04</v>
      </c>
      <c r="J2197">
        <f t="shared" si="102"/>
        <v>22</v>
      </c>
      <c r="K2197">
        <v>2</v>
      </c>
      <c r="L2197">
        <f t="shared" si="103"/>
        <v>20</v>
      </c>
      <c r="M2197" s="4">
        <f t="shared" si="104"/>
        <v>3.3333333333333333E-2</v>
      </c>
      <c r="N2197">
        <v>600</v>
      </c>
      <c r="O2197">
        <v>550</v>
      </c>
      <c r="P2197" t="s">
        <v>25</v>
      </c>
      <c r="Q2197" t="s">
        <v>26</v>
      </c>
      <c r="R2197" t="str">
        <f>IF(COUNTIF(Sheet2!B:B, A2197) &gt; 0, "Yes", "No")</f>
        <v>Yes</v>
      </c>
    </row>
    <row r="2198" spans="1:18" x14ac:dyDescent="0.25">
      <c r="A2198" s="3">
        <v>45443</v>
      </c>
      <c r="B2198" t="s">
        <v>142</v>
      </c>
      <c r="C2198" t="s">
        <v>79</v>
      </c>
      <c r="D2198" t="s">
        <v>20</v>
      </c>
      <c r="E2198" t="s">
        <v>21</v>
      </c>
      <c r="F2198" t="s">
        <v>43</v>
      </c>
      <c r="G2198" t="s">
        <v>90</v>
      </c>
      <c r="H2198" t="s">
        <v>582</v>
      </c>
      <c r="I2198" s="5">
        <v>7.0000000000000007E-2</v>
      </c>
      <c r="J2198">
        <f t="shared" si="102"/>
        <v>38.500000000000007</v>
      </c>
      <c r="K2198">
        <v>2</v>
      </c>
      <c r="L2198">
        <f t="shared" si="103"/>
        <v>36.500000000000007</v>
      </c>
      <c r="M2198" s="4">
        <f t="shared" si="104"/>
        <v>6.0833333333333343E-2</v>
      </c>
      <c r="N2198">
        <v>600</v>
      </c>
      <c r="O2198">
        <v>550</v>
      </c>
      <c r="P2198" t="s">
        <v>25</v>
      </c>
      <c r="Q2198" t="s">
        <v>26</v>
      </c>
      <c r="R2198" t="str">
        <f>IF(COUNTIF(Sheet2!B:B, A2198) &gt; 0, "Yes", "No")</f>
        <v>Yes</v>
      </c>
    </row>
    <row r="2199" spans="1:18" x14ac:dyDescent="0.25">
      <c r="A2199" s="3">
        <v>45443</v>
      </c>
      <c r="B2199" t="s">
        <v>142</v>
      </c>
      <c r="C2199" t="s">
        <v>79</v>
      </c>
      <c r="D2199" t="s">
        <v>20</v>
      </c>
      <c r="E2199" t="s">
        <v>21</v>
      </c>
      <c r="F2199" t="s">
        <v>46</v>
      </c>
      <c r="G2199" t="s">
        <v>169</v>
      </c>
      <c r="H2199" t="s">
        <v>366</v>
      </c>
      <c r="I2199" s="5">
        <v>5.5E-2</v>
      </c>
      <c r="J2199">
        <f t="shared" si="102"/>
        <v>30.25</v>
      </c>
      <c r="K2199">
        <v>4</v>
      </c>
      <c r="L2199">
        <f t="shared" si="103"/>
        <v>26.25</v>
      </c>
      <c r="M2199" s="4">
        <f t="shared" si="104"/>
        <v>4.3749999999999997E-2</v>
      </c>
      <c r="N2199">
        <v>600</v>
      </c>
      <c r="O2199">
        <v>550</v>
      </c>
      <c r="P2199" t="s">
        <v>25</v>
      </c>
      <c r="Q2199" t="s">
        <v>26</v>
      </c>
      <c r="R2199" t="str">
        <f>IF(COUNTIF(Sheet2!B:B, A2199) &gt; 0, "Yes", "No")</f>
        <v>Yes</v>
      </c>
    </row>
    <row r="2200" spans="1:18" x14ac:dyDescent="0.25">
      <c r="A2200" s="3">
        <v>45443</v>
      </c>
      <c r="B2200" t="s">
        <v>142</v>
      </c>
      <c r="C2200" t="s">
        <v>79</v>
      </c>
      <c r="D2200" t="s">
        <v>20</v>
      </c>
      <c r="E2200" t="s">
        <v>21</v>
      </c>
      <c r="F2200" t="s">
        <v>49</v>
      </c>
      <c r="G2200" t="s">
        <v>50</v>
      </c>
      <c r="H2200" t="s">
        <v>49</v>
      </c>
      <c r="I2200" s="5">
        <v>0.04</v>
      </c>
      <c r="J2200">
        <f t="shared" si="102"/>
        <v>22</v>
      </c>
      <c r="K2200">
        <v>1</v>
      </c>
      <c r="L2200">
        <f t="shared" si="103"/>
        <v>21</v>
      </c>
      <c r="M2200" s="4">
        <f t="shared" si="104"/>
        <v>3.5000000000000003E-2</v>
      </c>
      <c r="N2200">
        <v>600</v>
      </c>
      <c r="O2200">
        <v>550</v>
      </c>
      <c r="P2200" t="s">
        <v>25</v>
      </c>
      <c r="Q2200" t="s">
        <v>26</v>
      </c>
      <c r="R2200" t="str">
        <f>IF(COUNTIF(Sheet2!B:B, A2200) &gt; 0, "Yes", "No")</f>
        <v>Yes</v>
      </c>
    </row>
    <row r="2201" spans="1:18" x14ac:dyDescent="0.25">
      <c r="A2201" s="3">
        <v>45446</v>
      </c>
      <c r="B2201" t="s">
        <v>234</v>
      </c>
      <c r="C2201" t="s">
        <v>19</v>
      </c>
      <c r="D2201" t="s">
        <v>20</v>
      </c>
      <c r="E2201" t="s">
        <v>21</v>
      </c>
      <c r="F2201" t="s">
        <v>22</v>
      </c>
      <c r="G2201" t="s">
        <v>94</v>
      </c>
      <c r="H2201" t="s">
        <v>95</v>
      </c>
      <c r="I2201">
        <v>8.5000000000000006E-2</v>
      </c>
      <c r="J2201">
        <f t="shared" si="102"/>
        <v>56.95</v>
      </c>
      <c r="K2201">
        <v>5</v>
      </c>
      <c r="L2201">
        <f t="shared" si="103"/>
        <v>51.95</v>
      </c>
      <c r="M2201" s="4">
        <f t="shared" si="104"/>
        <v>6.9266666666666671E-2</v>
      </c>
      <c r="N2201">
        <v>750</v>
      </c>
      <c r="O2201">
        <v>670</v>
      </c>
      <c r="P2201" t="s">
        <v>25</v>
      </c>
      <c r="Q2201" t="s">
        <v>26</v>
      </c>
      <c r="R2201" t="str">
        <f>IF(COUNTIF(Sheet2!B:B, A2201) &gt; 0, "Yes", "No")</f>
        <v>No</v>
      </c>
    </row>
    <row r="2202" spans="1:18" x14ac:dyDescent="0.25">
      <c r="A2202" s="3">
        <v>45446</v>
      </c>
      <c r="B2202" t="s">
        <v>234</v>
      </c>
      <c r="C2202" t="s">
        <v>19</v>
      </c>
      <c r="D2202" t="s">
        <v>20</v>
      </c>
      <c r="E2202" t="s">
        <v>21</v>
      </c>
      <c r="F2202" t="s">
        <v>27</v>
      </c>
      <c r="G2202" t="s">
        <v>235</v>
      </c>
      <c r="H2202" t="s">
        <v>583</v>
      </c>
      <c r="I2202">
        <v>0.12</v>
      </c>
      <c r="J2202">
        <f t="shared" si="102"/>
        <v>80.399999999999991</v>
      </c>
      <c r="K2202">
        <v>4</v>
      </c>
      <c r="L2202">
        <f t="shared" si="103"/>
        <v>76.399999999999991</v>
      </c>
      <c r="M2202" s="4">
        <f t="shared" si="104"/>
        <v>0.10186666666666666</v>
      </c>
      <c r="N2202">
        <v>750</v>
      </c>
      <c r="O2202">
        <v>670</v>
      </c>
      <c r="P2202" t="s">
        <v>25</v>
      </c>
      <c r="Q2202" t="s">
        <v>26</v>
      </c>
      <c r="R2202" t="str">
        <f>IF(COUNTIF(Sheet2!B:B, A2202) &gt; 0, "Yes", "No")</f>
        <v>No</v>
      </c>
    </row>
    <row r="2203" spans="1:18" x14ac:dyDescent="0.25">
      <c r="A2203" s="3">
        <v>45446</v>
      </c>
      <c r="B2203" t="s">
        <v>234</v>
      </c>
      <c r="C2203" t="s">
        <v>19</v>
      </c>
      <c r="D2203" t="s">
        <v>20</v>
      </c>
      <c r="E2203" t="s">
        <v>21</v>
      </c>
      <c r="F2203" t="s">
        <v>30</v>
      </c>
      <c r="G2203" t="s">
        <v>55</v>
      </c>
      <c r="H2203" t="s">
        <v>183</v>
      </c>
      <c r="I2203">
        <v>0.09</v>
      </c>
      <c r="J2203">
        <f t="shared" si="102"/>
        <v>60.3</v>
      </c>
      <c r="K2203">
        <v>2</v>
      </c>
      <c r="L2203">
        <f t="shared" si="103"/>
        <v>58.3</v>
      </c>
      <c r="M2203" s="4">
        <f t="shared" si="104"/>
        <v>7.7733333333333335E-2</v>
      </c>
      <c r="N2203">
        <v>750</v>
      </c>
      <c r="O2203">
        <v>670</v>
      </c>
      <c r="P2203" t="s">
        <v>25</v>
      </c>
      <c r="Q2203" t="s">
        <v>26</v>
      </c>
      <c r="R2203" t="str">
        <f>IF(COUNTIF(Sheet2!B:B, A2203) &gt; 0, "Yes", "No")</f>
        <v>No</v>
      </c>
    </row>
    <row r="2204" spans="1:18" x14ac:dyDescent="0.25">
      <c r="A2204" s="3">
        <v>45446</v>
      </c>
      <c r="B2204" t="s">
        <v>234</v>
      </c>
      <c r="C2204" t="s">
        <v>19</v>
      </c>
      <c r="D2204" t="s">
        <v>33</v>
      </c>
      <c r="E2204" t="s">
        <v>21</v>
      </c>
      <c r="F2204" t="s">
        <v>34</v>
      </c>
      <c r="G2204" t="s">
        <v>57</v>
      </c>
      <c r="H2204" t="s">
        <v>584</v>
      </c>
      <c r="I2204">
        <v>0.15</v>
      </c>
      <c r="J2204">
        <f t="shared" si="102"/>
        <v>60</v>
      </c>
      <c r="K2204">
        <v>1</v>
      </c>
      <c r="L2204">
        <f t="shared" si="103"/>
        <v>59</v>
      </c>
      <c r="M2204" s="4">
        <f t="shared" si="104"/>
        <v>0.11238095238095239</v>
      </c>
      <c r="N2204">
        <v>525</v>
      </c>
      <c r="O2204">
        <v>400</v>
      </c>
      <c r="P2204" t="s">
        <v>25</v>
      </c>
      <c r="Q2204" t="s">
        <v>26</v>
      </c>
      <c r="R2204" t="str">
        <f>IF(COUNTIF(Sheet2!B:B, A2204) &gt; 0, "Yes", "No")</f>
        <v>No</v>
      </c>
    </row>
    <row r="2205" spans="1:18" x14ac:dyDescent="0.25">
      <c r="A2205" s="3">
        <v>45446</v>
      </c>
      <c r="B2205" t="s">
        <v>234</v>
      </c>
      <c r="C2205" t="s">
        <v>19</v>
      </c>
      <c r="D2205" t="s">
        <v>20</v>
      </c>
      <c r="E2205" t="s">
        <v>21</v>
      </c>
      <c r="F2205" t="s">
        <v>37</v>
      </c>
      <c r="G2205" t="s">
        <v>38</v>
      </c>
      <c r="H2205" t="s">
        <v>39</v>
      </c>
      <c r="I2205">
        <v>0.03</v>
      </c>
      <c r="J2205">
        <f t="shared" si="102"/>
        <v>20.099999999999998</v>
      </c>
      <c r="K2205">
        <v>1.5</v>
      </c>
      <c r="L2205">
        <f t="shared" si="103"/>
        <v>18.599999999999998</v>
      </c>
      <c r="M2205" s="4">
        <f t="shared" si="104"/>
        <v>2.4799999999999996E-2</v>
      </c>
      <c r="N2205">
        <v>750</v>
      </c>
      <c r="O2205">
        <v>670</v>
      </c>
      <c r="P2205" t="s">
        <v>25</v>
      </c>
      <c r="Q2205" t="s">
        <v>26</v>
      </c>
      <c r="R2205" t="str">
        <f>IF(COUNTIF(Sheet2!B:B, A2205) &gt; 0, "Yes", "No")</f>
        <v>No</v>
      </c>
    </row>
    <row r="2206" spans="1:18" x14ac:dyDescent="0.25">
      <c r="A2206" s="3">
        <v>45446</v>
      </c>
      <c r="B2206" t="s">
        <v>234</v>
      </c>
      <c r="C2206" t="s">
        <v>19</v>
      </c>
      <c r="D2206" t="s">
        <v>20</v>
      </c>
      <c r="E2206" t="s">
        <v>21</v>
      </c>
      <c r="F2206" t="s">
        <v>40</v>
      </c>
      <c r="G2206" t="s">
        <v>61</v>
      </c>
      <c r="H2206" t="s">
        <v>62</v>
      </c>
      <c r="I2206">
        <v>4.4999999999999998E-2</v>
      </c>
      <c r="J2206">
        <f t="shared" si="102"/>
        <v>30.15</v>
      </c>
      <c r="K2206">
        <v>3</v>
      </c>
      <c r="L2206">
        <f t="shared" si="103"/>
        <v>27.15</v>
      </c>
      <c r="M2206" s="4">
        <f t="shared" si="104"/>
        <v>3.6199999999999996E-2</v>
      </c>
      <c r="N2206">
        <v>750</v>
      </c>
      <c r="O2206">
        <v>670</v>
      </c>
      <c r="P2206" t="s">
        <v>25</v>
      </c>
      <c r="Q2206" t="s">
        <v>26</v>
      </c>
      <c r="R2206" t="str">
        <f>IF(COUNTIF(Sheet2!B:B, A2206) &gt; 0, "Yes", "No")</f>
        <v>No</v>
      </c>
    </row>
    <row r="2207" spans="1:18" x14ac:dyDescent="0.25">
      <c r="A2207" s="3">
        <v>45446</v>
      </c>
      <c r="B2207" t="s">
        <v>234</v>
      </c>
      <c r="C2207" t="s">
        <v>19</v>
      </c>
      <c r="D2207" t="s">
        <v>20</v>
      </c>
      <c r="E2207" t="s">
        <v>21</v>
      </c>
      <c r="F2207" t="s">
        <v>43</v>
      </c>
      <c r="G2207" t="s">
        <v>159</v>
      </c>
      <c r="H2207" t="s">
        <v>585</v>
      </c>
      <c r="I2207">
        <v>0.11</v>
      </c>
      <c r="J2207">
        <f t="shared" si="102"/>
        <v>73.7</v>
      </c>
      <c r="K2207">
        <v>2</v>
      </c>
      <c r="L2207">
        <f t="shared" si="103"/>
        <v>71.7</v>
      </c>
      <c r="M2207" s="4">
        <f t="shared" si="104"/>
        <v>9.5600000000000004E-2</v>
      </c>
      <c r="N2207">
        <v>750</v>
      </c>
      <c r="O2207">
        <v>670</v>
      </c>
      <c r="P2207" t="s">
        <v>25</v>
      </c>
      <c r="Q2207" t="s">
        <v>26</v>
      </c>
      <c r="R2207" t="str">
        <f>IF(COUNTIF(Sheet2!B:B, A2207) &gt; 0, "Yes", "No")</f>
        <v>No</v>
      </c>
    </row>
    <row r="2208" spans="1:18" x14ac:dyDescent="0.25">
      <c r="A2208" s="3">
        <v>45446</v>
      </c>
      <c r="B2208" t="s">
        <v>234</v>
      </c>
      <c r="C2208" t="s">
        <v>19</v>
      </c>
      <c r="D2208" t="s">
        <v>20</v>
      </c>
      <c r="E2208" t="s">
        <v>21</v>
      </c>
      <c r="F2208" t="s">
        <v>46</v>
      </c>
      <c r="G2208" t="s">
        <v>92</v>
      </c>
      <c r="H2208" t="s">
        <v>586</v>
      </c>
      <c r="I2208">
        <v>8.5000000000000006E-2</v>
      </c>
      <c r="J2208">
        <f t="shared" si="102"/>
        <v>56.95</v>
      </c>
      <c r="K2208">
        <v>3</v>
      </c>
      <c r="L2208">
        <f t="shared" si="103"/>
        <v>53.95</v>
      </c>
      <c r="M2208" s="4">
        <f t="shared" si="104"/>
        <v>7.1933333333333335E-2</v>
      </c>
      <c r="N2208">
        <v>750</v>
      </c>
      <c r="O2208">
        <v>670</v>
      </c>
      <c r="P2208" t="s">
        <v>25</v>
      </c>
      <c r="Q2208" t="s">
        <v>26</v>
      </c>
      <c r="R2208" t="str">
        <f>IF(COUNTIF(Sheet2!B:B, A2208) &gt; 0, "Yes", "No")</f>
        <v>No</v>
      </c>
    </row>
    <row r="2209" spans="1:18" x14ac:dyDescent="0.25">
      <c r="A2209" s="3">
        <v>45446</v>
      </c>
      <c r="B2209" t="s">
        <v>234</v>
      </c>
      <c r="C2209" t="s">
        <v>19</v>
      </c>
      <c r="D2209" t="s">
        <v>20</v>
      </c>
      <c r="E2209" t="s">
        <v>21</v>
      </c>
      <c r="F2209" t="s">
        <v>49</v>
      </c>
      <c r="G2209" t="s">
        <v>50</v>
      </c>
      <c r="H2209" t="s">
        <v>49</v>
      </c>
      <c r="I2209">
        <v>0.09</v>
      </c>
      <c r="J2209">
        <f t="shared" si="102"/>
        <v>60.3</v>
      </c>
      <c r="K2209">
        <v>0.5</v>
      </c>
      <c r="L2209">
        <f t="shared" si="103"/>
        <v>59.8</v>
      </c>
      <c r="M2209" s="4">
        <f t="shared" si="104"/>
        <v>7.9733333333333323E-2</v>
      </c>
      <c r="N2209">
        <v>750</v>
      </c>
      <c r="O2209">
        <v>670</v>
      </c>
      <c r="P2209" t="s">
        <v>25</v>
      </c>
      <c r="Q2209" t="s">
        <v>26</v>
      </c>
      <c r="R2209" t="str">
        <f>IF(COUNTIF(Sheet2!B:B, A2209) &gt; 0, "Yes", "No")</f>
        <v>No</v>
      </c>
    </row>
    <row r="2210" spans="1:18" x14ac:dyDescent="0.25">
      <c r="A2210" s="3">
        <v>45447</v>
      </c>
      <c r="B2210" t="s">
        <v>234</v>
      </c>
      <c r="C2210" t="s">
        <v>105</v>
      </c>
      <c r="D2210" t="s">
        <v>20</v>
      </c>
      <c r="E2210" t="s">
        <v>67</v>
      </c>
      <c r="F2210" t="s">
        <v>22</v>
      </c>
      <c r="G2210" t="s">
        <v>52</v>
      </c>
      <c r="H2210" t="s">
        <v>370</v>
      </c>
      <c r="I2210">
        <v>8.5000000000000006E-2</v>
      </c>
      <c r="J2210">
        <f t="shared" si="102"/>
        <v>55.250000000000007</v>
      </c>
      <c r="K2210">
        <v>0</v>
      </c>
      <c r="L2210">
        <f t="shared" si="103"/>
        <v>55.250000000000007</v>
      </c>
      <c r="M2210" s="4">
        <f t="shared" si="104"/>
        <v>7.8928571428571445E-2</v>
      </c>
      <c r="N2210">
        <v>700</v>
      </c>
      <c r="O2210">
        <v>650</v>
      </c>
      <c r="P2210" t="s">
        <v>25</v>
      </c>
      <c r="Q2210" t="s">
        <v>26</v>
      </c>
      <c r="R2210" t="str">
        <f>IF(COUNTIF(Sheet2!B:B, A2210) &gt; 0, "Yes", "No")</f>
        <v>No</v>
      </c>
    </row>
    <row r="2211" spans="1:18" x14ac:dyDescent="0.25">
      <c r="A2211" s="3">
        <v>45447</v>
      </c>
      <c r="B2211" t="s">
        <v>234</v>
      </c>
      <c r="C2211" t="s">
        <v>105</v>
      </c>
      <c r="D2211" t="s">
        <v>20</v>
      </c>
      <c r="E2211" t="s">
        <v>67</v>
      </c>
      <c r="F2211" t="s">
        <v>27</v>
      </c>
      <c r="G2211" t="s">
        <v>304</v>
      </c>
      <c r="H2211" t="s">
        <v>587</v>
      </c>
      <c r="I2211">
        <v>0.12</v>
      </c>
      <c r="J2211">
        <f t="shared" si="102"/>
        <v>78</v>
      </c>
      <c r="K2211">
        <v>3</v>
      </c>
      <c r="L2211">
        <f t="shared" si="103"/>
        <v>75</v>
      </c>
      <c r="M2211" s="4">
        <f t="shared" si="104"/>
        <v>0.10714285714285714</v>
      </c>
      <c r="N2211">
        <v>700</v>
      </c>
      <c r="O2211">
        <v>650</v>
      </c>
      <c r="P2211" t="s">
        <v>25</v>
      </c>
      <c r="Q2211" t="s">
        <v>26</v>
      </c>
      <c r="R2211" t="str">
        <f>IF(COUNTIF(Sheet2!B:B, A2211) &gt; 0, "Yes", "No")</f>
        <v>No</v>
      </c>
    </row>
    <row r="2212" spans="1:18" x14ac:dyDescent="0.25">
      <c r="A2212" s="3">
        <v>45447</v>
      </c>
      <c r="B2212" t="s">
        <v>234</v>
      </c>
      <c r="C2212" t="s">
        <v>105</v>
      </c>
      <c r="D2212" t="s">
        <v>20</v>
      </c>
      <c r="E2212" t="s">
        <v>67</v>
      </c>
      <c r="F2212" t="s">
        <v>30</v>
      </c>
      <c r="G2212" t="s">
        <v>55</v>
      </c>
      <c r="H2212" t="s">
        <v>125</v>
      </c>
      <c r="I2212">
        <v>0.09</v>
      </c>
      <c r="J2212">
        <f t="shared" si="102"/>
        <v>58.5</v>
      </c>
      <c r="K2212">
        <v>1</v>
      </c>
      <c r="L2212">
        <f t="shared" si="103"/>
        <v>57.5</v>
      </c>
      <c r="M2212" s="4">
        <f t="shared" si="104"/>
        <v>8.2142857142857142E-2</v>
      </c>
      <c r="N2212">
        <v>700</v>
      </c>
      <c r="O2212">
        <v>650</v>
      </c>
      <c r="P2212" t="s">
        <v>25</v>
      </c>
      <c r="Q2212" t="s">
        <v>26</v>
      </c>
      <c r="R2212" t="str">
        <f>IF(COUNTIF(Sheet2!B:B, A2212) &gt; 0, "Yes", "No")</f>
        <v>No</v>
      </c>
    </row>
    <row r="2213" spans="1:18" x14ac:dyDescent="0.25">
      <c r="A2213" s="3">
        <v>45447</v>
      </c>
      <c r="B2213" t="s">
        <v>234</v>
      </c>
      <c r="C2213" t="s">
        <v>105</v>
      </c>
      <c r="D2213" t="s">
        <v>20</v>
      </c>
      <c r="E2213" t="s">
        <v>67</v>
      </c>
      <c r="F2213" t="s">
        <v>37</v>
      </c>
      <c r="G2213" t="s">
        <v>87</v>
      </c>
      <c r="H2213" t="s">
        <v>88</v>
      </c>
      <c r="I2213">
        <v>3.5000000000000003E-2</v>
      </c>
      <c r="J2213">
        <f t="shared" si="102"/>
        <v>22.750000000000004</v>
      </c>
      <c r="K2213">
        <v>2</v>
      </c>
      <c r="L2213">
        <f t="shared" si="103"/>
        <v>20.750000000000004</v>
      </c>
      <c r="M2213" s="4">
        <f t="shared" si="104"/>
        <v>2.9642857142857148E-2</v>
      </c>
      <c r="N2213">
        <v>700</v>
      </c>
      <c r="O2213">
        <v>650</v>
      </c>
      <c r="P2213" t="s">
        <v>25</v>
      </c>
      <c r="Q2213" t="s">
        <v>26</v>
      </c>
      <c r="R2213" t="str">
        <f>IF(COUNTIF(Sheet2!B:B, A2213) &gt; 0, "Yes", "No")</f>
        <v>No</v>
      </c>
    </row>
    <row r="2214" spans="1:18" x14ac:dyDescent="0.25">
      <c r="A2214" s="3">
        <v>45447</v>
      </c>
      <c r="B2214" t="s">
        <v>234</v>
      </c>
      <c r="C2214" t="s">
        <v>105</v>
      </c>
      <c r="D2214" t="s">
        <v>20</v>
      </c>
      <c r="E2214" t="s">
        <v>67</v>
      </c>
      <c r="F2214" t="s">
        <v>40</v>
      </c>
      <c r="G2214" t="s">
        <v>61</v>
      </c>
      <c r="H2214" t="s">
        <v>62</v>
      </c>
      <c r="I2214">
        <v>0.05</v>
      </c>
      <c r="J2214">
        <f t="shared" si="102"/>
        <v>32.5</v>
      </c>
      <c r="K2214">
        <v>3</v>
      </c>
      <c r="L2214">
        <f t="shared" si="103"/>
        <v>29.5</v>
      </c>
      <c r="M2214" s="4">
        <f t="shared" si="104"/>
        <v>4.2142857142857142E-2</v>
      </c>
      <c r="N2214">
        <v>700</v>
      </c>
      <c r="O2214">
        <v>650</v>
      </c>
      <c r="P2214" t="s">
        <v>25</v>
      </c>
      <c r="Q2214" t="s">
        <v>26</v>
      </c>
      <c r="R2214" t="str">
        <f>IF(COUNTIF(Sheet2!B:B, A2214) &gt; 0, "Yes", "No")</f>
        <v>No</v>
      </c>
    </row>
    <row r="2215" spans="1:18" x14ac:dyDescent="0.25">
      <c r="A2215" s="3">
        <v>45447</v>
      </c>
      <c r="B2215" t="s">
        <v>234</v>
      </c>
      <c r="C2215" t="s">
        <v>105</v>
      </c>
      <c r="D2215" t="s">
        <v>20</v>
      </c>
      <c r="E2215" t="s">
        <v>67</v>
      </c>
      <c r="F2215" t="s">
        <v>43</v>
      </c>
      <c r="G2215" t="s">
        <v>90</v>
      </c>
      <c r="H2215" t="s">
        <v>174</v>
      </c>
      <c r="I2215">
        <v>0.11</v>
      </c>
      <c r="J2215">
        <f t="shared" si="102"/>
        <v>71.5</v>
      </c>
      <c r="K2215">
        <v>2</v>
      </c>
      <c r="L2215">
        <f t="shared" si="103"/>
        <v>69.5</v>
      </c>
      <c r="M2215" s="4">
        <f t="shared" si="104"/>
        <v>9.9285714285714283E-2</v>
      </c>
      <c r="N2215">
        <v>700</v>
      </c>
      <c r="O2215">
        <v>650</v>
      </c>
      <c r="P2215" t="s">
        <v>25</v>
      </c>
      <c r="Q2215" t="s">
        <v>26</v>
      </c>
      <c r="R2215" t="str">
        <f>IF(COUNTIF(Sheet2!B:B, A2215) &gt; 0, "Yes", "No")</f>
        <v>No</v>
      </c>
    </row>
    <row r="2216" spans="1:18" x14ac:dyDescent="0.25">
      <c r="A2216" s="3">
        <v>45447</v>
      </c>
      <c r="B2216" t="s">
        <v>234</v>
      </c>
      <c r="C2216" t="s">
        <v>105</v>
      </c>
      <c r="D2216" t="s">
        <v>20</v>
      </c>
      <c r="E2216" t="s">
        <v>67</v>
      </c>
      <c r="F2216" t="s">
        <v>46</v>
      </c>
      <c r="G2216" t="s">
        <v>47</v>
      </c>
      <c r="H2216" t="s">
        <v>588</v>
      </c>
      <c r="I2216">
        <v>8.5000000000000006E-2</v>
      </c>
      <c r="J2216">
        <f t="shared" si="102"/>
        <v>55.250000000000007</v>
      </c>
      <c r="K2216">
        <v>2.5</v>
      </c>
      <c r="L2216">
        <f t="shared" si="103"/>
        <v>52.750000000000007</v>
      </c>
      <c r="M2216" s="4">
        <f t="shared" si="104"/>
        <v>7.5357142857142873E-2</v>
      </c>
      <c r="N2216">
        <v>700</v>
      </c>
      <c r="O2216">
        <v>650</v>
      </c>
      <c r="P2216" t="s">
        <v>25</v>
      </c>
      <c r="Q2216" t="s">
        <v>26</v>
      </c>
      <c r="R2216" t="str">
        <f>IF(COUNTIF(Sheet2!B:B, A2216) &gt; 0, "Yes", "No")</f>
        <v>No</v>
      </c>
    </row>
    <row r="2217" spans="1:18" x14ac:dyDescent="0.25">
      <c r="A2217" s="3">
        <v>45447</v>
      </c>
      <c r="B2217" t="s">
        <v>234</v>
      </c>
      <c r="C2217" t="s">
        <v>105</v>
      </c>
      <c r="D2217" t="s">
        <v>20</v>
      </c>
      <c r="E2217" t="s">
        <v>67</v>
      </c>
      <c r="F2217" t="s">
        <v>49</v>
      </c>
      <c r="G2217" t="s">
        <v>50</v>
      </c>
      <c r="H2217" t="s">
        <v>49</v>
      </c>
      <c r="I2217">
        <v>0.09</v>
      </c>
      <c r="J2217">
        <f t="shared" si="102"/>
        <v>58.5</v>
      </c>
      <c r="K2217">
        <v>2</v>
      </c>
      <c r="L2217">
        <f t="shared" si="103"/>
        <v>56.5</v>
      </c>
      <c r="M2217" s="4">
        <f t="shared" si="104"/>
        <v>8.0714285714285711E-2</v>
      </c>
      <c r="N2217">
        <v>700</v>
      </c>
      <c r="O2217">
        <v>650</v>
      </c>
      <c r="P2217" t="s">
        <v>25</v>
      </c>
      <c r="Q2217" t="s">
        <v>26</v>
      </c>
      <c r="R2217" t="str">
        <f>IF(COUNTIF(Sheet2!B:B, A2217) &gt; 0, "Yes", "No")</f>
        <v>No</v>
      </c>
    </row>
    <row r="2218" spans="1:18" x14ac:dyDescent="0.25">
      <c r="A2218" s="3">
        <v>45448</v>
      </c>
      <c r="B2218" t="s">
        <v>234</v>
      </c>
      <c r="C2218" t="s">
        <v>51</v>
      </c>
      <c r="D2218" t="s">
        <v>20</v>
      </c>
      <c r="E2218" t="s">
        <v>21</v>
      </c>
      <c r="F2218" t="s">
        <v>22</v>
      </c>
      <c r="G2218" t="s">
        <v>122</v>
      </c>
      <c r="H2218" t="s">
        <v>260</v>
      </c>
      <c r="I2218">
        <v>8.5000000000000006E-2</v>
      </c>
      <c r="J2218">
        <f t="shared" si="102"/>
        <v>56.95</v>
      </c>
      <c r="K2218">
        <v>3</v>
      </c>
      <c r="L2218">
        <f t="shared" si="103"/>
        <v>53.95</v>
      </c>
      <c r="M2218" s="4">
        <f t="shared" si="104"/>
        <v>7.1933333333333335E-2</v>
      </c>
      <c r="N2218">
        <v>750</v>
      </c>
      <c r="O2218">
        <v>670</v>
      </c>
      <c r="P2218" t="s">
        <v>25</v>
      </c>
      <c r="Q2218" t="s">
        <v>26</v>
      </c>
      <c r="R2218" t="str">
        <f>IF(COUNTIF(Sheet2!B:B, A2218) &gt; 0, "Yes", "No")</f>
        <v>No</v>
      </c>
    </row>
    <row r="2219" spans="1:18" x14ac:dyDescent="0.25">
      <c r="A2219" s="3">
        <v>45448</v>
      </c>
      <c r="B2219" t="s">
        <v>234</v>
      </c>
      <c r="C2219" t="s">
        <v>51</v>
      </c>
      <c r="D2219" t="s">
        <v>20</v>
      </c>
      <c r="E2219" t="s">
        <v>21</v>
      </c>
      <c r="F2219" t="s">
        <v>27</v>
      </c>
      <c r="G2219" t="s">
        <v>541</v>
      </c>
      <c r="H2219" t="s">
        <v>541</v>
      </c>
      <c r="I2219">
        <v>0.12</v>
      </c>
      <c r="J2219">
        <f t="shared" si="102"/>
        <v>80.399999999999991</v>
      </c>
      <c r="K2219">
        <v>0</v>
      </c>
      <c r="L2219">
        <f t="shared" si="103"/>
        <v>80.399999999999991</v>
      </c>
      <c r="M2219" s="4">
        <f t="shared" si="104"/>
        <v>0.10719999999999999</v>
      </c>
      <c r="N2219">
        <v>750</v>
      </c>
      <c r="O2219">
        <v>670</v>
      </c>
      <c r="P2219" t="s">
        <v>25</v>
      </c>
      <c r="Q2219" t="s">
        <v>26</v>
      </c>
      <c r="R2219" t="str">
        <f>IF(COUNTIF(Sheet2!B:B, A2219) &gt; 0, "Yes", "No")</f>
        <v>No</v>
      </c>
    </row>
    <row r="2220" spans="1:18" x14ac:dyDescent="0.25">
      <c r="A2220" s="3">
        <v>45448</v>
      </c>
      <c r="B2220" t="s">
        <v>234</v>
      </c>
      <c r="C2220" t="s">
        <v>51</v>
      </c>
      <c r="D2220" t="s">
        <v>20</v>
      </c>
      <c r="E2220" t="s">
        <v>21</v>
      </c>
      <c r="F2220" t="s">
        <v>30</v>
      </c>
      <c r="G2220" t="s">
        <v>31</v>
      </c>
      <c r="H2220" t="s">
        <v>31</v>
      </c>
      <c r="I2220">
        <v>0.09</v>
      </c>
      <c r="J2220">
        <f t="shared" si="102"/>
        <v>60.3</v>
      </c>
      <c r="K2220">
        <v>1</v>
      </c>
      <c r="L2220">
        <f t="shared" si="103"/>
        <v>59.3</v>
      </c>
      <c r="M2220" s="4">
        <f t="shared" si="104"/>
        <v>7.906666666666666E-2</v>
      </c>
      <c r="N2220">
        <v>750</v>
      </c>
      <c r="O2220">
        <v>670</v>
      </c>
      <c r="P2220" t="s">
        <v>25</v>
      </c>
      <c r="Q2220" t="s">
        <v>26</v>
      </c>
      <c r="R2220" t="str">
        <f>IF(COUNTIF(Sheet2!B:B, A2220) &gt; 0, "Yes", "No")</f>
        <v>No</v>
      </c>
    </row>
    <row r="2221" spans="1:18" x14ac:dyDescent="0.25">
      <c r="A2221" s="3">
        <v>45448</v>
      </c>
      <c r="B2221" t="s">
        <v>234</v>
      </c>
      <c r="C2221" t="s">
        <v>51</v>
      </c>
      <c r="D2221" t="s">
        <v>33</v>
      </c>
      <c r="E2221" t="s">
        <v>21</v>
      </c>
      <c r="F2221" t="s">
        <v>34</v>
      </c>
      <c r="G2221" t="s">
        <v>57</v>
      </c>
      <c r="H2221" t="s">
        <v>589</v>
      </c>
      <c r="I2221">
        <v>0.15</v>
      </c>
      <c r="J2221">
        <f t="shared" si="102"/>
        <v>67.5</v>
      </c>
      <c r="K2221">
        <v>0</v>
      </c>
      <c r="L2221">
        <f t="shared" si="103"/>
        <v>67.5</v>
      </c>
      <c r="M2221" s="4">
        <f t="shared" si="104"/>
        <v>0.12857142857142856</v>
      </c>
      <c r="N2221">
        <v>525</v>
      </c>
      <c r="O2221">
        <v>450</v>
      </c>
      <c r="P2221" t="s">
        <v>25</v>
      </c>
      <c r="Q2221" t="s">
        <v>26</v>
      </c>
      <c r="R2221" t="str">
        <f>IF(COUNTIF(Sheet2!B:B, A2221) &gt; 0, "Yes", "No")</f>
        <v>No</v>
      </c>
    </row>
    <row r="2222" spans="1:18" x14ac:dyDescent="0.25">
      <c r="A2222" s="3">
        <v>45448</v>
      </c>
      <c r="B2222" t="s">
        <v>234</v>
      </c>
      <c r="C2222" t="s">
        <v>51</v>
      </c>
      <c r="D2222" t="s">
        <v>20</v>
      </c>
      <c r="E2222" t="s">
        <v>21</v>
      </c>
      <c r="F2222" t="s">
        <v>37</v>
      </c>
      <c r="G2222" t="s">
        <v>87</v>
      </c>
      <c r="H2222" t="s">
        <v>99</v>
      </c>
      <c r="I2222">
        <v>0.03</v>
      </c>
      <c r="J2222">
        <f t="shared" si="102"/>
        <v>20.099999999999998</v>
      </c>
      <c r="K2222">
        <v>2</v>
      </c>
      <c r="L2222">
        <f t="shared" si="103"/>
        <v>18.099999999999998</v>
      </c>
      <c r="M2222" s="4">
        <f t="shared" si="104"/>
        <v>2.413333333333333E-2</v>
      </c>
      <c r="N2222">
        <v>750</v>
      </c>
      <c r="O2222">
        <v>670</v>
      </c>
      <c r="P2222" t="s">
        <v>25</v>
      </c>
      <c r="Q2222" t="s">
        <v>26</v>
      </c>
      <c r="R2222" t="str">
        <f>IF(COUNTIF(Sheet2!B:B, A2222) &gt; 0, "Yes", "No")</f>
        <v>No</v>
      </c>
    </row>
    <row r="2223" spans="1:18" x14ac:dyDescent="0.25">
      <c r="A2223" s="3">
        <v>45448</v>
      </c>
      <c r="B2223" t="s">
        <v>234</v>
      </c>
      <c r="C2223" t="s">
        <v>51</v>
      </c>
      <c r="D2223" t="s">
        <v>20</v>
      </c>
      <c r="E2223" t="s">
        <v>21</v>
      </c>
      <c r="F2223" t="s">
        <v>40</v>
      </c>
      <c r="G2223" t="s">
        <v>364</v>
      </c>
      <c r="H2223" t="s">
        <v>391</v>
      </c>
      <c r="I2223">
        <v>4.4999999999999998E-2</v>
      </c>
      <c r="J2223">
        <f t="shared" si="102"/>
        <v>30.15</v>
      </c>
      <c r="K2223">
        <v>3</v>
      </c>
      <c r="L2223">
        <f t="shared" si="103"/>
        <v>27.15</v>
      </c>
      <c r="M2223" s="4">
        <f t="shared" si="104"/>
        <v>3.6199999999999996E-2</v>
      </c>
      <c r="N2223">
        <v>750</v>
      </c>
      <c r="O2223">
        <v>670</v>
      </c>
      <c r="P2223" t="s">
        <v>25</v>
      </c>
      <c r="Q2223" t="s">
        <v>26</v>
      </c>
      <c r="R2223" t="str">
        <f>IF(COUNTIF(Sheet2!B:B, A2223) &gt; 0, "Yes", "No")</f>
        <v>No</v>
      </c>
    </row>
    <row r="2224" spans="1:18" x14ac:dyDescent="0.25">
      <c r="A2224" s="3">
        <v>45448</v>
      </c>
      <c r="B2224" t="s">
        <v>234</v>
      </c>
      <c r="C2224" t="s">
        <v>51</v>
      </c>
      <c r="D2224" t="s">
        <v>20</v>
      </c>
      <c r="E2224" t="s">
        <v>21</v>
      </c>
      <c r="F2224" t="s">
        <v>43</v>
      </c>
      <c r="G2224" t="s">
        <v>44</v>
      </c>
      <c r="H2224" t="s">
        <v>590</v>
      </c>
      <c r="I2224">
        <v>0.11</v>
      </c>
      <c r="J2224">
        <f t="shared" si="102"/>
        <v>73.7</v>
      </c>
      <c r="K2224">
        <v>3</v>
      </c>
      <c r="L2224">
        <f t="shared" si="103"/>
        <v>70.7</v>
      </c>
      <c r="M2224" s="4">
        <f t="shared" si="104"/>
        <v>9.4266666666666665E-2</v>
      </c>
      <c r="N2224">
        <v>750</v>
      </c>
      <c r="O2224">
        <v>670</v>
      </c>
      <c r="P2224" t="s">
        <v>25</v>
      </c>
      <c r="Q2224" t="s">
        <v>26</v>
      </c>
      <c r="R2224" t="str">
        <f>IF(COUNTIF(Sheet2!B:B, A2224) &gt; 0, "Yes", "No")</f>
        <v>No</v>
      </c>
    </row>
    <row r="2225" spans="1:18" x14ac:dyDescent="0.25">
      <c r="A2225" s="3">
        <v>45448</v>
      </c>
      <c r="B2225" t="s">
        <v>234</v>
      </c>
      <c r="C2225" t="s">
        <v>51</v>
      </c>
      <c r="D2225" t="s">
        <v>20</v>
      </c>
      <c r="E2225" t="s">
        <v>21</v>
      </c>
      <c r="F2225" t="s">
        <v>46</v>
      </c>
      <c r="G2225" t="s">
        <v>47</v>
      </c>
      <c r="H2225" t="s">
        <v>403</v>
      </c>
      <c r="I2225">
        <v>8.5000000000000006E-2</v>
      </c>
      <c r="J2225">
        <f t="shared" si="102"/>
        <v>56.95</v>
      </c>
      <c r="K2225">
        <v>3</v>
      </c>
      <c r="L2225">
        <f t="shared" si="103"/>
        <v>53.95</v>
      </c>
      <c r="M2225" s="4">
        <f t="shared" si="104"/>
        <v>7.1933333333333335E-2</v>
      </c>
      <c r="N2225">
        <v>750</v>
      </c>
      <c r="O2225">
        <v>670</v>
      </c>
      <c r="P2225" t="s">
        <v>25</v>
      </c>
      <c r="Q2225" t="s">
        <v>26</v>
      </c>
      <c r="R2225" t="str">
        <f>IF(COUNTIF(Sheet2!B:B, A2225) &gt; 0, "Yes", "No")</f>
        <v>No</v>
      </c>
    </row>
    <row r="2226" spans="1:18" x14ac:dyDescent="0.25">
      <c r="A2226" s="3">
        <v>45448</v>
      </c>
      <c r="B2226" t="s">
        <v>234</v>
      </c>
      <c r="C2226" t="s">
        <v>51</v>
      </c>
      <c r="D2226" t="s">
        <v>20</v>
      </c>
      <c r="E2226" t="s">
        <v>21</v>
      </c>
      <c r="F2226" t="s">
        <v>49</v>
      </c>
      <c r="G2226" t="s">
        <v>50</v>
      </c>
      <c r="H2226" t="s">
        <v>49</v>
      </c>
      <c r="I2226">
        <v>0.09</v>
      </c>
      <c r="J2226">
        <f t="shared" si="102"/>
        <v>60.3</v>
      </c>
      <c r="K2226">
        <v>0</v>
      </c>
      <c r="L2226">
        <f t="shared" si="103"/>
        <v>60.3</v>
      </c>
      <c r="M2226" s="4">
        <f t="shared" si="104"/>
        <v>8.0399999999999999E-2</v>
      </c>
      <c r="N2226">
        <v>750</v>
      </c>
      <c r="O2226">
        <v>670</v>
      </c>
      <c r="P2226" t="s">
        <v>25</v>
      </c>
      <c r="Q2226" t="s">
        <v>26</v>
      </c>
      <c r="R2226" t="str">
        <f>IF(COUNTIF(Sheet2!B:B, A2226) &gt; 0, "Yes", "No")</f>
        <v>No</v>
      </c>
    </row>
    <row r="2227" spans="1:18" x14ac:dyDescent="0.25">
      <c r="A2227" s="3">
        <v>45449</v>
      </c>
      <c r="B2227" t="s">
        <v>234</v>
      </c>
      <c r="C2227" t="s">
        <v>66</v>
      </c>
      <c r="D2227" t="s">
        <v>20</v>
      </c>
      <c r="E2227" t="s">
        <v>67</v>
      </c>
      <c r="F2227" t="s">
        <v>22</v>
      </c>
      <c r="G2227" t="s">
        <v>94</v>
      </c>
      <c r="H2227" t="s">
        <v>591</v>
      </c>
      <c r="I2227">
        <v>8.5000000000000006E-2</v>
      </c>
      <c r="J2227">
        <f t="shared" si="102"/>
        <v>54.400000000000006</v>
      </c>
      <c r="K2227">
        <v>3</v>
      </c>
      <c r="L2227">
        <f t="shared" si="103"/>
        <v>51.400000000000006</v>
      </c>
      <c r="M2227" s="4">
        <f t="shared" si="104"/>
        <v>7.342857142857144E-2</v>
      </c>
      <c r="N2227">
        <v>700</v>
      </c>
      <c r="O2227">
        <v>640</v>
      </c>
      <c r="P2227" t="s">
        <v>25</v>
      </c>
      <c r="Q2227" t="s">
        <v>26</v>
      </c>
      <c r="R2227" t="str">
        <f>IF(COUNTIF(Sheet2!B:B, A2227) &gt; 0, "Yes", "No")</f>
        <v>No</v>
      </c>
    </row>
    <row r="2228" spans="1:18" x14ac:dyDescent="0.25">
      <c r="A2228" s="3">
        <v>45449</v>
      </c>
      <c r="B2228" t="s">
        <v>234</v>
      </c>
      <c r="C2228" t="s">
        <v>66</v>
      </c>
      <c r="D2228" t="s">
        <v>20</v>
      </c>
      <c r="E2228" t="s">
        <v>67</v>
      </c>
      <c r="F2228" t="s">
        <v>27</v>
      </c>
      <c r="G2228" t="s">
        <v>304</v>
      </c>
      <c r="H2228" t="s">
        <v>592</v>
      </c>
      <c r="I2228">
        <v>0.12</v>
      </c>
      <c r="J2228">
        <f t="shared" si="102"/>
        <v>76.8</v>
      </c>
      <c r="K2228">
        <v>3</v>
      </c>
      <c r="L2228">
        <f t="shared" si="103"/>
        <v>73.8</v>
      </c>
      <c r="M2228" s="4">
        <f t="shared" si="104"/>
        <v>0.10542857142857143</v>
      </c>
      <c r="N2228">
        <v>700</v>
      </c>
      <c r="O2228">
        <v>640</v>
      </c>
      <c r="P2228" t="s">
        <v>25</v>
      </c>
      <c r="Q2228" t="s">
        <v>26</v>
      </c>
      <c r="R2228" t="str">
        <f>IF(COUNTIF(Sheet2!B:B, A2228) &gt; 0, "Yes", "No")</f>
        <v>No</v>
      </c>
    </row>
    <row r="2229" spans="1:18" x14ac:dyDescent="0.25">
      <c r="A2229" s="3">
        <v>45449</v>
      </c>
      <c r="B2229" t="s">
        <v>234</v>
      </c>
      <c r="C2229" t="s">
        <v>66</v>
      </c>
      <c r="D2229" t="s">
        <v>20</v>
      </c>
      <c r="E2229" t="s">
        <v>67</v>
      </c>
      <c r="F2229" t="s">
        <v>30</v>
      </c>
      <c r="G2229" t="s">
        <v>55</v>
      </c>
      <c r="H2229" t="s">
        <v>134</v>
      </c>
      <c r="I2229">
        <v>0.09</v>
      </c>
      <c r="J2229">
        <f t="shared" si="102"/>
        <v>57.599999999999994</v>
      </c>
      <c r="K2229">
        <v>2</v>
      </c>
      <c r="L2229">
        <f t="shared" si="103"/>
        <v>55.599999999999994</v>
      </c>
      <c r="M2229" s="4">
        <f t="shared" si="104"/>
        <v>7.9428571428571418E-2</v>
      </c>
      <c r="N2229">
        <v>700</v>
      </c>
      <c r="O2229">
        <v>640</v>
      </c>
      <c r="P2229" t="s">
        <v>25</v>
      </c>
      <c r="Q2229" t="s">
        <v>26</v>
      </c>
      <c r="R2229" t="str">
        <f>IF(COUNTIF(Sheet2!B:B, A2229) &gt; 0, "Yes", "No")</f>
        <v>No</v>
      </c>
    </row>
    <row r="2230" spans="1:18" x14ac:dyDescent="0.25">
      <c r="A2230" s="3">
        <v>45449</v>
      </c>
      <c r="B2230" t="s">
        <v>234</v>
      </c>
      <c r="C2230" t="s">
        <v>66</v>
      </c>
      <c r="D2230" t="s">
        <v>20</v>
      </c>
      <c r="E2230" t="s">
        <v>67</v>
      </c>
      <c r="F2230" t="s">
        <v>37</v>
      </c>
      <c r="G2230" t="s">
        <v>87</v>
      </c>
      <c r="H2230" t="s">
        <v>136</v>
      </c>
      <c r="I2230">
        <v>3.5000000000000003E-2</v>
      </c>
      <c r="J2230">
        <f t="shared" si="102"/>
        <v>22.400000000000002</v>
      </c>
      <c r="K2230">
        <v>2</v>
      </c>
      <c r="L2230">
        <f t="shared" si="103"/>
        <v>20.400000000000002</v>
      </c>
      <c r="M2230" s="4">
        <f t="shared" si="104"/>
        <v>2.9142857142857147E-2</v>
      </c>
      <c r="N2230">
        <v>700</v>
      </c>
      <c r="O2230">
        <v>640</v>
      </c>
      <c r="P2230" t="s">
        <v>25</v>
      </c>
      <c r="Q2230" t="s">
        <v>26</v>
      </c>
      <c r="R2230" t="str">
        <f>IF(COUNTIF(Sheet2!B:B, A2230) &gt; 0, "Yes", "No")</f>
        <v>No</v>
      </c>
    </row>
    <row r="2231" spans="1:18" x14ac:dyDescent="0.25">
      <c r="A2231" s="3">
        <v>45449</v>
      </c>
      <c r="B2231" t="s">
        <v>234</v>
      </c>
      <c r="C2231" t="s">
        <v>66</v>
      </c>
      <c r="D2231" t="s">
        <v>20</v>
      </c>
      <c r="E2231" t="s">
        <v>67</v>
      </c>
      <c r="F2231" t="s">
        <v>40</v>
      </c>
      <c r="G2231" t="s">
        <v>137</v>
      </c>
      <c r="H2231" t="s">
        <v>567</v>
      </c>
      <c r="I2231">
        <v>0.05</v>
      </c>
      <c r="J2231">
        <f t="shared" si="102"/>
        <v>32</v>
      </c>
      <c r="K2231">
        <v>2</v>
      </c>
      <c r="L2231">
        <f t="shared" si="103"/>
        <v>30</v>
      </c>
      <c r="M2231" s="4">
        <f t="shared" si="104"/>
        <v>4.2857142857142858E-2</v>
      </c>
      <c r="N2231">
        <v>700</v>
      </c>
      <c r="O2231">
        <v>640</v>
      </c>
      <c r="P2231" t="s">
        <v>25</v>
      </c>
      <c r="Q2231" t="s">
        <v>26</v>
      </c>
      <c r="R2231" t="str">
        <f>IF(COUNTIF(Sheet2!B:B, A2231) &gt; 0, "Yes", "No")</f>
        <v>No</v>
      </c>
    </row>
    <row r="2232" spans="1:18" x14ac:dyDescent="0.25">
      <c r="A2232" s="3">
        <v>45449</v>
      </c>
      <c r="B2232" t="s">
        <v>234</v>
      </c>
      <c r="C2232" t="s">
        <v>66</v>
      </c>
      <c r="D2232" t="s">
        <v>20</v>
      </c>
      <c r="E2232" t="s">
        <v>67</v>
      </c>
      <c r="F2232" t="s">
        <v>43</v>
      </c>
      <c r="G2232" t="s">
        <v>90</v>
      </c>
      <c r="H2232" t="s">
        <v>194</v>
      </c>
      <c r="I2232">
        <v>0.11</v>
      </c>
      <c r="J2232">
        <f t="shared" si="102"/>
        <v>70.400000000000006</v>
      </c>
      <c r="K2232">
        <v>3</v>
      </c>
      <c r="L2232">
        <f t="shared" si="103"/>
        <v>67.400000000000006</v>
      </c>
      <c r="M2232" s="4">
        <f t="shared" si="104"/>
        <v>9.6285714285714294E-2</v>
      </c>
      <c r="N2232">
        <v>700</v>
      </c>
      <c r="O2232">
        <v>640</v>
      </c>
      <c r="P2232" t="s">
        <v>25</v>
      </c>
      <c r="Q2232" t="s">
        <v>26</v>
      </c>
      <c r="R2232" t="str">
        <f>IF(COUNTIF(Sheet2!B:B, A2232) &gt; 0, "Yes", "No")</f>
        <v>No</v>
      </c>
    </row>
    <row r="2233" spans="1:18" x14ac:dyDescent="0.25">
      <c r="A2233" s="3">
        <v>45449</v>
      </c>
      <c r="B2233" t="s">
        <v>234</v>
      </c>
      <c r="C2233" t="s">
        <v>66</v>
      </c>
      <c r="D2233" t="s">
        <v>20</v>
      </c>
      <c r="E2233" t="s">
        <v>67</v>
      </c>
      <c r="F2233" t="s">
        <v>46</v>
      </c>
      <c r="G2233" t="s">
        <v>130</v>
      </c>
      <c r="H2233" t="s">
        <v>593</v>
      </c>
      <c r="I2233">
        <v>8.5000000000000006E-2</v>
      </c>
      <c r="J2233">
        <f t="shared" si="102"/>
        <v>54.400000000000006</v>
      </c>
      <c r="K2233">
        <v>3</v>
      </c>
      <c r="L2233">
        <f t="shared" si="103"/>
        <v>51.400000000000006</v>
      </c>
      <c r="M2233" s="4">
        <f t="shared" si="104"/>
        <v>7.342857142857144E-2</v>
      </c>
      <c r="N2233">
        <v>700</v>
      </c>
      <c r="O2233">
        <v>640</v>
      </c>
      <c r="P2233" t="s">
        <v>25</v>
      </c>
      <c r="Q2233" t="s">
        <v>26</v>
      </c>
      <c r="R2233" t="str">
        <f>IF(COUNTIF(Sheet2!B:B, A2233) &gt; 0, "Yes", "No")</f>
        <v>No</v>
      </c>
    </row>
    <row r="2234" spans="1:18" x14ac:dyDescent="0.25">
      <c r="A2234" s="3">
        <v>45449</v>
      </c>
      <c r="B2234" t="s">
        <v>234</v>
      </c>
      <c r="C2234" t="s">
        <v>66</v>
      </c>
      <c r="D2234" t="s">
        <v>20</v>
      </c>
      <c r="E2234" t="s">
        <v>67</v>
      </c>
      <c r="F2234" t="s">
        <v>49</v>
      </c>
      <c r="G2234" t="s">
        <v>50</v>
      </c>
      <c r="H2234" t="s">
        <v>49</v>
      </c>
      <c r="I2234">
        <v>0.09</v>
      </c>
      <c r="J2234">
        <f t="shared" si="102"/>
        <v>57.599999999999994</v>
      </c>
      <c r="K2234">
        <v>3</v>
      </c>
      <c r="L2234">
        <f t="shared" si="103"/>
        <v>54.599999999999994</v>
      </c>
      <c r="M2234" s="4">
        <f t="shared" si="104"/>
        <v>7.7999999999999986E-2</v>
      </c>
      <c r="N2234">
        <v>700</v>
      </c>
      <c r="O2234">
        <v>640</v>
      </c>
      <c r="P2234" t="s">
        <v>25</v>
      </c>
      <c r="Q2234" t="s">
        <v>26</v>
      </c>
      <c r="R2234" t="str">
        <f>IF(COUNTIF(Sheet2!B:B, A2234) &gt; 0, "Yes", "No")</f>
        <v>No</v>
      </c>
    </row>
    <row r="2235" spans="1:18" x14ac:dyDescent="0.25">
      <c r="A2235" s="3">
        <v>45450</v>
      </c>
      <c r="B2235" t="s">
        <v>234</v>
      </c>
      <c r="C2235" t="s">
        <v>79</v>
      </c>
      <c r="D2235" t="s">
        <v>20</v>
      </c>
      <c r="E2235" t="s">
        <v>21</v>
      </c>
      <c r="F2235" t="s">
        <v>22</v>
      </c>
      <c r="G2235" t="s">
        <v>23</v>
      </c>
      <c r="H2235" t="s">
        <v>114</v>
      </c>
      <c r="I2235" s="5">
        <v>0.06</v>
      </c>
      <c r="J2235">
        <f t="shared" si="102"/>
        <v>36</v>
      </c>
      <c r="K2235">
        <v>2.5</v>
      </c>
      <c r="L2235">
        <f t="shared" si="103"/>
        <v>33.5</v>
      </c>
      <c r="M2235" s="4">
        <f t="shared" si="104"/>
        <v>5.153846153846154E-2</v>
      </c>
      <c r="N2235">
        <v>650</v>
      </c>
      <c r="O2235">
        <v>600</v>
      </c>
      <c r="P2235" t="s">
        <v>25</v>
      </c>
      <c r="Q2235" t="s">
        <v>26</v>
      </c>
      <c r="R2235" t="str">
        <f>IF(COUNTIF(Sheet2!B:B, A2235) &gt; 0, "Yes", "No")</f>
        <v>Yes</v>
      </c>
    </row>
    <row r="2236" spans="1:18" x14ac:dyDescent="0.25">
      <c r="A2236" s="3">
        <v>45450</v>
      </c>
      <c r="B2236" t="s">
        <v>234</v>
      </c>
      <c r="C2236" t="s">
        <v>79</v>
      </c>
      <c r="D2236" t="s">
        <v>20</v>
      </c>
      <c r="E2236" t="s">
        <v>21</v>
      </c>
      <c r="F2236" t="s">
        <v>27</v>
      </c>
      <c r="G2236" t="s">
        <v>81</v>
      </c>
      <c r="H2236" t="s">
        <v>297</v>
      </c>
      <c r="I2236" s="5">
        <v>0.1</v>
      </c>
      <c r="J2236">
        <f t="shared" si="102"/>
        <v>60</v>
      </c>
      <c r="K2236">
        <v>2</v>
      </c>
      <c r="L2236">
        <f t="shared" si="103"/>
        <v>58</v>
      </c>
      <c r="M2236" s="4">
        <f t="shared" si="104"/>
        <v>8.9230769230769225E-2</v>
      </c>
      <c r="N2236">
        <v>650</v>
      </c>
      <c r="O2236">
        <v>600</v>
      </c>
      <c r="P2236" t="s">
        <v>25</v>
      </c>
      <c r="Q2236" t="s">
        <v>26</v>
      </c>
      <c r="R2236" t="str">
        <f>IF(COUNTIF(Sheet2!B:B, A2236) &gt; 0, "Yes", "No")</f>
        <v>Yes</v>
      </c>
    </row>
    <row r="2237" spans="1:18" x14ac:dyDescent="0.25">
      <c r="A2237" s="3">
        <v>45450</v>
      </c>
      <c r="B2237" t="s">
        <v>234</v>
      </c>
      <c r="C2237" t="s">
        <v>79</v>
      </c>
      <c r="D2237" t="s">
        <v>20</v>
      </c>
      <c r="E2237" t="s">
        <v>21</v>
      </c>
      <c r="F2237" t="s">
        <v>30</v>
      </c>
      <c r="G2237" t="s">
        <v>55</v>
      </c>
      <c r="H2237" t="s">
        <v>56</v>
      </c>
      <c r="I2237" s="5">
        <v>0.06</v>
      </c>
      <c r="J2237">
        <f t="shared" si="102"/>
        <v>36</v>
      </c>
      <c r="K2237">
        <v>1</v>
      </c>
      <c r="L2237">
        <f t="shared" si="103"/>
        <v>35</v>
      </c>
      <c r="M2237" s="4">
        <f t="shared" si="104"/>
        <v>5.3846153846153849E-2</v>
      </c>
      <c r="N2237">
        <v>650</v>
      </c>
      <c r="O2237">
        <v>600</v>
      </c>
      <c r="P2237" t="s">
        <v>25</v>
      </c>
      <c r="Q2237" t="s">
        <v>26</v>
      </c>
      <c r="R2237" t="str">
        <f>IF(COUNTIF(Sheet2!B:B, A2237) &gt; 0, "Yes", "No")</f>
        <v>Yes</v>
      </c>
    </row>
    <row r="2238" spans="1:18" x14ac:dyDescent="0.25">
      <c r="A2238" s="3">
        <v>45450</v>
      </c>
      <c r="B2238" t="s">
        <v>234</v>
      </c>
      <c r="C2238" t="s">
        <v>79</v>
      </c>
      <c r="D2238" t="s">
        <v>33</v>
      </c>
      <c r="E2238" t="s">
        <v>21</v>
      </c>
      <c r="F2238" t="s">
        <v>84</v>
      </c>
      <c r="G2238" t="s">
        <v>85</v>
      </c>
      <c r="H2238" t="s">
        <v>135</v>
      </c>
      <c r="I2238" s="5">
        <v>0.3</v>
      </c>
      <c r="J2238">
        <f t="shared" si="102"/>
        <v>126</v>
      </c>
      <c r="K2238">
        <v>0</v>
      </c>
      <c r="L2238">
        <f t="shared" si="103"/>
        <v>126</v>
      </c>
      <c r="M2238" s="4">
        <f t="shared" si="104"/>
        <v>0.27692307692307694</v>
      </c>
      <c r="N2238">
        <v>455</v>
      </c>
      <c r="O2238">
        <v>420</v>
      </c>
      <c r="P2238" t="s">
        <v>25</v>
      </c>
      <c r="Q2238" t="s">
        <v>26</v>
      </c>
      <c r="R2238" t="str">
        <f>IF(COUNTIF(Sheet2!B:B, A2238) &gt; 0, "Yes", "No")</f>
        <v>Yes</v>
      </c>
    </row>
    <row r="2239" spans="1:18" x14ac:dyDescent="0.25">
      <c r="A2239" s="3">
        <v>45450</v>
      </c>
      <c r="B2239" t="s">
        <v>234</v>
      </c>
      <c r="C2239" t="s">
        <v>79</v>
      </c>
      <c r="D2239" t="s">
        <v>20</v>
      </c>
      <c r="E2239" t="s">
        <v>21</v>
      </c>
      <c r="F2239" t="s">
        <v>37</v>
      </c>
      <c r="G2239" t="s">
        <v>59</v>
      </c>
      <c r="H2239" t="s">
        <v>60</v>
      </c>
      <c r="I2239" s="5">
        <v>2.5000000000000001E-2</v>
      </c>
      <c r="J2239">
        <f t="shared" si="102"/>
        <v>15</v>
      </c>
      <c r="K2239">
        <v>1</v>
      </c>
      <c r="L2239">
        <f t="shared" si="103"/>
        <v>14</v>
      </c>
      <c r="M2239" s="4">
        <f t="shared" si="104"/>
        <v>2.1538461538461538E-2</v>
      </c>
      <c r="N2239">
        <v>650</v>
      </c>
      <c r="O2239">
        <v>600</v>
      </c>
      <c r="P2239" t="s">
        <v>25</v>
      </c>
      <c r="Q2239" t="s">
        <v>26</v>
      </c>
      <c r="R2239" t="str">
        <f>IF(COUNTIF(Sheet2!B:B, A2239) &gt; 0, "Yes", "No")</f>
        <v>Yes</v>
      </c>
    </row>
    <row r="2240" spans="1:18" x14ac:dyDescent="0.25">
      <c r="A2240" s="3">
        <v>45450</v>
      </c>
      <c r="B2240" t="s">
        <v>234</v>
      </c>
      <c r="C2240" t="s">
        <v>79</v>
      </c>
      <c r="D2240" t="s">
        <v>20</v>
      </c>
      <c r="E2240" t="s">
        <v>21</v>
      </c>
      <c r="F2240" t="s">
        <v>40</v>
      </c>
      <c r="G2240" t="s">
        <v>127</v>
      </c>
      <c r="H2240" t="s">
        <v>358</v>
      </c>
      <c r="I2240" s="5">
        <v>0.04</v>
      </c>
      <c r="J2240">
        <f t="shared" si="102"/>
        <v>24</v>
      </c>
      <c r="K2240">
        <v>1</v>
      </c>
      <c r="L2240">
        <f t="shared" si="103"/>
        <v>23</v>
      </c>
      <c r="M2240" s="4">
        <f t="shared" si="104"/>
        <v>3.5384615384615382E-2</v>
      </c>
      <c r="N2240">
        <v>650</v>
      </c>
      <c r="O2240">
        <v>600</v>
      </c>
      <c r="P2240" t="s">
        <v>25</v>
      </c>
      <c r="Q2240" t="s">
        <v>26</v>
      </c>
      <c r="R2240" t="str">
        <f>IF(COUNTIF(Sheet2!B:B, A2240) &gt; 0, "Yes", "No")</f>
        <v>Yes</v>
      </c>
    </row>
    <row r="2241" spans="1:18" x14ac:dyDescent="0.25">
      <c r="A2241" s="3">
        <v>45450</v>
      </c>
      <c r="B2241" t="s">
        <v>234</v>
      </c>
      <c r="C2241" t="s">
        <v>79</v>
      </c>
      <c r="D2241" t="s">
        <v>20</v>
      </c>
      <c r="E2241" t="s">
        <v>21</v>
      </c>
      <c r="F2241" t="s">
        <v>43</v>
      </c>
      <c r="G2241" t="s">
        <v>90</v>
      </c>
      <c r="H2241" t="s">
        <v>188</v>
      </c>
      <c r="I2241" s="5">
        <v>7.0000000000000007E-2</v>
      </c>
      <c r="J2241">
        <f t="shared" si="102"/>
        <v>42.000000000000007</v>
      </c>
      <c r="K2241">
        <v>2.5</v>
      </c>
      <c r="L2241">
        <f t="shared" si="103"/>
        <v>39.500000000000007</v>
      </c>
      <c r="M2241" s="4">
        <f t="shared" si="104"/>
        <v>6.0769230769230777E-2</v>
      </c>
      <c r="N2241">
        <v>650</v>
      </c>
      <c r="O2241">
        <v>600</v>
      </c>
      <c r="P2241" t="s">
        <v>25</v>
      </c>
      <c r="Q2241" t="s">
        <v>26</v>
      </c>
      <c r="R2241" t="str">
        <f>IF(COUNTIF(Sheet2!B:B, A2241) &gt; 0, "Yes", "No")</f>
        <v>Yes</v>
      </c>
    </row>
    <row r="2242" spans="1:18" x14ac:dyDescent="0.25">
      <c r="A2242" s="3">
        <v>45450</v>
      </c>
      <c r="B2242" t="s">
        <v>234</v>
      </c>
      <c r="C2242" t="s">
        <v>79</v>
      </c>
      <c r="D2242" t="s">
        <v>20</v>
      </c>
      <c r="E2242" t="s">
        <v>21</v>
      </c>
      <c r="F2242" t="s">
        <v>46</v>
      </c>
      <c r="G2242" t="s">
        <v>47</v>
      </c>
      <c r="H2242" t="s">
        <v>594</v>
      </c>
      <c r="I2242" s="5">
        <v>0.06</v>
      </c>
      <c r="J2242">
        <f t="shared" si="102"/>
        <v>36</v>
      </c>
      <c r="K2242">
        <v>2.5</v>
      </c>
      <c r="L2242">
        <f t="shared" si="103"/>
        <v>33.5</v>
      </c>
      <c r="M2242" s="4">
        <f t="shared" si="104"/>
        <v>5.153846153846154E-2</v>
      </c>
      <c r="N2242">
        <v>650</v>
      </c>
      <c r="O2242">
        <v>600</v>
      </c>
      <c r="P2242" t="s">
        <v>25</v>
      </c>
      <c r="Q2242" t="s">
        <v>26</v>
      </c>
      <c r="R2242" t="str">
        <f>IF(COUNTIF(Sheet2!B:B, A2242) &gt; 0, "Yes", "No")</f>
        <v>Yes</v>
      </c>
    </row>
    <row r="2243" spans="1:18" x14ac:dyDescent="0.25">
      <c r="A2243" s="3">
        <v>45450</v>
      </c>
      <c r="B2243" t="s">
        <v>234</v>
      </c>
      <c r="C2243" t="s">
        <v>79</v>
      </c>
      <c r="D2243" t="s">
        <v>20</v>
      </c>
      <c r="E2243" t="s">
        <v>21</v>
      </c>
      <c r="F2243" t="s">
        <v>49</v>
      </c>
      <c r="G2243" t="s">
        <v>50</v>
      </c>
      <c r="H2243" t="s">
        <v>49</v>
      </c>
      <c r="I2243" s="5">
        <v>0.04</v>
      </c>
      <c r="J2243">
        <f t="shared" ref="J2243:J2306" si="105">I2243*O2243</f>
        <v>24</v>
      </c>
      <c r="K2243">
        <v>1</v>
      </c>
      <c r="L2243">
        <f t="shared" ref="L2243:L2306" si="106">J2243-K2243</f>
        <v>23</v>
      </c>
      <c r="M2243" s="4">
        <f t="shared" ref="M2243:M2306" si="107">((I2243*O2243)-K2243)/N2243</f>
        <v>3.5384615384615382E-2</v>
      </c>
      <c r="N2243">
        <v>650</v>
      </c>
      <c r="O2243">
        <v>600</v>
      </c>
      <c r="P2243" t="s">
        <v>25</v>
      </c>
      <c r="Q2243" t="s">
        <v>26</v>
      </c>
      <c r="R2243" t="str">
        <f>IF(COUNTIF(Sheet2!B:B, A2243) &gt; 0, "Yes", "No")</f>
        <v>Yes</v>
      </c>
    </row>
    <row r="2244" spans="1:18" x14ac:dyDescent="0.25">
      <c r="A2244" s="3">
        <v>45453</v>
      </c>
      <c r="B2244" t="s">
        <v>234</v>
      </c>
      <c r="C2244" t="s">
        <v>19</v>
      </c>
      <c r="D2244" t="s">
        <v>20</v>
      </c>
      <c r="E2244" t="s">
        <v>21</v>
      </c>
      <c r="F2244" t="s">
        <v>22</v>
      </c>
      <c r="G2244" t="s">
        <v>122</v>
      </c>
      <c r="H2244" t="s">
        <v>155</v>
      </c>
      <c r="I2244">
        <v>8.5000000000000006E-2</v>
      </c>
      <c r="J2244">
        <f t="shared" si="105"/>
        <v>56.95</v>
      </c>
      <c r="K2244">
        <v>4</v>
      </c>
      <c r="L2244">
        <f t="shared" si="106"/>
        <v>52.95</v>
      </c>
      <c r="M2244" s="4">
        <f t="shared" si="107"/>
        <v>7.060000000000001E-2</v>
      </c>
      <c r="N2244">
        <v>750</v>
      </c>
      <c r="O2244">
        <v>670</v>
      </c>
      <c r="P2244" t="s">
        <v>25</v>
      </c>
      <c r="Q2244" t="s">
        <v>26</v>
      </c>
      <c r="R2244" t="str">
        <f>IF(COUNTIF(Sheet2!B:B, A2244) &gt; 0, "Yes", "No")</f>
        <v>No</v>
      </c>
    </row>
    <row r="2245" spans="1:18" x14ac:dyDescent="0.25">
      <c r="A2245" s="3">
        <v>45453</v>
      </c>
      <c r="B2245" t="s">
        <v>234</v>
      </c>
      <c r="C2245" t="s">
        <v>19</v>
      </c>
      <c r="D2245" t="s">
        <v>20</v>
      </c>
      <c r="E2245" t="s">
        <v>21</v>
      </c>
      <c r="F2245" t="s">
        <v>27</v>
      </c>
      <c r="G2245" t="s">
        <v>304</v>
      </c>
      <c r="H2245" t="s">
        <v>595</v>
      </c>
      <c r="I2245">
        <v>0.12</v>
      </c>
      <c r="J2245">
        <f t="shared" si="105"/>
        <v>80.399999999999991</v>
      </c>
      <c r="K2245">
        <v>3</v>
      </c>
      <c r="L2245">
        <f t="shared" si="106"/>
        <v>77.399999999999991</v>
      </c>
      <c r="M2245" s="4">
        <f t="shared" si="107"/>
        <v>0.10319999999999999</v>
      </c>
      <c r="N2245">
        <v>750</v>
      </c>
      <c r="O2245">
        <v>670</v>
      </c>
      <c r="P2245" t="s">
        <v>25</v>
      </c>
      <c r="Q2245" t="s">
        <v>26</v>
      </c>
      <c r="R2245" t="str">
        <f>IF(COUNTIF(Sheet2!B:B, A2245) &gt; 0, "Yes", "No")</f>
        <v>No</v>
      </c>
    </row>
    <row r="2246" spans="1:18" x14ac:dyDescent="0.25">
      <c r="A2246" s="3">
        <v>45453</v>
      </c>
      <c r="B2246" t="s">
        <v>234</v>
      </c>
      <c r="C2246" t="s">
        <v>19</v>
      </c>
      <c r="D2246" t="s">
        <v>20</v>
      </c>
      <c r="E2246" t="s">
        <v>21</v>
      </c>
      <c r="F2246" t="s">
        <v>30</v>
      </c>
      <c r="G2246" t="s">
        <v>31</v>
      </c>
      <c r="H2246" t="s">
        <v>389</v>
      </c>
      <c r="I2246">
        <v>0.09</v>
      </c>
      <c r="J2246">
        <f t="shared" si="105"/>
        <v>60.3</v>
      </c>
      <c r="K2246">
        <v>2</v>
      </c>
      <c r="L2246">
        <f t="shared" si="106"/>
        <v>58.3</v>
      </c>
      <c r="M2246" s="4">
        <f t="shared" si="107"/>
        <v>7.7733333333333335E-2</v>
      </c>
      <c r="N2246">
        <v>750</v>
      </c>
      <c r="O2246">
        <v>670</v>
      </c>
      <c r="P2246" t="s">
        <v>25</v>
      </c>
      <c r="Q2246" t="s">
        <v>26</v>
      </c>
      <c r="R2246" t="str">
        <f>IF(COUNTIF(Sheet2!B:B, A2246) &gt; 0, "Yes", "No")</f>
        <v>No</v>
      </c>
    </row>
    <row r="2247" spans="1:18" x14ac:dyDescent="0.25">
      <c r="A2247" s="3">
        <v>45453</v>
      </c>
      <c r="B2247" t="s">
        <v>234</v>
      </c>
      <c r="C2247" t="s">
        <v>19</v>
      </c>
      <c r="D2247" t="s">
        <v>33</v>
      </c>
      <c r="E2247" t="s">
        <v>21</v>
      </c>
      <c r="F2247" t="s">
        <v>34</v>
      </c>
      <c r="G2247" t="s">
        <v>35</v>
      </c>
      <c r="H2247" t="s">
        <v>596</v>
      </c>
      <c r="I2247">
        <v>0.15</v>
      </c>
      <c r="J2247">
        <f t="shared" si="105"/>
        <v>60</v>
      </c>
      <c r="K2247">
        <v>1</v>
      </c>
      <c r="L2247">
        <f t="shared" si="106"/>
        <v>59</v>
      </c>
      <c r="M2247" s="4">
        <f t="shared" si="107"/>
        <v>0.11238095238095239</v>
      </c>
      <c r="N2247">
        <v>525</v>
      </c>
      <c r="O2247">
        <v>400</v>
      </c>
      <c r="P2247" t="s">
        <v>25</v>
      </c>
      <c r="Q2247" t="s">
        <v>26</v>
      </c>
      <c r="R2247" t="str">
        <f>IF(COUNTIF(Sheet2!B:B, A2247) &gt; 0, "Yes", "No")</f>
        <v>No</v>
      </c>
    </row>
    <row r="2248" spans="1:18" x14ac:dyDescent="0.25">
      <c r="A2248" s="3">
        <v>45453</v>
      </c>
      <c r="B2248" t="s">
        <v>234</v>
      </c>
      <c r="C2248" t="s">
        <v>19</v>
      </c>
      <c r="D2248" t="s">
        <v>20</v>
      </c>
      <c r="E2248" t="s">
        <v>21</v>
      </c>
      <c r="F2248" t="s">
        <v>37</v>
      </c>
      <c r="G2248" t="s">
        <v>117</v>
      </c>
      <c r="H2248" t="s">
        <v>118</v>
      </c>
      <c r="I2248">
        <v>0.03</v>
      </c>
      <c r="J2248">
        <f t="shared" si="105"/>
        <v>20.099999999999998</v>
      </c>
      <c r="K2248">
        <v>2</v>
      </c>
      <c r="L2248">
        <f t="shared" si="106"/>
        <v>18.099999999999998</v>
      </c>
      <c r="M2248" s="4">
        <f t="shared" si="107"/>
        <v>2.413333333333333E-2</v>
      </c>
      <c r="N2248">
        <v>750</v>
      </c>
      <c r="O2248">
        <v>670</v>
      </c>
      <c r="P2248" t="s">
        <v>25</v>
      </c>
      <c r="Q2248" t="s">
        <v>26</v>
      </c>
      <c r="R2248" t="str">
        <f>IF(COUNTIF(Sheet2!B:B, A2248) &gt; 0, "Yes", "No")</f>
        <v>No</v>
      </c>
    </row>
    <row r="2249" spans="1:18" x14ac:dyDescent="0.25">
      <c r="A2249" s="3">
        <v>45453</v>
      </c>
      <c r="B2249" t="s">
        <v>234</v>
      </c>
      <c r="C2249" t="s">
        <v>19</v>
      </c>
      <c r="D2249" t="s">
        <v>20</v>
      </c>
      <c r="E2249" t="s">
        <v>21</v>
      </c>
      <c r="F2249" t="s">
        <v>40</v>
      </c>
      <c r="G2249" t="s">
        <v>73</v>
      </c>
      <c r="H2249" t="s">
        <v>597</v>
      </c>
      <c r="I2249">
        <v>4.4999999999999998E-2</v>
      </c>
      <c r="J2249">
        <f t="shared" si="105"/>
        <v>30.15</v>
      </c>
      <c r="K2249">
        <v>3</v>
      </c>
      <c r="L2249">
        <f t="shared" si="106"/>
        <v>27.15</v>
      </c>
      <c r="M2249" s="4">
        <f t="shared" si="107"/>
        <v>3.6199999999999996E-2</v>
      </c>
      <c r="N2249">
        <v>750</v>
      </c>
      <c r="O2249">
        <v>670</v>
      </c>
      <c r="P2249" t="s">
        <v>25</v>
      </c>
      <c r="Q2249" t="s">
        <v>26</v>
      </c>
      <c r="R2249" t="str">
        <f>IF(COUNTIF(Sheet2!B:B, A2249) &gt; 0, "Yes", "No")</f>
        <v>No</v>
      </c>
    </row>
    <row r="2250" spans="1:18" x14ac:dyDescent="0.25">
      <c r="A2250" s="3">
        <v>45453</v>
      </c>
      <c r="B2250" t="s">
        <v>234</v>
      </c>
      <c r="C2250" t="s">
        <v>19</v>
      </c>
      <c r="D2250" t="s">
        <v>20</v>
      </c>
      <c r="E2250" t="s">
        <v>21</v>
      </c>
      <c r="F2250" t="s">
        <v>43</v>
      </c>
      <c r="G2250" t="s">
        <v>111</v>
      </c>
      <c r="H2250" t="s">
        <v>112</v>
      </c>
      <c r="I2250">
        <v>0.11</v>
      </c>
      <c r="J2250">
        <f t="shared" si="105"/>
        <v>73.7</v>
      </c>
      <c r="K2250">
        <v>0.8</v>
      </c>
      <c r="L2250">
        <f t="shared" si="106"/>
        <v>72.900000000000006</v>
      </c>
      <c r="M2250" s="4">
        <f t="shared" si="107"/>
        <v>9.7200000000000009E-2</v>
      </c>
      <c r="N2250">
        <v>750</v>
      </c>
      <c r="O2250">
        <v>670</v>
      </c>
      <c r="P2250" t="s">
        <v>25</v>
      </c>
      <c r="Q2250" t="s">
        <v>26</v>
      </c>
      <c r="R2250" t="str">
        <f>IF(COUNTIF(Sheet2!B:B, A2250) &gt; 0, "Yes", "No")</f>
        <v>No</v>
      </c>
    </row>
    <row r="2251" spans="1:18" x14ac:dyDescent="0.25">
      <c r="A2251" s="3">
        <v>45453</v>
      </c>
      <c r="B2251" t="s">
        <v>234</v>
      </c>
      <c r="C2251" t="s">
        <v>19</v>
      </c>
      <c r="D2251" t="s">
        <v>20</v>
      </c>
      <c r="E2251" t="s">
        <v>21</v>
      </c>
      <c r="F2251" t="s">
        <v>46</v>
      </c>
      <c r="G2251" t="s">
        <v>103</v>
      </c>
      <c r="H2251" t="s">
        <v>180</v>
      </c>
      <c r="I2251">
        <v>0.09</v>
      </c>
      <c r="J2251">
        <f t="shared" si="105"/>
        <v>60.3</v>
      </c>
      <c r="K2251">
        <v>1</v>
      </c>
      <c r="L2251">
        <f t="shared" si="106"/>
        <v>59.3</v>
      </c>
      <c r="M2251" s="4">
        <f t="shared" si="107"/>
        <v>7.906666666666666E-2</v>
      </c>
      <c r="N2251">
        <v>750</v>
      </c>
      <c r="O2251">
        <v>670</v>
      </c>
      <c r="P2251" t="s">
        <v>25</v>
      </c>
      <c r="Q2251" t="s">
        <v>26</v>
      </c>
      <c r="R2251" t="str">
        <f>IF(COUNTIF(Sheet2!B:B, A2251) &gt; 0, "Yes", "No")</f>
        <v>No</v>
      </c>
    </row>
    <row r="2252" spans="1:18" x14ac:dyDescent="0.25">
      <c r="A2252" s="3">
        <v>45453</v>
      </c>
      <c r="B2252" t="s">
        <v>234</v>
      </c>
      <c r="C2252" t="s">
        <v>19</v>
      </c>
      <c r="D2252" t="s">
        <v>20</v>
      </c>
      <c r="E2252" t="s">
        <v>21</v>
      </c>
      <c r="F2252" t="s">
        <v>49</v>
      </c>
      <c r="G2252" t="s">
        <v>50</v>
      </c>
      <c r="H2252" t="s">
        <v>49</v>
      </c>
      <c r="I2252">
        <v>0.09</v>
      </c>
      <c r="J2252">
        <f t="shared" si="105"/>
        <v>60.3</v>
      </c>
      <c r="K2252">
        <v>3</v>
      </c>
      <c r="L2252">
        <f t="shared" si="106"/>
        <v>57.3</v>
      </c>
      <c r="M2252" s="4">
        <f t="shared" si="107"/>
        <v>7.6399999999999996E-2</v>
      </c>
      <c r="N2252">
        <v>750</v>
      </c>
      <c r="O2252">
        <v>670</v>
      </c>
      <c r="P2252" t="s">
        <v>25</v>
      </c>
      <c r="Q2252" t="s">
        <v>26</v>
      </c>
      <c r="R2252" t="str">
        <f>IF(COUNTIF(Sheet2!B:B, A2252) &gt; 0, "Yes", "No")</f>
        <v>No</v>
      </c>
    </row>
    <row r="2253" spans="1:18" x14ac:dyDescent="0.25">
      <c r="A2253" s="3">
        <v>45454</v>
      </c>
      <c r="B2253" t="s">
        <v>234</v>
      </c>
      <c r="C2253" t="s">
        <v>105</v>
      </c>
      <c r="D2253" t="s">
        <v>20</v>
      </c>
      <c r="E2253" t="s">
        <v>67</v>
      </c>
      <c r="F2253" t="s">
        <v>22</v>
      </c>
      <c r="G2253" t="s">
        <v>94</v>
      </c>
      <c r="H2253" t="s">
        <v>598</v>
      </c>
      <c r="I2253">
        <v>8.5000000000000006E-2</v>
      </c>
      <c r="J2253">
        <f t="shared" si="105"/>
        <v>54.400000000000006</v>
      </c>
      <c r="K2253">
        <v>0</v>
      </c>
      <c r="L2253">
        <f t="shared" si="106"/>
        <v>54.400000000000006</v>
      </c>
      <c r="M2253" s="4">
        <f t="shared" si="107"/>
        <v>7.7714285714285722E-2</v>
      </c>
      <c r="N2253">
        <v>700</v>
      </c>
      <c r="O2253">
        <v>640</v>
      </c>
      <c r="P2253" t="s">
        <v>25</v>
      </c>
      <c r="Q2253" t="s">
        <v>26</v>
      </c>
      <c r="R2253" t="str">
        <f>IF(COUNTIF(Sheet2!B:B, A2253) &gt; 0, "Yes", "No")</f>
        <v>No</v>
      </c>
    </row>
    <row r="2254" spans="1:18" x14ac:dyDescent="0.25">
      <c r="A2254" s="3">
        <v>45454</v>
      </c>
      <c r="B2254" t="s">
        <v>234</v>
      </c>
      <c r="C2254" t="s">
        <v>105</v>
      </c>
      <c r="D2254" t="s">
        <v>20</v>
      </c>
      <c r="E2254" t="s">
        <v>67</v>
      </c>
      <c r="F2254" t="s">
        <v>27</v>
      </c>
      <c r="G2254" t="s">
        <v>541</v>
      </c>
      <c r="H2254" t="s">
        <v>541</v>
      </c>
      <c r="I2254">
        <v>0.12</v>
      </c>
      <c r="J2254">
        <f t="shared" si="105"/>
        <v>76.8</v>
      </c>
      <c r="K2254">
        <v>0</v>
      </c>
      <c r="L2254">
        <f t="shared" si="106"/>
        <v>76.8</v>
      </c>
      <c r="M2254" s="4">
        <f t="shared" si="107"/>
        <v>0.10971428571428571</v>
      </c>
      <c r="N2254">
        <v>700</v>
      </c>
      <c r="O2254">
        <v>640</v>
      </c>
      <c r="P2254" t="s">
        <v>25</v>
      </c>
      <c r="Q2254" t="s">
        <v>26</v>
      </c>
      <c r="R2254" t="str">
        <f>IF(COUNTIF(Sheet2!B:B, A2254) &gt; 0, "Yes", "No")</f>
        <v>No</v>
      </c>
    </row>
    <row r="2255" spans="1:18" x14ac:dyDescent="0.25">
      <c r="A2255" s="3">
        <v>45454</v>
      </c>
      <c r="B2255" t="s">
        <v>234</v>
      </c>
      <c r="C2255" t="s">
        <v>105</v>
      </c>
      <c r="D2255" t="s">
        <v>20</v>
      </c>
      <c r="E2255" t="s">
        <v>67</v>
      </c>
      <c r="F2255" t="s">
        <v>30</v>
      </c>
      <c r="G2255" t="s">
        <v>55</v>
      </c>
      <c r="H2255" t="s">
        <v>56</v>
      </c>
      <c r="I2255">
        <v>0.09</v>
      </c>
      <c r="J2255">
        <f t="shared" si="105"/>
        <v>57.599999999999994</v>
      </c>
      <c r="K2255">
        <v>0</v>
      </c>
      <c r="L2255">
        <f t="shared" si="106"/>
        <v>57.599999999999994</v>
      </c>
      <c r="M2255" s="4">
        <f t="shared" si="107"/>
        <v>8.2285714285714281E-2</v>
      </c>
      <c r="N2255">
        <v>700</v>
      </c>
      <c r="O2255">
        <v>640</v>
      </c>
      <c r="P2255" t="s">
        <v>25</v>
      </c>
      <c r="Q2255" t="s">
        <v>26</v>
      </c>
      <c r="R2255" t="str">
        <f>IF(COUNTIF(Sheet2!B:B, A2255) &gt; 0, "Yes", "No")</f>
        <v>No</v>
      </c>
    </row>
    <row r="2256" spans="1:18" x14ac:dyDescent="0.25">
      <c r="A2256" s="3">
        <v>45454</v>
      </c>
      <c r="B2256" t="s">
        <v>234</v>
      </c>
      <c r="C2256" t="s">
        <v>105</v>
      </c>
      <c r="D2256" t="s">
        <v>20</v>
      </c>
      <c r="E2256" t="s">
        <v>67</v>
      </c>
      <c r="F2256" t="s">
        <v>37</v>
      </c>
      <c r="G2256" t="s">
        <v>108</v>
      </c>
      <c r="H2256" t="s">
        <v>109</v>
      </c>
      <c r="I2256">
        <v>3.5000000000000003E-2</v>
      </c>
      <c r="J2256">
        <f t="shared" si="105"/>
        <v>22.400000000000002</v>
      </c>
      <c r="K2256">
        <v>3</v>
      </c>
      <c r="L2256">
        <f t="shared" si="106"/>
        <v>19.400000000000002</v>
      </c>
      <c r="M2256" s="4">
        <f t="shared" si="107"/>
        <v>2.7714285714285716E-2</v>
      </c>
      <c r="N2256">
        <v>700</v>
      </c>
      <c r="O2256">
        <v>640</v>
      </c>
      <c r="P2256" t="s">
        <v>25</v>
      </c>
      <c r="Q2256" t="s">
        <v>26</v>
      </c>
      <c r="R2256" t="str">
        <f>IF(COUNTIF(Sheet2!B:B, A2256) &gt; 0, "Yes", "No")</f>
        <v>No</v>
      </c>
    </row>
    <row r="2257" spans="1:18" x14ac:dyDescent="0.25">
      <c r="A2257" s="3">
        <v>45454</v>
      </c>
      <c r="B2257" t="s">
        <v>234</v>
      </c>
      <c r="C2257" t="s">
        <v>105</v>
      </c>
      <c r="D2257" t="s">
        <v>20</v>
      </c>
      <c r="E2257" t="s">
        <v>67</v>
      </c>
      <c r="F2257" t="s">
        <v>40</v>
      </c>
      <c r="G2257" t="s">
        <v>164</v>
      </c>
      <c r="H2257" t="s">
        <v>328</v>
      </c>
      <c r="I2257">
        <v>0.05</v>
      </c>
      <c r="J2257">
        <f t="shared" si="105"/>
        <v>32</v>
      </c>
      <c r="K2257">
        <v>3</v>
      </c>
      <c r="L2257">
        <f t="shared" si="106"/>
        <v>29</v>
      </c>
      <c r="M2257" s="4">
        <f t="shared" si="107"/>
        <v>4.1428571428571426E-2</v>
      </c>
      <c r="N2257">
        <v>700</v>
      </c>
      <c r="O2257">
        <v>640</v>
      </c>
      <c r="P2257" t="s">
        <v>25</v>
      </c>
      <c r="Q2257" t="s">
        <v>26</v>
      </c>
      <c r="R2257" t="str">
        <f>IF(COUNTIF(Sheet2!B:B, A2257) &gt; 0, "Yes", "No")</f>
        <v>No</v>
      </c>
    </row>
    <row r="2258" spans="1:18" x14ac:dyDescent="0.25">
      <c r="A2258" s="3">
        <v>45454</v>
      </c>
      <c r="B2258" t="s">
        <v>234</v>
      </c>
      <c r="C2258" t="s">
        <v>105</v>
      </c>
      <c r="D2258" t="s">
        <v>20</v>
      </c>
      <c r="E2258" t="s">
        <v>67</v>
      </c>
      <c r="F2258" t="s">
        <v>43</v>
      </c>
      <c r="G2258" t="s">
        <v>90</v>
      </c>
      <c r="H2258" t="s">
        <v>356</v>
      </c>
      <c r="I2258">
        <v>0.11</v>
      </c>
      <c r="J2258">
        <f t="shared" si="105"/>
        <v>70.400000000000006</v>
      </c>
      <c r="K2258">
        <v>2</v>
      </c>
      <c r="L2258">
        <f t="shared" si="106"/>
        <v>68.400000000000006</v>
      </c>
      <c r="M2258" s="4">
        <f t="shared" si="107"/>
        <v>9.7714285714285726E-2</v>
      </c>
      <c r="N2258">
        <v>700</v>
      </c>
      <c r="O2258">
        <v>640</v>
      </c>
      <c r="P2258" t="s">
        <v>25</v>
      </c>
      <c r="Q2258" t="s">
        <v>26</v>
      </c>
      <c r="R2258" t="str">
        <f>IF(COUNTIF(Sheet2!B:B, A2258) &gt; 0, "Yes", "No")</f>
        <v>No</v>
      </c>
    </row>
    <row r="2259" spans="1:18" x14ac:dyDescent="0.25">
      <c r="A2259" s="3">
        <v>45454</v>
      </c>
      <c r="B2259" t="s">
        <v>234</v>
      </c>
      <c r="C2259" t="s">
        <v>105</v>
      </c>
      <c r="D2259" t="s">
        <v>20</v>
      </c>
      <c r="E2259" t="s">
        <v>67</v>
      </c>
      <c r="F2259" t="s">
        <v>46</v>
      </c>
      <c r="G2259" t="s">
        <v>169</v>
      </c>
      <c r="H2259" t="s">
        <v>599</v>
      </c>
      <c r="I2259">
        <v>8.5000000000000006E-2</v>
      </c>
      <c r="J2259">
        <f t="shared" si="105"/>
        <v>54.400000000000006</v>
      </c>
      <c r="K2259">
        <v>0</v>
      </c>
      <c r="L2259">
        <f t="shared" si="106"/>
        <v>54.400000000000006</v>
      </c>
      <c r="M2259" s="4">
        <f t="shared" si="107"/>
        <v>7.7714285714285722E-2</v>
      </c>
      <c r="N2259">
        <v>700</v>
      </c>
      <c r="O2259">
        <v>640</v>
      </c>
      <c r="P2259" t="s">
        <v>25</v>
      </c>
      <c r="Q2259" t="s">
        <v>26</v>
      </c>
      <c r="R2259" t="str">
        <f>IF(COUNTIF(Sheet2!B:B, A2259) &gt; 0, "Yes", "No")</f>
        <v>No</v>
      </c>
    </row>
    <row r="2260" spans="1:18" x14ac:dyDescent="0.25">
      <c r="A2260" s="3">
        <v>45454</v>
      </c>
      <c r="B2260" t="s">
        <v>234</v>
      </c>
      <c r="C2260" t="s">
        <v>105</v>
      </c>
      <c r="D2260" t="s">
        <v>20</v>
      </c>
      <c r="E2260" t="s">
        <v>67</v>
      </c>
      <c r="F2260" t="s">
        <v>49</v>
      </c>
      <c r="G2260" t="s">
        <v>50</v>
      </c>
      <c r="H2260" t="s">
        <v>49</v>
      </c>
      <c r="I2260">
        <v>0.09</v>
      </c>
      <c r="J2260">
        <f t="shared" si="105"/>
        <v>57.599999999999994</v>
      </c>
      <c r="K2260">
        <v>0</v>
      </c>
      <c r="L2260">
        <f t="shared" si="106"/>
        <v>57.599999999999994</v>
      </c>
      <c r="M2260" s="4">
        <f t="shared" si="107"/>
        <v>8.2285714285714281E-2</v>
      </c>
      <c r="N2260">
        <v>700</v>
      </c>
      <c r="O2260">
        <v>640</v>
      </c>
      <c r="P2260" t="s">
        <v>25</v>
      </c>
      <c r="Q2260" t="s">
        <v>26</v>
      </c>
      <c r="R2260" t="str">
        <f>IF(COUNTIF(Sheet2!B:B, A2260) &gt; 0, "Yes", "No")</f>
        <v>No</v>
      </c>
    </row>
    <row r="2261" spans="1:18" x14ac:dyDescent="0.25">
      <c r="A2261" s="3">
        <v>45455</v>
      </c>
      <c r="B2261" t="s">
        <v>234</v>
      </c>
      <c r="C2261" t="s">
        <v>51</v>
      </c>
      <c r="D2261" t="s">
        <v>20</v>
      </c>
      <c r="E2261" t="s">
        <v>21</v>
      </c>
      <c r="F2261" t="s">
        <v>22</v>
      </c>
      <c r="G2261" t="s">
        <v>52</v>
      </c>
      <c r="H2261" t="s">
        <v>600</v>
      </c>
      <c r="I2261">
        <v>8.5000000000000006E-2</v>
      </c>
      <c r="J2261">
        <f t="shared" si="105"/>
        <v>57.800000000000004</v>
      </c>
      <c r="K2261">
        <v>2</v>
      </c>
      <c r="L2261">
        <f t="shared" si="106"/>
        <v>55.800000000000004</v>
      </c>
      <c r="M2261" s="4">
        <f t="shared" si="107"/>
        <v>7.4400000000000008E-2</v>
      </c>
      <c r="N2261">
        <v>750</v>
      </c>
      <c r="O2261">
        <v>680</v>
      </c>
      <c r="P2261" t="s">
        <v>25</v>
      </c>
      <c r="Q2261" t="s">
        <v>26</v>
      </c>
      <c r="R2261" t="str">
        <f>IF(COUNTIF(Sheet2!B:B, A2261) &gt; 0, "Yes", "No")</f>
        <v>No</v>
      </c>
    </row>
    <row r="2262" spans="1:18" x14ac:dyDescent="0.25">
      <c r="A2262" s="3">
        <v>45455</v>
      </c>
      <c r="B2262" t="s">
        <v>234</v>
      </c>
      <c r="C2262" t="s">
        <v>51</v>
      </c>
      <c r="D2262" t="s">
        <v>20</v>
      </c>
      <c r="E2262" t="s">
        <v>21</v>
      </c>
      <c r="F2262" t="s">
        <v>27</v>
      </c>
      <c r="G2262" t="s">
        <v>304</v>
      </c>
      <c r="H2262" t="s">
        <v>601</v>
      </c>
      <c r="I2262">
        <v>0.12</v>
      </c>
      <c r="J2262">
        <f t="shared" si="105"/>
        <v>81.599999999999994</v>
      </c>
      <c r="K2262">
        <v>3</v>
      </c>
      <c r="L2262">
        <f t="shared" si="106"/>
        <v>78.599999999999994</v>
      </c>
      <c r="M2262" s="4">
        <f t="shared" si="107"/>
        <v>0.10479999999999999</v>
      </c>
      <c r="N2262">
        <v>750</v>
      </c>
      <c r="O2262">
        <v>680</v>
      </c>
      <c r="P2262" t="s">
        <v>25</v>
      </c>
      <c r="Q2262" t="s">
        <v>26</v>
      </c>
      <c r="R2262" t="str">
        <f>IF(COUNTIF(Sheet2!B:B, A2262) &gt; 0, "Yes", "No")</f>
        <v>No</v>
      </c>
    </row>
    <row r="2263" spans="1:18" x14ac:dyDescent="0.25">
      <c r="A2263" s="3">
        <v>45455</v>
      </c>
      <c r="B2263" t="s">
        <v>234</v>
      </c>
      <c r="C2263" t="s">
        <v>51</v>
      </c>
      <c r="D2263" t="s">
        <v>20</v>
      </c>
      <c r="E2263" t="s">
        <v>21</v>
      </c>
      <c r="F2263" t="s">
        <v>30</v>
      </c>
      <c r="G2263" t="s">
        <v>31</v>
      </c>
      <c r="H2263" t="s">
        <v>31</v>
      </c>
      <c r="I2263">
        <v>0.09</v>
      </c>
      <c r="J2263">
        <f t="shared" si="105"/>
        <v>61.199999999999996</v>
      </c>
      <c r="K2263">
        <v>0</v>
      </c>
      <c r="L2263">
        <f t="shared" si="106"/>
        <v>61.199999999999996</v>
      </c>
      <c r="M2263" s="4">
        <f t="shared" si="107"/>
        <v>8.1599999999999992E-2</v>
      </c>
      <c r="N2263">
        <v>750</v>
      </c>
      <c r="O2263">
        <v>680</v>
      </c>
      <c r="P2263" t="s">
        <v>25</v>
      </c>
      <c r="Q2263" t="s">
        <v>26</v>
      </c>
      <c r="R2263" t="str">
        <f>IF(COUNTIF(Sheet2!B:B, A2263) &gt; 0, "Yes", "No")</f>
        <v>No</v>
      </c>
    </row>
    <row r="2264" spans="1:18" x14ac:dyDescent="0.25">
      <c r="A2264" s="3">
        <v>45455</v>
      </c>
      <c r="B2264" t="s">
        <v>234</v>
      </c>
      <c r="C2264" t="s">
        <v>51</v>
      </c>
      <c r="D2264" t="s">
        <v>33</v>
      </c>
      <c r="E2264" t="s">
        <v>21</v>
      </c>
      <c r="F2264" t="s">
        <v>34</v>
      </c>
      <c r="G2264" t="s">
        <v>306</v>
      </c>
      <c r="H2264" t="s">
        <v>602</v>
      </c>
      <c r="I2264">
        <v>0.15</v>
      </c>
      <c r="J2264">
        <f t="shared" si="105"/>
        <v>70.5</v>
      </c>
      <c r="K2264">
        <v>1</v>
      </c>
      <c r="L2264">
        <f t="shared" si="106"/>
        <v>69.5</v>
      </c>
      <c r="M2264" s="4">
        <f t="shared" si="107"/>
        <v>0.13238095238095238</v>
      </c>
      <c r="N2264">
        <v>525</v>
      </c>
      <c r="O2264">
        <v>470</v>
      </c>
      <c r="P2264" t="s">
        <v>25</v>
      </c>
      <c r="Q2264" t="s">
        <v>26</v>
      </c>
      <c r="R2264" t="str">
        <f>IF(COUNTIF(Sheet2!B:B, A2264) &gt; 0, "Yes", "No")</f>
        <v>No</v>
      </c>
    </row>
    <row r="2265" spans="1:18" x14ac:dyDescent="0.25">
      <c r="A2265" s="3">
        <v>45455</v>
      </c>
      <c r="B2265" t="s">
        <v>234</v>
      </c>
      <c r="C2265" t="s">
        <v>51</v>
      </c>
      <c r="D2265" t="s">
        <v>20</v>
      </c>
      <c r="E2265" t="s">
        <v>21</v>
      </c>
      <c r="F2265" t="s">
        <v>37</v>
      </c>
      <c r="G2265" t="s">
        <v>87</v>
      </c>
      <c r="H2265" t="s">
        <v>99</v>
      </c>
      <c r="I2265">
        <v>0.03</v>
      </c>
      <c r="J2265">
        <f t="shared" si="105"/>
        <v>20.399999999999999</v>
      </c>
      <c r="K2265">
        <v>1</v>
      </c>
      <c r="L2265">
        <f t="shared" si="106"/>
        <v>19.399999999999999</v>
      </c>
      <c r="M2265" s="4">
        <f t="shared" si="107"/>
        <v>2.5866666666666666E-2</v>
      </c>
      <c r="N2265">
        <v>750</v>
      </c>
      <c r="O2265">
        <v>680</v>
      </c>
      <c r="P2265" t="s">
        <v>25</v>
      </c>
      <c r="Q2265" t="s">
        <v>26</v>
      </c>
      <c r="R2265" t="str">
        <f>IF(COUNTIF(Sheet2!B:B, A2265) &gt; 0, "Yes", "No")</f>
        <v>No</v>
      </c>
    </row>
    <row r="2266" spans="1:18" x14ac:dyDescent="0.25">
      <c r="A2266" s="3">
        <v>45455</v>
      </c>
      <c r="B2266" t="s">
        <v>234</v>
      </c>
      <c r="C2266" t="s">
        <v>51</v>
      </c>
      <c r="D2266" t="s">
        <v>20</v>
      </c>
      <c r="E2266" t="s">
        <v>21</v>
      </c>
      <c r="F2266" t="s">
        <v>40</v>
      </c>
      <c r="G2266" t="s">
        <v>157</v>
      </c>
      <c r="H2266" t="s">
        <v>214</v>
      </c>
      <c r="I2266">
        <v>4.4999999999999998E-2</v>
      </c>
      <c r="J2266">
        <f t="shared" si="105"/>
        <v>30.599999999999998</v>
      </c>
      <c r="K2266">
        <v>2</v>
      </c>
      <c r="L2266">
        <f t="shared" si="106"/>
        <v>28.599999999999998</v>
      </c>
      <c r="M2266" s="4">
        <f t="shared" si="107"/>
        <v>3.8133333333333332E-2</v>
      </c>
      <c r="N2266">
        <v>750</v>
      </c>
      <c r="O2266">
        <v>680</v>
      </c>
      <c r="P2266" t="s">
        <v>25</v>
      </c>
      <c r="Q2266" t="s">
        <v>26</v>
      </c>
      <c r="R2266" t="str">
        <f>IF(COUNTIF(Sheet2!B:B, A2266) &gt; 0, "Yes", "No")</f>
        <v>No</v>
      </c>
    </row>
    <row r="2267" spans="1:18" x14ac:dyDescent="0.25">
      <c r="A2267" s="3">
        <v>45455</v>
      </c>
      <c r="B2267" t="s">
        <v>234</v>
      </c>
      <c r="C2267" t="s">
        <v>51</v>
      </c>
      <c r="D2267" t="s">
        <v>20</v>
      </c>
      <c r="E2267" t="s">
        <v>21</v>
      </c>
      <c r="F2267" t="s">
        <v>43</v>
      </c>
      <c r="G2267" t="s">
        <v>44</v>
      </c>
      <c r="H2267" t="s">
        <v>603</v>
      </c>
      <c r="I2267">
        <v>0.11</v>
      </c>
      <c r="J2267">
        <f t="shared" si="105"/>
        <v>74.8</v>
      </c>
      <c r="K2267">
        <v>3</v>
      </c>
      <c r="L2267">
        <f t="shared" si="106"/>
        <v>71.8</v>
      </c>
      <c r="M2267" s="4">
        <f t="shared" si="107"/>
        <v>9.5733333333333323E-2</v>
      </c>
      <c r="N2267">
        <v>750</v>
      </c>
      <c r="O2267">
        <v>680</v>
      </c>
      <c r="P2267" t="s">
        <v>25</v>
      </c>
      <c r="Q2267" t="s">
        <v>26</v>
      </c>
      <c r="R2267" t="str">
        <f>IF(COUNTIF(Sheet2!B:B, A2267) &gt; 0, "Yes", "No")</f>
        <v>No</v>
      </c>
    </row>
    <row r="2268" spans="1:18" x14ac:dyDescent="0.25">
      <c r="A2268" s="3">
        <v>45455</v>
      </c>
      <c r="B2268" t="s">
        <v>234</v>
      </c>
      <c r="C2268" t="s">
        <v>51</v>
      </c>
      <c r="D2268" t="s">
        <v>20</v>
      </c>
      <c r="E2268" t="s">
        <v>21</v>
      </c>
      <c r="F2268" t="s">
        <v>46</v>
      </c>
      <c r="G2268" t="s">
        <v>92</v>
      </c>
      <c r="H2268" t="s">
        <v>93</v>
      </c>
      <c r="I2268">
        <v>8.5000000000000006E-2</v>
      </c>
      <c r="J2268">
        <f t="shared" si="105"/>
        <v>57.800000000000004</v>
      </c>
      <c r="K2268">
        <v>0</v>
      </c>
      <c r="L2268">
        <f t="shared" si="106"/>
        <v>57.800000000000004</v>
      </c>
      <c r="M2268" s="4">
        <f t="shared" si="107"/>
        <v>7.7066666666666672E-2</v>
      </c>
      <c r="N2268">
        <v>750</v>
      </c>
      <c r="O2268">
        <v>680</v>
      </c>
      <c r="P2268" t="s">
        <v>25</v>
      </c>
      <c r="Q2268" t="s">
        <v>26</v>
      </c>
      <c r="R2268" t="str">
        <f>IF(COUNTIF(Sheet2!B:B, A2268) &gt; 0, "Yes", "No")</f>
        <v>No</v>
      </c>
    </row>
    <row r="2269" spans="1:18" x14ac:dyDescent="0.25">
      <c r="A2269" s="3">
        <v>45455</v>
      </c>
      <c r="B2269" t="s">
        <v>234</v>
      </c>
      <c r="C2269" t="s">
        <v>51</v>
      </c>
      <c r="D2269" t="s">
        <v>20</v>
      </c>
      <c r="E2269" t="s">
        <v>21</v>
      </c>
      <c r="F2269" t="s">
        <v>49</v>
      </c>
      <c r="G2269" t="s">
        <v>50</v>
      </c>
      <c r="H2269" t="s">
        <v>49</v>
      </c>
      <c r="I2269">
        <v>0.09</v>
      </c>
      <c r="J2269">
        <f t="shared" si="105"/>
        <v>61.199999999999996</v>
      </c>
      <c r="K2269">
        <v>0</v>
      </c>
      <c r="L2269">
        <f t="shared" si="106"/>
        <v>61.199999999999996</v>
      </c>
      <c r="M2269" s="4">
        <f t="shared" si="107"/>
        <v>8.1599999999999992E-2</v>
      </c>
      <c r="N2269">
        <v>750</v>
      </c>
      <c r="O2269">
        <v>680</v>
      </c>
      <c r="P2269" t="s">
        <v>25</v>
      </c>
      <c r="Q2269" t="s">
        <v>26</v>
      </c>
      <c r="R2269" t="str">
        <f>IF(COUNTIF(Sheet2!B:B, A2269) &gt; 0, "Yes", "No")</f>
        <v>No</v>
      </c>
    </row>
    <row r="2270" spans="1:18" x14ac:dyDescent="0.25">
      <c r="A2270" s="3">
        <v>45456</v>
      </c>
      <c r="B2270" t="s">
        <v>234</v>
      </c>
      <c r="C2270" t="s">
        <v>66</v>
      </c>
      <c r="D2270" t="s">
        <v>20</v>
      </c>
      <c r="E2270" t="s">
        <v>67</v>
      </c>
      <c r="F2270" t="s">
        <v>22</v>
      </c>
      <c r="G2270" t="s">
        <v>23</v>
      </c>
      <c r="H2270" t="s">
        <v>24</v>
      </c>
      <c r="I2270">
        <v>8.5000000000000006E-2</v>
      </c>
      <c r="J2270">
        <f t="shared" si="105"/>
        <v>51.000000000000007</v>
      </c>
      <c r="K2270">
        <v>5</v>
      </c>
      <c r="L2270">
        <f t="shared" si="106"/>
        <v>46.000000000000007</v>
      </c>
      <c r="M2270" s="4">
        <f t="shared" si="107"/>
        <v>7.0769230769230779E-2</v>
      </c>
      <c r="N2270">
        <v>650</v>
      </c>
      <c r="O2270">
        <v>600</v>
      </c>
      <c r="P2270" t="s">
        <v>25</v>
      </c>
      <c r="Q2270" t="s">
        <v>26</v>
      </c>
      <c r="R2270" t="str">
        <f>IF(COUNTIF(Sheet2!B:B, A2270) &gt; 0, "Yes", "No")</f>
        <v>No</v>
      </c>
    </row>
    <row r="2271" spans="1:18" x14ac:dyDescent="0.25">
      <c r="A2271" s="3">
        <v>45456</v>
      </c>
      <c r="B2271" t="s">
        <v>234</v>
      </c>
      <c r="C2271" t="s">
        <v>66</v>
      </c>
      <c r="D2271" t="s">
        <v>20</v>
      </c>
      <c r="E2271" t="s">
        <v>67</v>
      </c>
      <c r="F2271" t="s">
        <v>27</v>
      </c>
      <c r="G2271" t="s">
        <v>235</v>
      </c>
      <c r="H2271" t="s">
        <v>604</v>
      </c>
      <c r="I2271">
        <v>0.12</v>
      </c>
      <c r="J2271">
        <f t="shared" si="105"/>
        <v>72</v>
      </c>
      <c r="K2271">
        <v>0</v>
      </c>
      <c r="L2271">
        <f t="shared" si="106"/>
        <v>72</v>
      </c>
      <c r="M2271" s="4">
        <f t="shared" si="107"/>
        <v>0.11076923076923077</v>
      </c>
      <c r="N2271">
        <v>650</v>
      </c>
      <c r="O2271">
        <v>600</v>
      </c>
      <c r="P2271" t="s">
        <v>25</v>
      </c>
      <c r="Q2271" t="s">
        <v>26</v>
      </c>
      <c r="R2271" t="str">
        <f>IF(COUNTIF(Sheet2!B:B, A2271) &gt; 0, "Yes", "No")</f>
        <v>No</v>
      </c>
    </row>
    <row r="2272" spans="1:18" x14ac:dyDescent="0.25">
      <c r="A2272" s="3">
        <v>45456</v>
      </c>
      <c r="B2272" t="s">
        <v>234</v>
      </c>
      <c r="C2272" t="s">
        <v>66</v>
      </c>
      <c r="D2272" t="s">
        <v>20</v>
      </c>
      <c r="E2272" t="s">
        <v>67</v>
      </c>
      <c r="F2272" t="s">
        <v>30</v>
      </c>
      <c r="G2272" t="s">
        <v>55</v>
      </c>
      <c r="H2272" t="s">
        <v>134</v>
      </c>
      <c r="I2272">
        <v>0.09</v>
      </c>
      <c r="J2272">
        <f t="shared" si="105"/>
        <v>54</v>
      </c>
      <c r="K2272">
        <v>0</v>
      </c>
      <c r="L2272">
        <f t="shared" si="106"/>
        <v>54</v>
      </c>
      <c r="M2272" s="4">
        <f t="shared" si="107"/>
        <v>8.3076923076923076E-2</v>
      </c>
      <c r="N2272">
        <v>650</v>
      </c>
      <c r="O2272">
        <v>600</v>
      </c>
      <c r="P2272" t="s">
        <v>25</v>
      </c>
      <c r="Q2272" t="s">
        <v>26</v>
      </c>
      <c r="R2272" t="str">
        <f>IF(COUNTIF(Sheet2!B:B, A2272) &gt; 0, "Yes", "No")</f>
        <v>No</v>
      </c>
    </row>
    <row r="2273" spans="1:18" x14ac:dyDescent="0.25">
      <c r="A2273" s="3">
        <v>45456</v>
      </c>
      <c r="B2273" t="s">
        <v>234</v>
      </c>
      <c r="C2273" t="s">
        <v>66</v>
      </c>
      <c r="D2273" t="s">
        <v>20</v>
      </c>
      <c r="E2273" t="s">
        <v>67</v>
      </c>
      <c r="F2273" t="s">
        <v>37</v>
      </c>
      <c r="G2273" t="s">
        <v>38</v>
      </c>
      <c r="H2273" t="s">
        <v>39</v>
      </c>
      <c r="I2273">
        <v>3.5000000000000003E-2</v>
      </c>
      <c r="J2273">
        <f t="shared" si="105"/>
        <v>21.000000000000004</v>
      </c>
      <c r="K2273">
        <v>2</v>
      </c>
      <c r="L2273">
        <f t="shared" si="106"/>
        <v>19.000000000000004</v>
      </c>
      <c r="M2273" s="4">
        <f t="shared" si="107"/>
        <v>2.9230769230769237E-2</v>
      </c>
      <c r="N2273">
        <v>650</v>
      </c>
      <c r="O2273">
        <v>600</v>
      </c>
      <c r="P2273" t="s">
        <v>25</v>
      </c>
      <c r="Q2273" t="s">
        <v>26</v>
      </c>
      <c r="R2273" t="str">
        <f>IF(COUNTIF(Sheet2!B:B, A2273) &gt; 0, "Yes", "No")</f>
        <v>No</v>
      </c>
    </row>
    <row r="2274" spans="1:18" x14ac:dyDescent="0.25">
      <c r="A2274" s="3">
        <v>45456</v>
      </c>
      <c r="B2274" t="s">
        <v>234</v>
      </c>
      <c r="C2274" t="s">
        <v>66</v>
      </c>
      <c r="D2274" t="s">
        <v>20</v>
      </c>
      <c r="E2274" t="s">
        <v>67</v>
      </c>
      <c r="F2274" t="s">
        <v>40</v>
      </c>
      <c r="G2274" t="s">
        <v>41</v>
      </c>
      <c r="H2274" t="s">
        <v>42</v>
      </c>
      <c r="I2274">
        <v>0.05</v>
      </c>
      <c r="J2274">
        <f t="shared" si="105"/>
        <v>30</v>
      </c>
      <c r="K2274">
        <v>3</v>
      </c>
      <c r="L2274">
        <f t="shared" si="106"/>
        <v>27</v>
      </c>
      <c r="M2274" s="4">
        <f t="shared" si="107"/>
        <v>4.1538461538461538E-2</v>
      </c>
      <c r="N2274">
        <v>650</v>
      </c>
      <c r="O2274">
        <v>600</v>
      </c>
      <c r="P2274" t="s">
        <v>25</v>
      </c>
      <c r="Q2274" t="s">
        <v>26</v>
      </c>
      <c r="R2274" t="str">
        <f>IF(COUNTIF(Sheet2!B:B, A2274) &gt; 0, "Yes", "No")</f>
        <v>No</v>
      </c>
    </row>
    <row r="2275" spans="1:18" x14ac:dyDescent="0.25">
      <c r="A2275" s="3">
        <v>45456</v>
      </c>
      <c r="B2275" t="s">
        <v>234</v>
      </c>
      <c r="C2275" t="s">
        <v>66</v>
      </c>
      <c r="D2275" t="s">
        <v>20</v>
      </c>
      <c r="E2275" t="s">
        <v>67</v>
      </c>
      <c r="F2275" t="s">
        <v>43</v>
      </c>
      <c r="G2275" t="s">
        <v>252</v>
      </c>
      <c r="H2275" t="s">
        <v>253</v>
      </c>
      <c r="I2275">
        <v>0.11</v>
      </c>
      <c r="J2275">
        <f t="shared" si="105"/>
        <v>66</v>
      </c>
      <c r="K2275">
        <v>1</v>
      </c>
      <c r="L2275">
        <f t="shared" si="106"/>
        <v>65</v>
      </c>
      <c r="M2275" s="4">
        <f t="shared" si="107"/>
        <v>0.1</v>
      </c>
      <c r="N2275">
        <v>650</v>
      </c>
      <c r="O2275">
        <v>600</v>
      </c>
      <c r="P2275" t="s">
        <v>25</v>
      </c>
      <c r="Q2275" t="s">
        <v>26</v>
      </c>
      <c r="R2275" t="str">
        <f>IF(COUNTIF(Sheet2!B:B, A2275) &gt; 0, "Yes", "No")</f>
        <v>No</v>
      </c>
    </row>
    <row r="2276" spans="1:18" x14ac:dyDescent="0.25">
      <c r="A2276" s="3">
        <v>45456</v>
      </c>
      <c r="B2276" t="s">
        <v>234</v>
      </c>
      <c r="C2276" t="s">
        <v>66</v>
      </c>
      <c r="D2276" t="s">
        <v>20</v>
      </c>
      <c r="E2276" t="s">
        <v>67</v>
      </c>
      <c r="F2276" t="s">
        <v>46</v>
      </c>
      <c r="G2276" t="s">
        <v>47</v>
      </c>
      <c r="H2276" t="s">
        <v>48</v>
      </c>
      <c r="I2276">
        <v>8.5000000000000006E-2</v>
      </c>
      <c r="J2276">
        <f t="shared" si="105"/>
        <v>51.000000000000007</v>
      </c>
      <c r="K2276">
        <v>0</v>
      </c>
      <c r="L2276">
        <f t="shared" si="106"/>
        <v>51.000000000000007</v>
      </c>
      <c r="M2276" s="4">
        <f t="shared" si="107"/>
        <v>7.8461538461538471E-2</v>
      </c>
      <c r="N2276">
        <v>650</v>
      </c>
      <c r="O2276">
        <v>600</v>
      </c>
      <c r="P2276" t="s">
        <v>25</v>
      </c>
      <c r="Q2276" t="s">
        <v>26</v>
      </c>
      <c r="R2276" t="str">
        <f>IF(COUNTIF(Sheet2!B:B, A2276) &gt; 0, "Yes", "No")</f>
        <v>No</v>
      </c>
    </row>
    <row r="2277" spans="1:18" x14ac:dyDescent="0.25">
      <c r="A2277" s="3">
        <v>45456</v>
      </c>
      <c r="B2277" t="s">
        <v>234</v>
      </c>
      <c r="C2277" t="s">
        <v>66</v>
      </c>
      <c r="D2277" t="s">
        <v>20</v>
      </c>
      <c r="E2277" t="s">
        <v>67</v>
      </c>
      <c r="F2277" t="s">
        <v>49</v>
      </c>
      <c r="G2277" t="s">
        <v>50</v>
      </c>
      <c r="H2277" t="s">
        <v>49</v>
      </c>
      <c r="I2277">
        <v>0.09</v>
      </c>
      <c r="J2277">
        <f t="shared" si="105"/>
        <v>54</v>
      </c>
      <c r="K2277">
        <v>0</v>
      </c>
      <c r="L2277">
        <f t="shared" si="106"/>
        <v>54</v>
      </c>
      <c r="M2277" s="4">
        <f t="shared" si="107"/>
        <v>8.3076923076923076E-2</v>
      </c>
      <c r="N2277">
        <v>650</v>
      </c>
      <c r="O2277">
        <v>600</v>
      </c>
      <c r="P2277" t="s">
        <v>25</v>
      </c>
      <c r="Q2277" t="s">
        <v>26</v>
      </c>
      <c r="R2277" t="str">
        <f>IF(COUNTIF(Sheet2!B:B, A2277) &gt; 0, "Yes", "No")</f>
        <v>No</v>
      </c>
    </row>
    <row r="2278" spans="1:18" x14ac:dyDescent="0.25">
      <c r="A2278" s="3">
        <v>45457</v>
      </c>
      <c r="B2278" t="s">
        <v>234</v>
      </c>
      <c r="C2278" t="s">
        <v>79</v>
      </c>
      <c r="D2278" t="s">
        <v>20</v>
      </c>
      <c r="E2278" t="s">
        <v>21</v>
      </c>
      <c r="F2278" t="s">
        <v>22</v>
      </c>
      <c r="G2278" t="s">
        <v>23</v>
      </c>
      <c r="H2278" t="s">
        <v>106</v>
      </c>
      <c r="I2278" s="5">
        <v>0.06</v>
      </c>
      <c r="J2278">
        <f t="shared" si="105"/>
        <v>36</v>
      </c>
      <c r="K2278">
        <v>4</v>
      </c>
      <c r="L2278">
        <f t="shared" si="106"/>
        <v>32</v>
      </c>
      <c r="M2278" s="4">
        <f t="shared" si="107"/>
        <v>4.9230769230769231E-2</v>
      </c>
      <c r="N2278">
        <v>650</v>
      </c>
      <c r="O2278">
        <v>600</v>
      </c>
      <c r="P2278" t="s">
        <v>25</v>
      </c>
      <c r="Q2278" t="s">
        <v>26</v>
      </c>
      <c r="R2278" t="str">
        <f>IF(COUNTIF(Sheet2!B:B, A2278) &gt; 0, "Yes", "No")</f>
        <v>Yes</v>
      </c>
    </row>
    <row r="2279" spans="1:18" x14ac:dyDescent="0.25">
      <c r="A2279" s="3">
        <v>45457</v>
      </c>
      <c r="B2279" t="s">
        <v>234</v>
      </c>
      <c r="C2279" t="s">
        <v>79</v>
      </c>
      <c r="D2279" t="s">
        <v>20</v>
      </c>
      <c r="E2279" t="s">
        <v>21</v>
      </c>
      <c r="F2279" t="s">
        <v>27</v>
      </c>
      <c r="G2279" t="s">
        <v>81</v>
      </c>
      <c r="H2279" t="s">
        <v>378</v>
      </c>
      <c r="I2279" s="5">
        <v>0.1</v>
      </c>
      <c r="J2279">
        <f t="shared" si="105"/>
        <v>60</v>
      </c>
      <c r="K2279">
        <v>3</v>
      </c>
      <c r="L2279">
        <f t="shared" si="106"/>
        <v>57</v>
      </c>
      <c r="M2279" s="4">
        <f t="shared" si="107"/>
        <v>8.7692307692307694E-2</v>
      </c>
      <c r="N2279">
        <v>650</v>
      </c>
      <c r="O2279">
        <v>600</v>
      </c>
      <c r="P2279" t="s">
        <v>25</v>
      </c>
      <c r="Q2279" t="s">
        <v>26</v>
      </c>
      <c r="R2279" t="str">
        <f>IF(COUNTIF(Sheet2!B:B, A2279) &gt; 0, "Yes", "No")</f>
        <v>Yes</v>
      </c>
    </row>
    <row r="2280" spans="1:18" x14ac:dyDescent="0.25">
      <c r="A2280" s="3">
        <v>45457</v>
      </c>
      <c r="B2280" t="s">
        <v>234</v>
      </c>
      <c r="C2280" t="s">
        <v>79</v>
      </c>
      <c r="D2280" t="s">
        <v>20</v>
      </c>
      <c r="E2280" t="s">
        <v>21</v>
      </c>
      <c r="F2280" t="s">
        <v>30</v>
      </c>
      <c r="G2280" t="s">
        <v>55</v>
      </c>
      <c r="H2280" t="s">
        <v>83</v>
      </c>
      <c r="I2280" s="5">
        <v>0.06</v>
      </c>
      <c r="J2280">
        <f t="shared" si="105"/>
        <v>36</v>
      </c>
      <c r="K2280">
        <v>0.5</v>
      </c>
      <c r="L2280">
        <f t="shared" si="106"/>
        <v>35.5</v>
      </c>
      <c r="M2280" s="4">
        <f t="shared" si="107"/>
        <v>5.4615384615384614E-2</v>
      </c>
      <c r="N2280">
        <v>650</v>
      </c>
      <c r="O2280">
        <v>600</v>
      </c>
      <c r="P2280" t="s">
        <v>25</v>
      </c>
      <c r="Q2280" t="s">
        <v>26</v>
      </c>
      <c r="R2280" t="str">
        <f>IF(COUNTIF(Sheet2!B:B, A2280) &gt; 0, "Yes", "No")</f>
        <v>Yes</v>
      </c>
    </row>
    <row r="2281" spans="1:18" x14ac:dyDescent="0.25">
      <c r="A2281" s="3">
        <v>45457</v>
      </c>
      <c r="B2281" t="s">
        <v>234</v>
      </c>
      <c r="C2281" t="s">
        <v>79</v>
      </c>
      <c r="D2281" t="s">
        <v>33</v>
      </c>
      <c r="E2281" t="s">
        <v>21</v>
      </c>
      <c r="F2281" t="s">
        <v>84</v>
      </c>
      <c r="G2281" t="s">
        <v>85</v>
      </c>
      <c r="H2281" t="s">
        <v>605</v>
      </c>
      <c r="I2281" s="5">
        <v>0.3</v>
      </c>
      <c r="J2281">
        <f t="shared" si="105"/>
        <v>126</v>
      </c>
      <c r="K2281">
        <v>1</v>
      </c>
      <c r="L2281">
        <f t="shared" si="106"/>
        <v>125</v>
      </c>
      <c r="M2281" s="4">
        <f t="shared" si="107"/>
        <v>0.27472527472527475</v>
      </c>
      <c r="N2281">
        <v>455</v>
      </c>
      <c r="O2281">
        <v>420</v>
      </c>
      <c r="P2281" t="s">
        <v>25</v>
      </c>
      <c r="Q2281" t="s">
        <v>26</v>
      </c>
      <c r="R2281" t="str">
        <f>IF(COUNTIF(Sheet2!B:B, A2281) &gt; 0, "Yes", "No")</f>
        <v>Yes</v>
      </c>
    </row>
    <row r="2282" spans="1:18" x14ac:dyDescent="0.25">
      <c r="A2282" s="3">
        <v>45457</v>
      </c>
      <c r="B2282" t="s">
        <v>234</v>
      </c>
      <c r="C2282" t="s">
        <v>79</v>
      </c>
      <c r="D2282" t="s">
        <v>20</v>
      </c>
      <c r="E2282" t="s">
        <v>21</v>
      </c>
      <c r="F2282" t="s">
        <v>37</v>
      </c>
      <c r="G2282" t="s">
        <v>71</v>
      </c>
      <c r="H2282" t="s">
        <v>151</v>
      </c>
      <c r="I2282" s="5">
        <v>2.5000000000000001E-2</v>
      </c>
      <c r="J2282">
        <f t="shared" si="105"/>
        <v>15</v>
      </c>
      <c r="K2282">
        <v>2</v>
      </c>
      <c r="L2282">
        <f t="shared" si="106"/>
        <v>13</v>
      </c>
      <c r="M2282" s="4">
        <f t="shared" si="107"/>
        <v>0.02</v>
      </c>
      <c r="N2282">
        <v>650</v>
      </c>
      <c r="O2282">
        <v>600</v>
      </c>
      <c r="P2282" t="s">
        <v>25</v>
      </c>
      <c r="Q2282" t="s">
        <v>26</v>
      </c>
      <c r="R2282" t="str">
        <f>IF(COUNTIF(Sheet2!B:B, A2282) &gt; 0, "Yes", "No")</f>
        <v>Yes</v>
      </c>
    </row>
    <row r="2283" spans="1:18" x14ac:dyDescent="0.25">
      <c r="A2283" s="3">
        <v>45457</v>
      </c>
      <c r="B2283" t="s">
        <v>234</v>
      </c>
      <c r="C2283" t="s">
        <v>79</v>
      </c>
      <c r="D2283" t="s">
        <v>20</v>
      </c>
      <c r="E2283" t="s">
        <v>21</v>
      </c>
      <c r="F2283" t="s">
        <v>40</v>
      </c>
      <c r="G2283" t="s">
        <v>127</v>
      </c>
      <c r="H2283" t="s">
        <v>463</v>
      </c>
      <c r="I2283" s="5">
        <v>0.04</v>
      </c>
      <c r="J2283">
        <f t="shared" si="105"/>
        <v>24</v>
      </c>
      <c r="K2283">
        <v>3</v>
      </c>
      <c r="L2283">
        <f t="shared" si="106"/>
        <v>21</v>
      </c>
      <c r="M2283" s="4">
        <f t="shared" si="107"/>
        <v>3.2307692307692308E-2</v>
      </c>
      <c r="N2283">
        <v>650</v>
      </c>
      <c r="O2283">
        <v>600</v>
      </c>
      <c r="P2283" t="s">
        <v>25</v>
      </c>
      <c r="Q2283" t="s">
        <v>26</v>
      </c>
      <c r="R2283" t="str">
        <f>IF(COUNTIF(Sheet2!B:B, A2283) &gt; 0, "Yes", "No")</f>
        <v>Yes</v>
      </c>
    </row>
    <row r="2284" spans="1:18" x14ac:dyDescent="0.25">
      <c r="A2284" s="3">
        <v>45457</v>
      </c>
      <c r="B2284" t="s">
        <v>234</v>
      </c>
      <c r="C2284" t="s">
        <v>79</v>
      </c>
      <c r="D2284" t="s">
        <v>20</v>
      </c>
      <c r="E2284" t="s">
        <v>21</v>
      </c>
      <c r="F2284" t="s">
        <v>43</v>
      </c>
      <c r="G2284" t="s">
        <v>139</v>
      </c>
      <c r="H2284" t="s">
        <v>140</v>
      </c>
      <c r="I2284" s="5">
        <v>7.4999999999999997E-2</v>
      </c>
      <c r="J2284">
        <f t="shared" si="105"/>
        <v>45</v>
      </c>
      <c r="K2284">
        <v>6</v>
      </c>
      <c r="L2284">
        <f t="shared" si="106"/>
        <v>39</v>
      </c>
      <c r="M2284" s="4">
        <f t="shared" si="107"/>
        <v>0.06</v>
      </c>
      <c r="N2284">
        <v>650</v>
      </c>
      <c r="O2284">
        <v>600</v>
      </c>
      <c r="P2284" t="s">
        <v>25</v>
      </c>
      <c r="Q2284" t="s">
        <v>26</v>
      </c>
      <c r="R2284" t="str">
        <f>IF(COUNTIF(Sheet2!B:B, A2284) &gt; 0, "Yes", "No")</f>
        <v>Yes</v>
      </c>
    </row>
    <row r="2285" spans="1:18" x14ac:dyDescent="0.25">
      <c r="A2285" s="3">
        <v>45457</v>
      </c>
      <c r="B2285" t="s">
        <v>234</v>
      </c>
      <c r="C2285" t="s">
        <v>79</v>
      </c>
      <c r="D2285" t="s">
        <v>20</v>
      </c>
      <c r="E2285" t="s">
        <v>21</v>
      </c>
      <c r="F2285" t="s">
        <v>46</v>
      </c>
      <c r="G2285" t="s">
        <v>47</v>
      </c>
      <c r="H2285" t="s">
        <v>606</v>
      </c>
      <c r="I2285" s="5">
        <v>0.05</v>
      </c>
      <c r="J2285">
        <f t="shared" si="105"/>
        <v>30</v>
      </c>
      <c r="K2285">
        <v>2</v>
      </c>
      <c r="L2285">
        <f t="shared" si="106"/>
        <v>28</v>
      </c>
      <c r="M2285" s="4">
        <f t="shared" si="107"/>
        <v>4.3076923076923075E-2</v>
      </c>
      <c r="N2285">
        <v>650</v>
      </c>
      <c r="O2285">
        <v>600</v>
      </c>
      <c r="P2285" t="s">
        <v>25</v>
      </c>
      <c r="Q2285" t="s">
        <v>26</v>
      </c>
      <c r="R2285" t="str">
        <f>IF(COUNTIF(Sheet2!B:B, A2285) &gt; 0, "Yes", "No")</f>
        <v>Yes</v>
      </c>
    </row>
    <row r="2286" spans="1:18" x14ac:dyDescent="0.25">
      <c r="A2286" s="3">
        <v>45457</v>
      </c>
      <c r="B2286" t="s">
        <v>234</v>
      </c>
      <c r="C2286" t="s">
        <v>79</v>
      </c>
      <c r="D2286" t="s">
        <v>20</v>
      </c>
      <c r="E2286" t="s">
        <v>21</v>
      </c>
      <c r="F2286" t="s">
        <v>49</v>
      </c>
      <c r="G2286" t="s">
        <v>50</v>
      </c>
      <c r="H2286" t="s">
        <v>49</v>
      </c>
      <c r="I2286" s="5">
        <v>0.04</v>
      </c>
      <c r="J2286">
        <f t="shared" si="105"/>
        <v>24</v>
      </c>
      <c r="K2286">
        <v>2.5</v>
      </c>
      <c r="L2286">
        <f t="shared" si="106"/>
        <v>21.5</v>
      </c>
      <c r="M2286" s="4">
        <f t="shared" si="107"/>
        <v>3.307692307692308E-2</v>
      </c>
      <c r="N2286">
        <v>650</v>
      </c>
      <c r="O2286">
        <v>600</v>
      </c>
      <c r="P2286" t="s">
        <v>25</v>
      </c>
      <c r="Q2286" t="s">
        <v>26</v>
      </c>
      <c r="R2286" t="str">
        <f>IF(COUNTIF(Sheet2!B:B, A2286) &gt; 0, "Yes", "No")</f>
        <v>Yes</v>
      </c>
    </row>
    <row r="2287" spans="1:18" x14ac:dyDescent="0.25">
      <c r="A2287" s="3">
        <v>45460</v>
      </c>
      <c r="B2287" t="s">
        <v>234</v>
      </c>
      <c r="C2287" t="s">
        <v>19</v>
      </c>
      <c r="D2287" t="s">
        <v>20</v>
      </c>
      <c r="E2287" t="s">
        <v>21</v>
      </c>
      <c r="F2287" t="s">
        <v>22</v>
      </c>
      <c r="G2287" t="s">
        <v>52</v>
      </c>
      <c r="H2287" t="s">
        <v>53</v>
      </c>
      <c r="I2287">
        <v>8.5000000000000006E-2</v>
      </c>
      <c r="J2287">
        <f t="shared" si="105"/>
        <v>56.95</v>
      </c>
      <c r="K2287">
        <v>3</v>
      </c>
      <c r="L2287">
        <f t="shared" si="106"/>
        <v>53.95</v>
      </c>
      <c r="M2287" s="4">
        <f t="shared" si="107"/>
        <v>7.1933333333333335E-2</v>
      </c>
      <c r="N2287">
        <v>750</v>
      </c>
      <c r="O2287">
        <v>670</v>
      </c>
      <c r="P2287" t="s">
        <v>341</v>
      </c>
      <c r="Q2287" t="s">
        <v>284</v>
      </c>
      <c r="R2287" t="str">
        <f>IF(COUNTIF(Sheet2!B:B, A2287) &gt; 0, "Yes", "No")</f>
        <v>No</v>
      </c>
    </row>
    <row r="2288" spans="1:18" x14ac:dyDescent="0.25">
      <c r="A2288" s="3">
        <v>45460</v>
      </c>
      <c r="B2288" t="s">
        <v>234</v>
      </c>
      <c r="C2288" t="s">
        <v>19</v>
      </c>
      <c r="D2288" t="s">
        <v>20</v>
      </c>
      <c r="E2288" t="s">
        <v>21</v>
      </c>
      <c r="F2288" t="s">
        <v>27</v>
      </c>
      <c r="G2288" t="s">
        <v>780</v>
      </c>
      <c r="H2288" t="s">
        <v>149</v>
      </c>
      <c r="I2288">
        <v>0.11</v>
      </c>
      <c r="J2288">
        <f t="shared" si="105"/>
        <v>73.7</v>
      </c>
      <c r="K2288">
        <v>5</v>
      </c>
      <c r="L2288">
        <f t="shared" si="106"/>
        <v>68.7</v>
      </c>
      <c r="M2288" s="4">
        <f t="shared" si="107"/>
        <v>9.1600000000000001E-2</v>
      </c>
      <c r="N2288">
        <v>750</v>
      </c>
      <c r="O2288">
        <v>670</v>
      </c>
      <c r="P2288" t="s">
        <v>341</v>
      </c>
      <c r="Q2288" t="s">
        <v>284</v>
      </c>
      <c r="R2288" t="str">
        <f>IF(COUNTIF(Sheet2!B:B, A2288) &gt; 0, "Yes", "No")</f>
        <v>No</v>
      </c>
    </row>
    <row r="2289" spans="1:18" x14ac:dyDescent="0.25">
      <c r="A2289" s="3">
        <v>45460</v>
      </c>
      <c r="B2289" t="s">
        <v>234</v>
      </c>
      <c r="C2289" t="s">
        <v>19</v>
      </c>
      <c r="D2289" t="s">
        <v>20</v>
      </c>
      <c r="E2289" t="s">
        <v>21</v>
      </c>
      <c r="F2289" t="s">
        <v>30</v>
      </c>
      <c r="G2289" t="s">
        <v>55</v>
      </c>
      <c r="H2289" t="s">
        <v>125</v>
      </c>
      <c r="I2289">
        <v>0.09</v>
      </c>
      <c r="J2289">
        <f t="shared" si="105"/>
        <v>60.3</v>
      </c>
      <c r="K2289">
        <v>1</v>
      </c>
      <c r="L2289">
        <f t="shared" si="106"/>
        <v>59.3</v>
      </c>
      <c r="M2289" s="4">
        <f t="shared" si="107"/>
        <v>7.906666666666666E-2</v>
      </c>
      <c r="N2289">
        <v>750</v>
      </c>
      <c r="O2289">
        <v>670</v>
      </c>
      <c r="P2289" t="s">
        <v>341</v>
      </c>
      <c r="Q2289" t="s">
        <v>284</v>
      </c>
      <c r="R2289" t="str">
        <f>IF(COUNTIF(Sheet2!B:B, A2289) &gt; 0, "Yes", "No")</f>
        <v>No</v>
      </c>
    </row>
    <row r="2290" spans="1:18" x14ac:dyDescent="0.25">
      <c r="A2290" s="3">
        <v>45460</v>
      </c>
      <c r="B2290" t="s">
        <v>234</v>
      </c>
      <c r="C2290" t="s">
        <v>19</v>
      </c>
      <c r="D2290" t="s">
        <v>33</v>
      </c>
      <c r="E2290" t="s">
        <v>21</v>
      </c>
      <c r="F2290" t="s">
        <v>34</v>
      </c>
      <c r="G2290" t="s">
        <v>57</v>
      </c>
      <c r="H2290" t="s">
        <v>607</v>
      </c>
      <c r="I2290">
        <v>0.15</v>
      </c>
      <c r="J2290">
        <f t="shared" si="105"/>
        <v>60</v>
      </c>
      <c r="K2290">
        <v>1</v>
      </c>
      <c r="L2290">
        <f t="shared" si="106"/>
        <v>59</v>
      </c>
      <c r="M2290" s="4">
        <f t="shared" si="107"/>
        <v>0.11238095238095239</v>
      </c>
      <c r="N2290">
        <v>525</v>
      </c>
      <c r="O2290">
        <v>400</v>
      </c>
      <c r="P2290" t="s">
        <v>341</v>
      </c>
      <c r="Q2290" t="s">
        <v>284</v>
      </c>
      <c r="R2290" t="str">
        <f>IF(COUNTIF(Sheet2!B:B, A2290) &gt; 0, "Yes", "No")</f>
        <v>No</v>
      </c>
    </row>
    <row r="2291" spans="1:18" x14ac:dyDescent="0.25">
      <c r="A2291" s="3">
        <v>45460</v>
      </c>
      <c r="B2291" t="s">
        <v>234</v>
      </c>
      <c r="C2291" t="s">
        <v>19</v>
      </c>
      <c r="D2291" t="s">
        <v>20</v>
      </c>
      <c r="E2291" t="s">
        <v>21</v>
      </c>
      <c r="F2291" t="s">
        <v>37</v>
      </c>
      <c r="G2291" t="s">
        <v>117</v>
      </c>
      <c r="H2291" t="s">
        <v>407</v>
      </c>
      <c r="I2291">
        <v>0.03</v>
      </c>
      <c r="J2291">
        <f t="shared" si="105"/>
        <v>20.099999999999998</v>
      </c>
      <c r="K2291">
        <v>2</v>
      </c>
      <c r="L2291">
        <f t="shared" si="106"/>
        <v>18.099999999999998</v>
      </c>
      <c r="M2291" s="4">
        <f t="shared" si="107"/>
        <v>2.413333333333333E-2</v>
      </c>
      <c r="N2291">
        <v>750</v>
      </c>
      <c r="O2291">
        <v>670</v>
      </c>
      <c r="P2291" t="s">
        <v>341</v>
      </c>
      <c r="Q2291" t="s">
        <v>284</v>
      </c>
      <c r="R2291" t="str">
        <f>IF(COUNTIF(Sheet2!B:B, A2291) &gt; 0, "Yes", "No")</f>
        <v>No</v>
      </c>
    </row>
    <row r="2292" spans="1:18" x14ac:dyDescent="0.25">
      <c r="A2292" s="3">
        <v>45460</v>
      </c>
      <c r="B2292" t="s">
        <v>234</v>
      </c>
      <c r="C2292" t="s">
        <v>19</v>
      </c>
      <c r="D2292" t="s">
        <v>20</v>
      </c>
      <c r="E2292" t="s">
        <v>21</v>
      </c>
      <c r="F2292" t="s">
        <v>40</v>
      </c>
      <c r="G2292" t="s">
        <v>164</v>
      </c>
      <c r="H2292" t="s">
        <v>202</v>
      </c>
      <c r="I2292">
        <v>4.4999999999999998E-2</v>
      </c>
      <c r="J2292">
        <f t="shared" si="105"/>
        <v>30.15</v>
      </c>
      <c r="K2292">
        <v>3</v>
      </c>
      <c r="L2292">
        <f t="shared" si="106"/>
        <v>27.15</v>
      </c>
      <c r="M2292" s="4">
        <f t="shared" si="107"/>
        <v>3.6199999999999996E-2</v>
      </c>
      <c r="N2292">
        <v>750</v>
      </c>
      <c r="O2292">
        <v>670</v>
      </c>
      <c r="P2292" t="s">
        <v>341</v>
      </c>
      <c r="Q2292" t="s">
        <v>284</v>
      </c>
      <c r="R2292" t="str">
        <f>IF(COUNTIF(Sheet2!B:B, A2292) &gt; 0, "Yes", "No")</f>
        <v>No</v>
      </c>
    </row>
    <row r="2293" spans="1:18" x14ac:dyDescent="0.25">
      <c r="A2293" s="3">
        <v>45460</v>
      </c>
      <c r="B2293" t="s">
        <v>234</v>
      </c>
      <c r="C2293" t="s">
        <v>19</v>
      </c>
      <c r="D2293" t="s">
        <v>20</v>
      </c>
      <c r="E2293" t="s">
        <v>21</v>
      </c>
      <c r="F2293" t="s">
        <v>43</v>
      </c>
      <c r="G2293" t="s">
        <v>90</v>
      </c>
      <c r="H2293" t="s">
        <v>188</v>
      </c>
      <c r="I2293">
        <v>0.11</v>
      </c>
      <c r="J2293">
        <f t="shared" si="105"/>
        <v>73.7</v>
      </c>
      <c r="K2293">
        <v>2</v>
      </c>
      <c r="L2293">
        <f t="shared" si="106"/>
        <v>71.7</v>
      </c>
      <c r="M2293" s="4">
        <f t="shared" si="107"/>
        <v>9.5600000000000004E-2</v>
      </c>
      <c r="N2293">
        <v>750</v>
      </c>
      <c r="O2293">
        <v>670</v>
      </c>
      <c r="P2293" t="s">
        <v>341</v>
      </c>
      <c r="Q2293" t="s">
        <v>284</v>
      </c>
      <c r="R2293" t="str">
        <f>IF(COUNTIF(Sheet2!B:B, A2293) &gt; 0, "Yes", "No")</f>
        <v>No</v>
      </c>
    </row>
    <row r="2294" spans="1:18" x14ac:dyDescent="0.25">
      <c r="A2294" s="3">
        <v>45460</v>
      </c>
      <c r="B2294" t="s">
        <v>234</v>
      </c>
      <c r="C2294" t="s">
        <v>19</v>
      </c>
      <c r="D2294" t="s">
        <v>20</v>
      </c>
      <c r="E2294" t="s">
        <v>21</v>
      </c>
      <c r="F2294" t="s">
        <v>46</v>
      </c>
      <c r="G2294" t="s">
        <v>92</v>
      </c>
      <c r="H2294" t="s">
        <v>374</v>
      </c>
      <c r="I2294">
        <v>8.5000000000000006E-2</v>
      </c>
      <c r="J2294">
        <f t="shared" si="105"/>
        <v>56.95</v>
      </c>
      <c r="K2294">
        <v>3</v>
      </c>
      <c r="L2294">
        <f t="shared" si="106"/>
        <v>53.95</v>
      </c>
      <c r="M2294" s="4">
        <f t="shared" si="107"/>
        <v>7.1933333333333335E-2</v>
      </c>
      <c r="N2294">
        <v>750</v>
      </c>
      <c r="O2294">
        <v>670</v>
      </c>
      <c r="P2294" t="s">
        <v>341</v>
      </c>
      <c r="Q2294" t="s">
        <v>284</v>
      </c>
      <c r="R2294" t="str">
        <f>IF(COUNTIF(Sheet2!B:B, A2294) &gt; 0, "Yes", "No")</f>
        <v>No</v>
      </c>
    </row>
    <row r="2295" spans="1:18" x14ac:dyDescent="0.25">
      <c r="A2295" s="3">
        <v>45460</v>
      </c>
      <c r="B2295" t="s">
        <v>234</v>
      </c>
      <c r="C2295" t="s">
        <v>19</v>
      </c>
      <c r="D2295" t="s">
        <v>20</v>
      </c>
      <c r="E2295" t="s">
        <v>21</v>
      </c>
      <c r="F2295" t="s">
        <v>49</v>
      </c>
      <c r="G2295" t="s">
        <v>50</v>
      </c>
      <c r="H2295" t="s">
        <v>49</v>
      </c>
      <c r="I2295">
        <v>0.09</v>
      </c>
      <c r="J2295">
        <f t="shared" si="105"/>
        <v>60.3</v>
      </c>
      <c r="K2295">
        <v>4</v>
      </c>
      <c r="L2295">
        <f t="shared" si="106"/>
        <v>56.3</v>
      </c>
      <c r="M2295" s="4">
        <f t="shared" si="107"/>
        <v>7.5066666666666657E-2</v>
      </c>
      <c r="N2295">
        <v>750</v>
      </c>
      <c r="O2295">
        <v>670</v>
      </c>
      <c r="P2295" t="s">
        <v>341</v>
      </c>
      <c r="Q2295" t="s">
        <v>284</v>
      </c>
      <c r="R2295" t="str">
        <f>IF(COUNTIF(Sheet2!B:B, A2295) &gt; 0, "Yes", "No")</f>
        <v>No</v>
      </c>
    </row>
    <row r="2296" spans="1:18" x14ac:dyDescent="0.25">
      <c r="A2296" s="3">
        <v>45461</v>
      </c>
      <c r="B2296" t="s">
        <v>234</v>
      </c>
      <c r="C2296" t="s">
        <v>105</v>
      </c>
      <c r="D2296" t="s">
        <v>20</v>
      </c>
      <c r="E2296" t="s">
        <v>67</v>
      </c>
      <c r="F2296" t="s">
        <v>22</v>
      </c>
      <c r="G2296" t="s">
        <v>94</v>
      </c>
      <c r="H2296" t="s">
        <v>168</v>
      </c>
      <c r="I2296">
        <v>8.5000000000000006E-2</v>
      </c>
      <c r="J2296">
        <f t="shared" si="105"/>
        <v>54.400000000000006</v>
      </c>
      <c r="K2296">
        <v>3</v>
      </c>
      <c r="L2296">
        <f t="shared" si="106"/>
        <v>51.400000000000006</v>
      </c>
      <c r="M2296" s="4">
        <f t="shared" si="107"/>
        <v>7.342857142857144E-2</v>
      </c>
      <c r="N2296">
        <v>700</v>
      </c>
      <c r="O2296">
        <v>640</v>
      </c>
      <c r="P2296" t="s">
        <v>322</v>
      </c>
      <c r="Q2296" t="s">
        <v>284</v>
      </c>
      <c r="R2296" t="str">
        <f>IF(COUNTIF(Sheet2!B:B, A2296) &gt; 0, "Yes", "No")</f>
        <v>No</v>
      </c>
    </row>
    <row r="2297" spans="1:18" x14ac:dyDescent="0.25">
      <c r="A2297" s="3">
        <v>45461</v>
      </c>
      <c r="B2297" t="s">
        <v>234</v>
      </c>
      <c r="C2297" t="s">
        <v>105</v>
      </c>
      <c r="D2297" t="s">
        <v>20</v>
      </c>
      <c r="E2297" t="s">
        <v>67</v>
      </c>
      <c r="F2297" t="s">
        <v>27</v>
      </c>
      <c r="G2297" t="s">
        <v>304</v>
      </c>
      <c r="H2297" t="s">
        <v>608</v>
      </c>
      <c r="I2297">
        <v>0.12</v>
      </c>
      <c r="J2297">
        <f t="shared" si="105"/>
        <v>76.8</v>
      </c>
      <c r="K2297">
        <v>2</v>
      </c>
      <c r="L2297">
        <f t="shared" si="106"/>
        <v>74.8</v>
      </c>
      <c r="M2297" s="4">
        <f t="shared" si="107"/>
        <v>0.10685714285714286</v>
      </c>
      <c r="N2297">
        <v>700</v>
      </c>
      <c r="O2297">
        <v>640</v>
      </c>
      <c r="P2297" t="s">
        <v>322</v>
      </c>
      <c r="Q2297" t="s">
        <v>284</v>
      </c>
      <c r="R2297" t="str">
        <f>IF(COUNTIF(Sheet2!B:B, A2297) &gt; 0, "Yes", "No")</f>
        <v>No</v>
      </c>
    </row>
    <row r="2298" spans="1:18" x14ac:dyDescent="0.25">
      <c r="A2298" s="3">
        <v>45461</v>
      </c>
      <c r="B2298" t="s">
        <v>234</v>
      </c>
      <c r="C2298" t="s">
        <v>105</v>
      </c>
      <c r="D2298" t="s">
        <v>20</v>
      </c>
      <c r="E2298" t="s">
        <v>67</v>
      </c>
      <c r="F2298" t="s">
        <v>30</v>
      </c>
      <c r="G2298" t="s">
        <v>31</v>
      </c>
      <c r="H2298" t="s">
        <v>31</v>
      </c>
      <c r="I2298">
        <v>0.09</v>
      </c>
      <c r="J2298">
        <f t="shared" si="105"/>
        <v>57.599999999999994</v>
      </c>
      <c r="K2298">
        <v>2</v>
      </c>
      <c r="L2298">
        <f t="shared" si="106"/>
        <v>55.599999999999994</v>
      </c>
      <c r="M2298" s="4">
        <f t="shared" si="107"/>
        <v>7.9428571428571418E-2</v>
      </c>
      <c r="N2298">
        <v>700</v>
      </c>
      <c r="O2298">
        <v>640</v>
      </c>
      <c r="P2298" t="s">
        <v>322</v>
      </c>
      <c r="Q2298" t="s">
        <v>284</v>
      </c>
      <c r="R2298" t="str">
        <f>IF(COUNTIF(Sheet2!B:B, A2298) &gt; 0, "Yes", "No")</f>
        <v>No</v>
      </c>
    </row>
    <row r="2299" spans="1:18" x14ac:dyDescent="0.25">
      <c r="A2299" s="3">
        <v>45461</v>
      </c>
      <c r="B2299" t="s">
        <v>234</v>
      </c>
      <c r="C2299" t="s">
        <v>105</v>
      </c>
      <c r="D2299" t="s">
        <v>20</v>
      </c>
      <c r="E2299" t="s">
        <v>67</v>
      </c>
      <c r="F2299" t="s">
        <v>37</v>
      </c>
      <c r="G2299" t="s">
        <v>117</v>
      </c>
      <c r="H2299" t="s">
        <v>421</v>
      </c>
      <c r="I2299">
        <v>3.5000000000000003E-2</v>
      </c>
      <c r="J2299">
        <f t="shared" si="105"/>
        <v>22.400000000000002</v>
      </c>
      <c r="K2299">
        <v>2</v>
      </c>
      <c r="L2299">
        <f t="shared" si="106"/>
        <v>20.400000000000002</v>
      </c>
      <c r="M2299" s="4">
        <f t="shared" si="107"/>
        <v>2.9142857142857147E-2</v>
      </c>
      <c r="N2299">
        <v>700</v>
      </c>
      <c r="O2299">
        <v>640</v>
      </c>
      <c r="P2299" t="s">
        <v>322</v>
      </c>
      <c r="Q2299" t="s">
        <v>284</v>
      </c>
      <c r="R2299" t="str">
        <f>IF(COUNTIF(Sheet2!B:B, A2299) &gt; 0, "Yes", "No")</f>
        <v>No</v>
      </c>
    </row>
    <row r="2300" spans="1:18" x14ac:dyDescent="0.25">
      <c r="A2300" s="3">
        <v>45461</v>
      </c>
      <c r="B2300" t="s">
        <v>234</v>
      </c>
      <c r="C2300" t="s">
        <v>105</v>
      </c>
      <c r="D2300" t="s">
        <v>20</v>
      </c>
      <c r="E2300" t="s">
        <v>67</v>
      </c>
      <c r="F2300" t="s">
        <v>40</v>
      </c>
      <c r="G2300" t="s">
        <v>127</v>
      </c>
      <c r="H2300" t="s">
        <v>358</v>
      </c>
      <c r="I2300">
        <v>0.05</v>
      </c>
      <c r="J2300">
        <f t="shared" si="105"/>
        <v>32</v>
      </c>
      <c r="K2300">
        <v>3</v>
      </c>
      <c r="L2300">
        <f t="shared" si="106"/>
        <v>29</v>
      </c>
      <c r="M2300" s="4">
        <f t="shared" si="107"/>
        <v>4.1428571428571426E-2</v>
      </c>
      <c r="N2300">
        <v>700</v>
      </c>
      <c r="O2300">
        <v>640</v>
      </c>
      <c r="P2300" t="s">
        <v>322</v>
      </c>
      <c r="Q2300" t="s">
        <v>284</v>
      </c>
      <c r="R2300" t="str">
        <f>IF(COUNTIF(Sheet2!B:B, A2300) &gt; 0, "Yes", "No")</f>
        <v>No</v>
      </c>
    </row>
    <row r="2301" spans="1:18" x14ac:dyDescent="0.25">
      <c r="A2301" s="3">
        <v>45461</v>
      </c>
      <c r="B2301" t="s">
        <v>234</v>
      </c>
      <c r="C2301" t="s">
        <v>105</v>
      </c>
      <c r="D2301" t="s">
        <v>20</v>
      </c>
      <c r="E2301" t="s">
        <v>67</v>
      </c>
      <c r="F2301" t="s">
        <v>43</v>
      </c>
      <c r="G2301" t="s">
        <v>44</v>
      </c>
      <c r="H2301" t="s">
        <v>609</v>
      </c>
      <c r="I2301">
        <v>0.11</v>
      </c>
      <c r="J2301">
        <f t="shared" si="105"/>
        <v>70.400000000000006</v>
      </c>
      <c r="K2301">
        <v>0</v>
      </c>
      <c r="L2301">
        <f t="shared" si="106"/>
        <v>70.400000000000006</v>
      </c>
      <c r="M2301" s="4">
        <f t="shared" si="107"/>
        <v>0.10057142857142858</v>
      </c>
      <c r="N2301">
        <v>700</v>
      </c>
      <c r="O2301">
        <v>640</v>
      </c>
      <c r="P2301" t="s">
        <v>322</v>
      </c>
      <c r="Q2301" t="s">
        <v>284</v>
      </c>
      <c r="R2301" t="str">
        <f>IF(COUNTIF(Sheet2!B:B, A2301) &gt; 0, "Yes", "No")</f>
        <v>No</v>
      </c>
    </row>
    <row r="2302" spans="1:18" x14ac:dyDescent="0.25">
      <c r="A2302" s="3">
        <v>45461</v>
      </c>
      <c r="B2302" t="s">
        <v>234</v>
      </c>
      <c r="C2302" t="s">
        <v>105</v>
      </c>
      <c r="D2302" t="s">
        <v>20</v>
      </c>
      <c r="E2302" t="s">
        <v>67</v>
      </c>
      <c r="F2302" t="s">
        <v>46</v>
      </c>
      <c r="G2302" t="s">
        <v>103</v>
      </c>
      <c r="H2302" t="s">
        <v>610</v>
      </c>
      <c r="I2302">
        <v>0.09</v>
      </c>
      <c r="J2302">
        <f t="shared" si="105"/>
        <v>57.599999999999994</v>
      </c>
      <c r="K2302">
        <v>0</v>
      </c>
      <c r="L2302">
        <f t="shared" si="106"/>
        <v>57.599999999999994</v>
      </c>
      <c r="M2302" s="4">
        <f t="shared" si="107"/>
        <v>8.2285714285714281E-2</v>
      </c>
      <c r="N2302">
        <v>700</v>
      </c>
      <c r="O2302">
        <v>640</v>
      </c>
      <c r="P2302" t="s">
        <v>322</v>
      </c>
      <c r="Q2302" t="s">
        <v>284</v>
      </c>
      <c r="R2302" t="str">
        <f>IF(COUNTIF(Sheet2!B:B, A2302) &gt; 0, "Yes", "No")</f>
        <v>No</v>
      </c>
    </row>
    <row r="2303" spans="1:18" x14ac:dyDescent="0.25">
      <c r="A2303" s="3">
        <v>45461</v>
      </c>
      <c r="B2303" t="s">
        <v>234</v>
      </c>
      <c r="C2303" t="s">
        <v>105</v>
      </c>
      <c r="D2303" t="s">
        <v>20</v>
      </c>
      <c r="E2303" t="s">
        <v>67</v>
      </c>
      <c r="F2303" t="s">
        <v>49</v>
      </c>
      <c r="G2303" t="s">
        <v>50</v>
      </c>
      <c r="H2303" t="s">
        <v>49</v>
      </c>
      <c r="I2303">
        <v>0.09</v>
      </c>
      <c r="J2303">
        <f t="shared" si="105"/>
        <v>57.599999999999994</v>
      </c>
      <c r="K2303">
        <v>4</v>
      </c>
      <c r="L2303">
        <f t="shared" si="106"/>
        <v>53.599999999999994</v>
      </c>
      <c r="M2303" s="4">
        <f t="shared" si="107"/>
        <v>7.6571428571428568E-2</v>
      </c>
      <c r="N2303">
        <v>700</v>
      </c>
      <c r="O2303">
        <v>640</v>
      </c>
      <c r="P2303" t="s">
        <v>322</v>
      </c>
      <c r="Q2303" t="s">
        <v>284</v>
      </c>
      <c r="R2303" t="str">
        <f>IF(COUNTIF(Sheet2!B:B, A2303) &gt; 0, "Yes", "No")</f>
        <v>No</v>
      </c>
    </row>
    <row r="2304" spans="1:18" x14ac:dyDescent="0.25">
      <c r="A2304" s="3">
        <v>45462</v>
      </c>
      <c r="B2304" t="s">
        <v>234</v>
      </c>
      <c r="C2304" t="s">
        <v>51</v>
      </c>
      <c r="D2304" t="s">
        <v>20</v>
      </c>
      <c r="E2304" t="s">
        <v>21</v>
      </c>
      <c r="F2304" t="s">
        <v>22</v>
      </c>
      <c r="G2304" t="s">
        <v>23</v>
      </c>
      <c r="H2304" t="s">
        <v>196</v>
      </c>
      <c r="I2304">
        <v>8.5000000000000006E-2</v>
      </c>
      <c r="J2304">
        <f t="shared" si="105"/>
        <v>56.95</v>
      </c>
      <c r="K2304">
        <v>2</v>
      </c>
      <c r="L2304">
        <f t="shared" si="106"/>
        <v>54.95</v>
      </c>
      <c r="M2304" s="4">
        <f t="shared" si="107"/>
        <v>7.3266666666666674E-2</v>
      </c>
      <c r="N2304">
        <v>750</v>
      </c>
      <c r="O2304">
        <v>670</v>
      </c>
      <c r="P2304" t="s">
        <v>25</v>
      </c>
      <c r="Q2304" t="s">
        <v>26</v>
      </c>
      <c r="R2304" t="str">
        <f>IF(COUNTIF(Sheet2!B:B, A2304) &gt; 0, "Yes", "No")</f>
        <v>No</v>
      </c>
    </row>
    <row r="2305" spans="1:18" x14ac:dyDescent="0.25">
      <c r="A2305" s="3">
        <v>45462</v>
      </c>
      <c r="B2305" t="s">
        <v>234</v>
      </c>
      <c r="C2305" t="s">
        <v>51</v>
      </c>
      <c r="D2305" t="s">
        <v>20</v>
      </c>
      <c r="E2305" t="s">
        <v>21</v>
      </c>
      <c r="F2305" t="s">
        <v>27</v>
      </c>
      <c r="G2305" t="s">
        <v>541</v>
      </c>
      <c r="H2305" t="s">
        <v>611</v>
      </c>
      <c r="I2305">
        <v>0.12</v>
      </c>
      <c r="J2305">
        <f t="shared" si="105"/>
        <v>80.399999999999991</v>
      </c>
      <c r="K2305">
        <v>0</v>
      </c>
      <c r="L2305">
        <f t="shared" si="106"/>
        <v>80.399999999999991</v>
      </c>
      <c r="M2305" s="4">
        <f t="shared" si="107"/>
        <v>0.10719999999999999</v>
      </c>
      <c r="N2305">
        <v>750</v>
      </c>
      <c r="O2305">
        <v>670</v>
      </c>
      <c r="P2305" t="s">
        <v>25</v>
      </c>
      <c r="Q2305" t="s">
        <v>26</v>
      </c>
      <c r="R2305" t="str">
        <f>IF(COUNTIF(Sheet2!B:B, A2305) &gt; 0, "Yes", "No")</f>
        <v>No</v>
      </c>
    </row>
    <row r="2306" spans="1:18" x14ac:dyDescent="0.25">
      <c r="A2306" s="3">
        <v>45462</v>
      </c>
      <c r="B2306" t="s">
        <v>234</v>
      </c>
      <c r="C2306" t="s">
        <v>51</v>
      </c>
      <c r="D2306" t="s">
        <v>20</v>
      </c>
      <c r="E2306" t="s">
        <v>21</v>
      </c>
      <c r="F2306" t="s">
        <v>30</v>
      </c>
      <c r="G2306" t="s">
        <v>55</v>
      </c>
      <c r="H2306" t="s">
        <v>183</v>
      </c>
      <c r="I2306">
        <v>0.09</v>
      </c>
      <c r="J2306">
        <f t="shared" si="105"/>
        <v>60.3</v>
      </c>
      <c r="K2306">
        <v>0</v>
      </c>
      <c r="L2306">
        <f t="shared" si="106"/>
        <v>60.3</v>
      </c>
      <c r="M2306" s="4">
        <f t="shared" si="107"/>
        <v>8.0399999999999999E-2</v>
      </c>
      <c r="N2306">
        <v>750</v>
      </c>
      <c r="O2306">
        <v>670</v>
      </c>
      <c r="P2306" t="s">
        <v>25</v>
      </c>
      <c r="Q2306" t="s">
        <v>26</v>
      </c>
      <c r="R2306" t="str">
        <f>IF(COUNTIF(Sheet2!B:B, A2306) &gt; 0, "Yes", "No")</f>
        <v>No</v>
      </c>
    </row>
    <row r="2307" spans="1:18" x14ac:dyDescent="0.25">
      <c r="A2307" s="3">
        <v>45462</v>
      </c>
      <c r="B2307" t="s">
        <v>234</v>
      </c>
      <c r="C2307" t="s">
        <v>51</v>
      </c>
      <c r="D2307" t="s">
        <v>33</v>
      </c>
      <c r="E2307" t="s">
        <v>21</v>
      </c>
      <c r="F2307" t="s">
        <v>34</v>
      </c>
      <c r="G2307" t="s">
        <v>57</v>
      </c>
      <c r="H2307" t="s">
        <v>612</v>
      </c>
      <c r="I2307">
        <v>0.15</v>
      </c>
      <c r="J2307">
        <f t="shared" ref="J2307:J2370" si="108">I2307*O2307</f>
        <v>67.5</v>
      </c>
      <c r="K2307">
        <v>0.5</v>
      </c>
      <c r="L2307">
        <f t="shared" ref="L2307:L2370" si="109">J2307-K2307</f>
        <v>67</v>
      </c>
      <c r="M2307" s="4">
        <f t="shared" ref="M2307:M2370" si="110">((I2307*O2307)-K2307)/N2307</f>
        <v>0.12761904761904763</v>
      </c>
      <c r="N2307">
        <v>525</v>
      </c>
      <c r="O2307">
        <v>450</v>
      </c>
      <c r="P2307" t="s">
        <v>25</v>
      </c>
      <c r="Q2307" t="s">
        <v>26</v>
      </c>
      <c r="R2307" t="str">
        <f>IF(COUNTIF(Sheet2!B:B, A2307) &gt; 0, "Yes", "No")</f>
        <v>No</v>
      </c>
    </row>
    <row r="2308" spans="1:18" x14ac:dyDescent="0.25">
      <c r="A2308" s="3">
        <v>45462</v>
      </c>
      <c r="B2308" t="s">
        <v>234</v>
      </c>
      <c r="C2308" t="s">
        <v>51</v>
      </c>
      <c r="D2308" t="s">
        <v>20</v>
      </c>
      <c r="E2308" t="s">
        <v>21</v>
      </c>
      <c r="F2308" t="s">
        <v>37</v>
      </c>
      <c r="G2308" t="s">
        <v>87</v>
      </c>
      <c r="H2308" t="s">
        <v>88</v>
      </c>
      <c r="I2308">
        <v>0.03</v>
      </c>
      <c r="J2308">
        <f t="shared" si="108"/>
        <v>20.099999999999998</v>
      </c>
      <c r="K2308">
        <v>2</v>
      </c>
      <c r="L2308">
        <f t="shared" si="109"/>
        <v>18.099999999999998</v>
      </c>
      <c r="M2308" s="4">
        <f t="shared" si="110"/>
        <v>2.413333333333333E-2</v>
      </c>
      <c r="N2308">
        <v>750</v>
      </c>
      <c r="O2308">
        <v>670</v>
      </c>
      <c r="P2308" t="s">
        <v>25</v>
      </c>
      <c r="Q2308" t="s">
        <v>26</v>
      </c>
      <c r="R2308" t="str">
        <f>IF(COUNTIF(Sheet2!B:B, A2308) &gt; 0, "Yes", "No")</f>
        <v>No</v>
      </c>
    </row>
    <row r="2309" spans="1:18" x14ac:dyDescent="0.25">
      <c r="A2309" s="3">
        <v>45462</v>
      </c>
      <c r="B2309" t="s">
        <v>234</v>
      </c>
      <c r="C2309" t="s">
        <v>51</v>
      </c>
      <c r="D2309" t="s">
        <v>20</v>
      </c>
      <c r="E2309" t="s">
        <v>21</v>
      </c>
      <c r="F2309" t="s">
        <v>40</v>
      </c>
      <c r="G2309" t="s">
        <v>137</v>
      </c>
      <c r="H2309" t="s">
        <v>138</v>
      </c>
      <c r="I2309">
        <v>4.4999999999999998E-2</v>
      </c>
      <c r="J2309">
        <f t="shared" si="108"/>
        <v>30.15</v>
      </c>
      <c r="K2309">
        <v>2</v>
      </c>
      <c r="L2309">
        <f t="shared" si="109"/>
        <v>28.15</v>
      </c>
      <c r="M2309" s="4">
        <f t="shared" si="110"/>
        <v>3.7533333333333328E-2</v>
      </c>
      <c r="N2309">
        <v>750</v>
      </c>
      <c r="O2309">
        <v>670</v>
      </c>
      <c r="P2309" t="s">
        <v>25</v>
      </c>
      <c r="Q2309" t="s">
        <v>26</v>
      </c>
      <c r="R2309" t="str">
        <f>IF(COUNTIF(Sheet2!B:B, A2309) &gt; 0, "Yes", "No")</f>
        <v>No</v>
      </c>
    </row>
    <row r="2310" spans="1:18" x14ac:dyDescent="0.25">
      <c r="A2310" s="3">
        <v>45462</v>
      </c>
      <c r="B2310" t="s">
        <v>234</v>
      </c>
      <c r="C2310" t="s">
        <v>51</v>
      </c>
      <c r="D2310" t="s">
        <v>20</v>
      </c>
      <c r="E2310" t="s">
        <v>21</v>
      </c>
      <c r="F2310" t="s">
        <v>43</v>
      </c>
      <c r="G2310" t="s">
        <v>75</v>
      </c>
      <c r="H2310" t="s">
        <v>120</v>
      </c>
      <c r="I2310">
        <v>0.11</v>
      </c>
      <c r="J2310">
        <f t="shared" si="108"/>
        <v>73.7</v>
      </c>
      <c r="K2310">
        <v>3</v>
      </c>
      <c r="L2310">
        <f t="shared" si="109"/>
        <v>70.7</v>
      </c>
      <c r="M2310" s="4">
        <f t="shared" si="110"/>
        <v>9.4266666666666665E-2</v>
      </c>
      <c r="N2310">
        <v>750</v>
      </c>
      <c r="O2310">
        <v>670</v>
      </c>
      <c r="P2310" t="s">
        <v>25</v>
      </c>
      <c r="Q2310" t="s">
        <v>26</v>
      </c>
      <c r="R2310" t="str">
        <f>IF(COUNTIF(Sheet2!B:B, A2310) &gt; 0, "Yes", "No")</f>
        <v>No</v>
      </c>
    </row>
    <row r="2311" spans="1:18" x14ac:dyDescent="0.25">
      <c r="A2311" s="3">
        <v>45462</v>
      </c>
      <c r="B2311" t="s">
        <v>234</v>
      </c>
      <c r="C2311" t="s">
        <v>51</v>
      </c>
      <c r="D2311" t="s">
        <v>20</v>
      </c>
      <c r="E2311" t="s">
        <v>21</v>
      </c>
      <c r="F2311" t="s">
        <v>46</v>
      </c>
      <c r="G2311" t="s">
        <v>47</v>
      </c>
      <c r="H2311" t="s">
        <v>113</v>
      </c>
      <c r="I2311">
        <v>8.5000000000000006E-2</v>
      </c>
      <c r="J2311">
        <f t="shared" si="108"/>
        <v>56.95</v>
      </c>
      <c r="K2311">
        <v>2</v>
      </c>
      <c r="L2311">
        <f t="shared" si="109"/>
        <v>54.95</v>
      </c>
      <c r="M2311" s="4">
        <f t="shared" si="110"/>
        <v>7.3266666666666674E-2</v>
      </c>
      <c r="N2311">
        <v>750</v>
      </c>
      <c r="O2311">
        <v>670</v>
      </c>
      <c r="P2311" t="s">
        <v>25</v>
      </c>
      <c r="Q2311" t="s">
        <v>26</v>
      </c>
      <c r="R2311" t="str">
        <f>IF(COUNTIF(Sheet2!B:B, A2311) &gt; 0, "Yes", "No")</f>
        <v>No</v>
      </c>
    </row>
    <row r="2312" spans="1:18" x14ac:dyDescent="0.25">
      <c r="A2312" s="3">
        <v>45462</v>
      </c>
      <c r="B2312" t="s">
        <v>234</v>
      </c>
      <c r="C2312" t="s">
        <v>51</v>
      </c>
      <c r="D2312" t="s">
        <v>20</v>
      </c>
      <c r="E2312" t="s">
        <v>21</v>
      </c>
      <c r="F2312" t="s">
        <v>49</v>
      </c>
      <c r="G2312" t="s">
        <v>50</v>
      </c>
      <c r="H2312" t="s">
        <v>49</v>
      </c>
      <c r="I2312">
        <v>0.09</v>
      </c>
      <c r="J2312">
        <f t="shared" si="108"/>
        <v>60.3</v>
      </c>
      <c r="K2312">
        <v>0</v>
      </c>
      <c r="L2312">
        <f t="shared" si="109"/>
        <v>60.3</v>
      </c>
      <c r="M2312" s="4">
        <f t="shared" si="110"/>
        <v>8.0399999999999999E-2</v>
      </c>
      <c r="N2312">
        <v>750</v>
      </c>
      <c r="O2312">
        <v>670</v>
      </c>
      <c r="P2312" t="s">
        <v>25</v>
      </c>
      <c r="Q2312" t="s">
        <v>26</v>
      </c>
      <c r="R2312" t="str">
        <f>IF(COUNTIF(Sheet2!B:B, A2312) &gt; 0, "Yes", "No")</f>
        <v>No</v>
      </c>
    </row>
    <row r="2313" spans="1:18" x14ac:dyDescent="0.25">
      <c r="A2313" s="3">
        <v>45463</v>
      </c>
      <c r="B2313" t="s">
        <v>234</v>
      </c>
      <c r="C2313" t="s">
        <v>66</v>
      </c>
      <c r="D2313" t="s">
        <v>20</v>
      </c>
      <c r="E2313" t="s">
        <v>67</v>
      </c>
      <c r="F2313" t="s">
        <v>22</v>
      </c>
      <c r="G2313" t="s">
        <v>23</v>
      </c>
      <c r="H2313" t="s">
        <v>80</v>
      </c>
      <c r="I2313">
        <v>8.5000000000000006E-2</v>
      </c>
      <c r="J2313">
        <f t="shared" si="108"/>
        <v>56.1</v>
      </c>
      <c r="K2313">
        <v>3</v>
      </c>
      <c r="L2313">
        <f t="shared" si="109"/>
        <v>53.1</v>
      </c>
      <c r="M2313" s="4">
        <f t="shared" si="110"/>
        <v>7.2739726027397256E-2</v>
      </c>
      <c r="N2313">
        <v>730</v>
      </c>
      <c r="O2313">
        <v>660</v>
      </c>
      <c r="P2313" t="s">
        <v>25</v>
      </c>
      <c r="Q2313" t="s">
        <v>26</v>
      </c>
      <c r="R2313" t="str">
        <f>IF(COUNTIF(Sheet2!B:B, A2313) &gt; 0, "Yes", "No")</f>
        <v>No</v>
      </c>
    </row>
    <row r="2314" spans="1:18" x14ac:dyDescent="0.25">
      <c r="A2314" s="3">
        <v>45463</v>
      </c>
      <c r="B2314" t="s">
        <v>234</v>
      </c>
      <c r="C2314" t="s">
        <v>66</v>
      </c>
      <c r="D2314" t="s">
        <v>20</v>
      </c>
      <c r="E2314" t="s">
        <v>67</v>
      </c>
      <c r="F2314" t="s">
        <v>27</v>
      </c>
      <c r="G2314" t="s">
        <v>304</v>
      </c>
      <c r="H2314" t="s">
        <v>613</v>
      </c>
      <c r="I2314">
        <v>0.12</v>
      </c>
      <c r="J2314">
        <f t="shared" si="108"/>
        <v>79.2</v>
      </c>
      <c r="K2314">
        <v>0.5</v>
      </c>
      <c r="L2314">
        <f t="shared" si="109"/>
        <v>78.7</v>
      </c>
      <c r="M2314" s="4">
        <f t="shared" si="110"/>
        <v>0.1078082191780822</v>
      </c>
      <c r="N2314">
        <v>730</v>
      </c>
      <c r="O2314">
        <v>660</v>
      </c>
      <c r="P2314" t="s">
        <v>25</v>
      </c>
      <c r="Q2314" t="s">
        <v>26</v>
      </c>
      <c r="R2314" t="str">
        <f>IF(COUNTIF(Sheet2!B:B, A2314) &gt; 0, "Yes", "No")</f>
        <v>No</v>
      </c>
    </row>
    <row r="2315" spans="1:18" x14ac:dyDescent="0.25">
      <c r="A2315" s="3">
        <v>45463</v>
      </c>
      <c r="B2315" t="s">
        <v>234</v>
      </c>
      <c r="C2315" t="s">
        <v>66</v>
      </c>
      <c r="D2315" t="s">
        <v>20</v>
      </c>
      <c r="E2315" t="s">
        <v>67</v>
      </c>
      <c r="F2315" t="s">
        <v>30</v>
      </c>
      <c r="G2315" t="s">
        <v>55</v>
      </c>
      <c r="H2315" t="s">
        <v>134</v>
      </c>
      <c r="I2315">
        <v>0.09</v>
      </c>
      <c r="J2315">
        <f t="shared" si="108"/>
        <v>59.4</v>
      </c>
      <c r="K2315">
        <v>2</v>
      </c>
      <c r="L2315">
        <f t="shared" si="109"/>
        <v>57.4</v>
      </c>
      <c r="M2315" s="4">
        <f t="shared" si="110"/>
        <v>7.8630136986301363E-2</v>
      </c>
      <c r="N2315">
        <v>730</v>
      </c>
      <c r="O2315">
        <v>660</v>
      </c>
      <c r="P2315" t="s">
        <v>25</v>
      </c>
      <c r="Q2315" t="s">
        <v>26</v>
      </c>
      <c r="R2315" t="str">
        <f>IF(COUNTIF(Sheet2!B:B, A2315) &gt; 0, "Yes", "No")</f>
        <v>No</v>
      </c>
    </row>
    <row r="2316" spans="1:18" x14ac:dyDescent="0.25">
      <c r="A2316" s="3">
        <v>45463</v>
      </c>
      <c r="B2316" t="s">
        <v>234</v>
      </c>
      <c r="C2316" t="s">
        <v>66</v>
      </c>
      <c r="D2316" t="s">
        <v>20</v>
      </c>
      <c r="E2316" t="s">
        <v>67</v>
      </c>
      <c r="F2316" t="s">
        <v>37</v>
      </c>
      <c r="G2316" t="s">
        <v>117</v>
      </c>
      <c r="H2316" t="s">
        <v>118</v>
      </c>
      <c r="I2316">
        <v>3.5000000000000003E-2</v>
      </c>
      <c r="J2316">
        <f t="shared" si="108"/>
        <v>23.1</v>
      </c>
      <c r="K2316">
        <v>2</v>
      </c>
      <c r="L2316">
        <f t="shared" si="109"/>
        <v>21.1</v>
      </c>
      <c r="M2316" s="4">
        <f t="shared" si="110"/>
        <v>2.8904109589041098E-2</v>
      </c>
      <c r="N2316">
        <v>730</v>
      </c>
      <c r="O2316">
        <v>660</v>
      </c>
      <c r="P2316" t="s">
        <v>25</v>
      </c>
      <c r="Q2316" t="s">
        <v>26</v>
      </c>
      <c r="R2316" t="str">
        <f>IF(COUNTIF(Sheet2!B:B, A2316) &gt; 0, "Yes", "No")</f>
        <v>No</v>
      </c>
    </row>
    <row r="2317" spans="1:18" x14ac:dyDescent="0.25">
      <c r="A2317" s="3">
        <v>45463</v>
      </c>
      <c r="B2317" t="s">
        <v>234</v>
      </c>
      <c r="C2317" t="s">
        <v>66</v>
      </c>
      <c r="D2317" t="s">
        <v>20</v>
      </c>
      <c r="E2317" t="s">
        <v>67</v>
      </c>
      <c r="F2317" t="s">
        <v>40</v>
      </c>
      <c r="G2317" t="s">
        <v>41</v>
      </c>
      <c r="H2317" t="s">
        <v>42</v>
      </c>
      <c r="I2317">
        <v>0.05</v>
      </c>
      <c r="J2317">
        <f t="shared" si="108"/>
        <v>33</v>
      </c>
      <c r="K2317">
        <v>4</v>
      </c>
      <c r="L2317">
        <f t="shared" si="109"/>
        <v>29</v>
      </c>
      <c r="M2317" s="4">
        <f t="shared" si="110"/>
        <v>3.9726027397260277E-2</v>
      </c>
      <c r="N2317">
        <v>730</v>
      </c>
      <c r="O2317">
        <v>660</v>
      </c>
      <c r="P2317" t="s">
        <v>25</v>
      </c>
      <c r="Q2317" t="s">
        <v>26</v>
      </c>
      <c r="R2317" t="str">
        <f>IF(COUNTIF(Sheet2!B:B, A2317) &gt; 0, "Yes", "No")</f>
        <v>No</v>
      </c>
    </row>
    <row r="2318" spans="1:18" x14ac:dyDescent="0.25">
      <c r="A2318" s="3">
        <v>45463</v>
      </c>
      <c r="B2318" t="s">
        <v>234</v>
      </c>
      <c r="C2318" t="s">
        <v>66</v>
      </c>
      <c r="D2318" t="s">
        <v>20</v>
      </c>
      <c r="E2318" t="s">
        <v>67</v>
      </c>
      <c r="F2318" t="s">
        <v>43</v>
      </c>
      <c r="G2318" t="s">
        <v>139</v>
      </c>
      <c r="H2318" t="s">
        <v>614</v>
      </c>
      <c r="I2318">
        <v>0.11</v>
      </c>
      <c r="J2318">
        <f t="shared" si="108"/>
        <v>72.599999999999994</v>
      </c>
      <c r="K2318">
        <v>4</v>
      </c>
      <c r="L2318">
        <f t="shared" si="109"/>
        <v>68.599999999999994</v>
      </c>
      <c r="M2318" s="4">
        <f t="shared" si="110"/>
        <v>9.3972602739726019E-2</v>
      </c>
      <c r="N2318">
        <v>730</v>
      </c>
      <c r="O2318">
        <v>660</v>
      </c>
      <c r="P2318" t="s">
        <v>25</v>
      </c>
      <c r="Q2318" t="s">
        <v>26</v>
      </c>
      <c r="R2318" t="str">
        <f>IF(COUNTIF(Sheet2!B:B, A2318) &gt; 0, "Yes", "No")</f>
        <v>No</v>
      </c>
    </row>
    <row r="2319" spans="1:18" x14ac:dyDescent="0.25">
      <c r="A2319" s="3">
        <v>45463</v>
      </c>
      <c r="B2319" t="s">
        <v>234</v>
      </c>
      <c r="C2319" t="s">
        <v>66</v>
      </c>
      <c r="D2319" t="s">
        <v>20</v>
      </c>
      <c r="E2319" t="s">
        <v>67</v>
      </c>
      <c r="F2319" t="s">
        <v>46</v>
      </c>
      <c r="G2319" t="s">
        <v>130</v>
      </c>
      <c r="H2319" t="s">
        <v>209</v>
      </c>
      <c r="I2319">
        <v>8.5000000000000006E-2</v>
      </c>
      <c r="J2319">
        <f t="shared" si="108"/>
        <v>56.1</v>
      </c>
      <c r="K2319">
        <v>0.2</v>
      </c>
      <c r="L2319">
        <f t="shared" si="109"/>
        <v>55.9</v>
      </c>
      <c r="M2319" s="4">
        <f t="shared" si="110"/>
        <v>7.6575342465753427E-2</v>
      </c>
      <c r="N2319">
        <v>730</v>
      </c>
      <c r="O2319">
        <v>660</v>
      </c>
      <c r="P2319" t="s">
        <v>25</v>
      </c>
      <c r="Q2319" t="s">
        <v>26</v>
      </c>
      <c r="R2319" t="str">
        <f>IF(COUNTIF(Sheet2!B:B, A2319) &gt; 0, "Yes", "No")</f>
        <v>No</v>
      </c>
    </row>
    <row r="2320" spans="1:18" x14ac:dyDescent="0.25">
      <c r="A2320" s="3">
        <v>45463</v>
      </c>
      <c r="B2320" t="s">
        <v>234</v>
      </c>
      <c r="C2320" t="s">
        <v>66</v>
      </c>
      <c r="D2320" t="s">
        <v>20</v>
      </c>
      <c r="E2320" t="s">
        <v>67</v>
      </c>
      <c r="F2320" t="s">
        <v>49</v>
      </c>
      <c r="G2320" t="s">
        <v>50</v>
      </c>
      <c r="H2320" t="s">
        <v>49</v>
      </c>
      <c r="I2320">
        <v>0.09</v>
      </c>
      <c r="J2320">
        <f t="shared" si="108"/>
        <v>59.4</v>
      </c>
      <c r="K2320">
        <v>4</v>
      </c>
      <c r="L2320">
        <f t="shared" si="109"/>
        <v>55.4</v>
      </c>
      <c r="M2320" s="4">
        <f t="shared" si="110"/>
        <v>7.5890410958904114E-2</v>
      </c>
      <c r="N2320">
        <v>730</v>
      </c>
      <c r="O2320">
        <v>660</v>
      </c>
      <c r="P2320" t="s">
        <v>25</v>
      </c>
      <c r="Q2320" t="s">
        <v>26</v>
      </c>
      <c r="R2320" t="str">
        <f>IF(COUNTIF(Sheet2!B:B, A2320) &gt; 0, "Yes", "No")</f>
        <v>No</v>
      </c>
    </row>
    <row r="2321" spans="1:18" x14ac:dyDescent="0.25">
      <c r="A2321" s="3">
        <v>45464</v>
      </c>
      <c r="B2321" t="s">
        <v>234</v>
      </c>
      <c r="C2321" t="s">
        <v>79</v>
      </c>
      <c r="D2321" t="s">
        <v>20</v>
      </c>
      <c r="E2321" t="s">
        <v>21</v>
      </c>
      <c r="F2321" t="s">
        <v>22</v>
      </c>
      <c r="G2321" t="s">
        <v>52</v>
      </c>
      <c r="H2321" t="s">
        <v>148</v>
      </c>
      <c r="I2321" s="5">
        <v>0.06</v>
      </c>
      <c r="J2321">
        <f t="shared" si="108"/>
        <v>36</v>
      </c>
      <c r="K2321">
        <v>2</v>
      </c>
      <c r="L2321">
        <f t="shared" si="109"/>
        <v>34</v>
      </c>
      <c r="M2321" s="4">
        <f t="shared" si="110"/>
        <v>5.2307692307692305E-2</v>
      </c>
      <c r="N2321">
        <v>650</v>
      </c>
      <c r="O2321">
        <v>600</v>
      </c>
      <c r="P2321" t="s">
        <v>25</v>
      </c>
      <c r="Q2321" t="s">
        <v>26</v>
      </c>
      <c r="R2321" t="str">
        <f>IF(COUNTIF(Sheet2!B:B, A2321) &gt; 0, "Yes", "No")</f>
        <v>Yes</v>
      </c>
    </row>
    <row r="2322" spans="1:18" x14ac:dyDescent="0.25">
      <c r="A2322" s="3">
        <v>45464</v>
      </c>
      <c r="B2322" t="s">
        <v>234</v>
      </c>
      <c r="C2322" t="s">
        <v>79</v>
      </c>
      <c r="D2322" t="s">
        <v>20</v>
      </c>
      <c r="E2322" t="s">
        <v>21</v>
      </c>
      <c r="F2322" t="s">
        <v>27</v>
      </c>
      <c r="G2322" t="s">
        <v>81</v>
      </c>
      <c r="H2322" t="s">
        <v>378</v>
      </c>
      <c r="I2322" s="5">
        <v>0.1</v>
      </c>
      <c r="J2322">
        <f t="shared" si="108"/>
        <v>60</v>
      </c>
      <c r="K2322">
        <v>3</v>
      </c>
      <c r="L2322">
        <f t="shared" si="109"/>
        <v>57</v>
      </c>
      <c r="M2322" s="4">
        <f t="shared" si="110"/>
        <v>8.7692307692307694E-2</v>
      </c>
      <c r="N2322">
        <v>650</v>
      </c>
      <c r="O2322">
        <v>600</v>
      </c>
      <c r="P2322" t="s">
        <v>25</v>
      </c>
      <c r="Q2322" t="s">
        <v>26</v>
      </c>
      <c r="R2322" t="str">
        <f>IF(COUNTIF(Sheet2!B:B, A2322) &gt; 0, "Yes", "No")</f>
        <v>Yes</v>
      </c>
    </row>
    <row r="2323" spans="1:18" x14ac:dyDescent="0.25">
      <c r="A2323" s="3">
        <v>45464</v>
      </c>
      <c r="B2323" t="s">
        <v>234</v>
      </c>
      <c r="C2323" t="s">
        <v>79</v>
      </c>
      <c r="D2323" t="s">
        <v>20</v>
      </c>
      <c r="E2323" t="s">
        <v>21</v>
      </c>
      <c r="F2323" t="s">
        <v>30</v>
      </c>
      <c r="G2323" t="s">
        <v>31</v>
      </c>
      <c r="H2323" t="s">
        <v>70</v>
      </c>
      <c r="I2323" s="5">
        <v>0.06</v>
      </c>
      <c r="J2323">
        <f t="shared" si="108"/>
        <v>36</v>
      </c>
      <c r="K2323">
        <v>2</v>
      </c>
      <c r="L2323">
        <f t="shared" si="109"/>
        <v>34</v>
      </c>
      <c r="M2323" s="4">
        <f t="shared" si="110"/>
        <v>5.2307692307692305E-2</v>
      </c>
      <c r="N2323">
        <v>650</v>
      </c>
      <c r="O2323">
        <v>600</v>
      </c>
      <c r="P2323" t="s">
        <v>25</v>
      </c>
      <c r="Q2323" t="s">
        <v>26</v>
      </c>
      <c r="R2323" t="str">
        <f>IF(COUNTIF(Sheet2!B:B, A2323) &gt; 0, "Yes", "No")</f>
        <v>Yes</v>
      </c>
    </row>
    <row r="2324" spans="1:18" x14ac:dyDescent="0.25">
      <c r="A2324" s="3">
        <v>45464</v>
      </c>
      <c r="B2324" t="s">
        <v>234</v>
      </c>
      <c r="C2324" t="s">
        <v>79</v>
      </c>
      <c r="D2324" t="s">
        <v>33</v>
      </c>
      <c r="E2324" t="s">
        <v>21</v>
      </c>
      <c r="F2324" t="s">
        <v>84</v>
      </c>
      <c r="G2324" t="s">
        <v>85</v>
      </c>
      <c r="H2324" t="s">
        <v>86</v>
      </c>
      <c r="I2324" s="5">
        <v>0.3</v>
      </c>
      <c r="J2324">
        <f t="shared" si="108"/>
        <v>126</v>
      </c>
      <c r="K2324">
        <v>0</v>
      </c>
      <c r="L2324">
        <f t="shared" si="109"/>
        <v>126</v>
      </c>
      <c r="M2324" s="4">
        <f t="shared" si="110"/>
        <v>0.27692307692307694</v>
      </c>
      <c r="N2324">
        <v>455</v>
      </c>
      <c r="O2324">
        <v>420</v>
      </c>
      <c r="P2324" t="s">
        <v>25</v>
      </c>
      <c r="Q2324" t="s">
        <v>26</v>
      </c>
      <c r="R2324" t="str">
        <f>IF(COUNTIF(Sheet2!B:B, A2324) &gt; 0, "Yes", "No")</f>
        <v>Yes</v>
      </c>
    </row>
    <row r="2325" spans="1:18" x14ac:dyDescent="0.25">
      <c r="A2325" s="3">
        <v>45464</v>
      </c>
      <c r="B2325" t="s">
        <v>234</v>
      </c>
      <c r="C2325" t="s">
        <v>79</v>
      </c>
      <c r="D2325" t="s">
        <v>20</v>
      </c>
      <c r="E2325" t="s">
        <v>21</v>
      </c>
      <c r="F2325" t="s">
        <v>37</v>
      </c>
      <c r="G2325" t="s">
        <v>71</v>
      </c>
      <c r="H2325" t="s">
        <v>151</v>
      </c>
      <c r="I2325" s="5">
        <v>2.5000000000000001E-2</v>
      </c>
      <c r="J2325">
        <f t="shared" si="108"/>
        <v>15</v>
      </c>
      <c r="K2325">
        <v>2</v>
      </c>
      <c r="L2325">
        <f t="shared" si="109"/>
        <v>13</v>
      </c>
      <c r="M2325" s="4">
        <f t="shared" si="110"/>
        <v>0.02</v>
      </c>
      <c r="N2325">
        <v>650</v>
      </c>
      <c r="O2325">
        <v>600</v>
      </c>
      <c r="P2325" t="s">
        <v>25</v>
      </c>
      <c r="Q2325" t="s">
        <v>26</v>
      </c>
      <c r="R2325" t="str">
        <f>IF(COUNTIF(Sheet2!B:B, A2325) &gt; 0, "Yes", "No")</f>
        <v>Yes</v>
      </c>
    </row>
    <row r="2326" spans="1:18" x14ac:dyDescent="0.25">
      <c r="A2326" s="3">
        <v>45464</v>
      </c>
      <c r="B2326" t="s">
        <v>234</v>
      </c>
      <c r="C2326" t="s">
        <v>79</v>
      </c>
      <c r="D2326" t="s">
        <v>20</v>
      </c>
      <c r="E2326" t="s">
        <v>21</v>
      </c>
      <c r="F2326" t="s">
        <v>40</v>
      </c>
      <c r="G2326" t="s">
        <v>61</v>
      </c>
      <c r="H2326" t="s">
        <v>62</v>
      </c>
      <c r="I2326" s="5">
        <v>0.04</v>
      </c>
      <c r="J2326">
        <f t="shared" si="108"/>
        <v>24</v>
      </c>
      <c r="K2326">
        <v>3</v>
      </c>
      <c r="L2326">
        <f t="shared" si="109"/>
        <v>21</v>
      </c>
      <c r="M2326" s="4">
        <f t="shared" si="110"/>
        <v>3.2307692307692308E-2</v>
      </c>
      <c r="N2326">
        <v>650</v>
      </c>
      <c r="O2326">
        <v>600</v>
      </c>
      <c r="P2326" t="s">
        <v>25</v>
      </c>
      <c r="Q2326" t="s">
        <v>26</v>
      </c>
      <c r="R2326" t="str">
        <f>IF(COUNTIF(Sheet2!B:B, A2326) &gt; 0, "Yes", "No")</f>
        <v>Yes</v>
      </c>
    </row>
    <row r="2327" spans="1:18" x14ac:dyDescent="0.25">
      <c r="A2327" s="3">
        <v>45464</v>
      </c>
      <c r="B2327" t="s">
        <v>234</v>
      </c>
      <c r="C2327" t="s">
        <v>79</v>
      </c>
      <c r="D2327" t="s">
        <v>20</v>
      </c>
      <c r="E2327" t="s">
        <v>21</v>
      </c>
      <c r="F2327" t="s">
        <v>43</v>
      </c>
      <c r="G2327" t="s">
        <v>90</v>
      </c>
      <c r="H2327" t="s">
        <v>543</v>
      </c>
      <c r="I2327" s="5">
        <v>7.4999999999999997E-2</v>
      </c>
      <c r="J2327">
        <f t="shared" si="108"/>
        <v>45</v>
      </c>
      <c r="K2327">
        <v>3</v>
      </c>
      <c r="L2327">
        <f t="shared" si="109"/>
        <v>42</v>
      </c>
      <c r="M2327" s="4">
        <f t="shared" si="110"/>
        <v>6.4615384615384616E-2</v>
      </c>
      <c r="N2327">
        <v>650</v>
      </c>
      <c r="O2327">
        <v>600</v>
      </c>
      <c r="P2327" t="s">
        <v>25</v>
      </c>
      <c r="Q2327" t="s">
        <v>26</v>
      </c>
      <c r="R2327" t="str">
        <f>IF(COUNTIF(Sheet2!B:B, A2327) &gt; 0, "Yes", "No")</f>
        <v>Yes</v>
      </c>
    </row>
    <row r="2328" spans="1:18" x14ac:dyDescent="0.25">
      <c r="A2328" s="3">
        <v>45464</v>
      </c>
      <c r="B2328" t="s">
        <v>234</v>
      </c>
      <c r="C2328" t="s">
        <v>79</v>
      </c>
      <c r="D2328" t="s">
        <v>20</v>
      </c>
      <c r="E2328" t="s">
        <v>21</v>
      </c>
      <c r="F2328" t="s">
        <v>46</v>
      </c>
      <c r="G2328" t="s">
        <v>412</v>
      </c>
      <c r="H2328" t="s">
        <v>615</v>
      </c>
      <c r="I2328" s="5">
        <v>0.06</v>
      </c>
      <c r="J2328">
        <f t="shared" si="108"/>
        <v>36</v>
      </c>
      <c r="K2328">
        <v>1</v>
      </c>
      <c r="L2328">
        <f t="shared" si="109"/>
        <v>35</v>
      </c>
      <c r="M2328" s="4">
        <f t="shared" si="110"/>
        <v>5.3846153846153849E-2</v>
      </c>
      <c r="N2328">
        <v>650</v>
      </c>
      <c r="O2328">
        <v>600</v>
      </c>
      <c r="P2328" t="s">
        <v>25</v>
      </c>
      <c r="Q2328" t="s">
        <v>26</v>
      </c>
      <c r="R2328" t="str">
        <f>IF(COUNTIF(Sheet2!B:B, A2328) &gt; 0, "Yes", "No")</f>
        <v>Yes</v>
      </c>
    </row>
    <row r="2329" spans="1:18" x14ac:dyDescent="0.25">
      <c r="A2329" s="3">
        <v>45464</v>
      </c>
      <c r="B2329" t="s">
        <v>234</v>
      </c>
      <c r="C2329" t="s">
        <v>79</v>
      </c>
      <c r="D2329" t="s">
        <v>20</v>
      </c>
      <c r="E2329" t="s">
        <v>21</v>
      </c>
      <c r="F2329" t="s">
        <v>49</v>
      </c>
      <c r="G2329" t="s">
        <v>50</v>
      </c>
      <c r="H2329" t="s">
        <v>49</v>
      </c>
      <c r="I2329" s="5">
        <v>0.04</v>
      </c>
      <c r="J2329">
        <f t="shared" si="108"/>
        <v>24</v>
      </c>
      <c r="K2329">
        <v>3</v>
      </c>
      <c r="L2329">
        <f t="shared" si="109"/>
        <v>21</v>
      </c>
      <c r="M2329" s="4">
        <f t="shared" si="110"/>
        <v>3.2307692307692308E-2</v>
      </c>
      <c r="N2329">
        <v>650</v>
      </c>
      <c r="O2329">
        <v>600</v>
      </c>
      <c r="P2329" t="s">
        <v>25</v>
      </c>
      <c r="Q2329" t="s">
        <v>26</v>
      </c>
      <c r="R2329" t="str">
        <f>IF(COUNTIF(Sheet2!B:B, A2329) &gt; 0, "Yes", "No")</f>
        <v>Yes</v>
      </c>
    </row>
    <row r="2330" spans="1:18" x14ac:dyDescent="0.25">
      <c r="A2330" s="3">
        <v>45467</v>
      </c>
      <c r="B2330" t="s">
        <v>234</v>
      </c>
      <c r="C2330" t="s">
        <v>19</v>
      </c>
      <c r="D2330" t="s">
        <v>20</v>
      </c>
      <c r="E2330" t="s">
        <v>21</v>
      </c>
      <c r="F2330" t="s">
        <v>22</v>
      </c>
      <c r="G2330" t="s">
        <v>52</v>
      </c>
      <c r="H2330" t="s">
        <v>68</v>
      </c>
      <c r="I2330">
        <v>8.5000000000000006E-2</v>
      </c>
      <c r="J2330">
        <f t="shared" si="108"/>
        <v>63.750000000000007</v>
      </c>
      <c r="K2330">
        <v>5</v>
      </c>
      <c r="L2330">
        <f t="shared" si="109"/>
        <v>58.750000000000007</v>
      </c>
      <c r="M2330" s="4">
        <f t="shared" si="110"/>
        <v>6.9117647058823534E-2</v>
      </c>
      <c r="N2330">
        <v>850</v>
      </c>
      <c r="O2330">
        <v>750</v>
      </c>
      <c r="P2330" t="s">
        <v>25</v>
      </c>
      <c r="Q2330" t="s">
        <v>26</v>
      </c>
      <c r="R2330" t="str">
        <f>IF(COUNTIF(Sheet2!B:B, A2330) &gt; 0, "Yes", "No")</f>
        <v>No</v>
      </c>
    </row>
    <row r="2331" spans="1:18" x14ac:dyDescent="0.25">
      <c r="A2331" s="3">
        <v>45467</v>
      </c>
      <c r="B2331" t="s">
        <v>234</v>
      </c>
      <c r="C2331" t="s">
        <v>19</v>
      </c>
      <c r="D2331" t="s">
        <v>20</v>
      </c>
      <c r="E2331" t="s">
        <v>21</v>
      </c>
      <c r="F2331" t="s">
        <v>27</v>
      </c>
      <c r="G2331" t="s">
        <v>28</v>
      </c>
      <c r="H2331" t="s">
        <v>229</v>
      </c>
      <c r="I2331">
        <v>0.11</v>
      </c>
      <c r="J2331">
        <f t="shared" si="108"/>
        <v>82.5</v>
      </c>
      <c r="K2331">
        <v>5</v>
      </c>
      <c r="L2331">
        <f t="shared" si="109"/>
        <v>77.5</v>
      </c>
      <c r="M2331" s="4">
        <f t="shared" si="110"/>
        <v>9.1176470588235289E-2</v>
      </c>
      <c r="N2331">
        <v>850</v>
      </c>
      <c r="O2331">
        <v>750</v>
      </c>
      <c r="P2331" t="s">
        <v>25</v>
      </c>
      <c r="Q2331" t="s">
        <v>26</v>
      </c>
      <c r="R2331" t="str">
        <f>IF(COUNTIF(Sheet2!B:B, A2331) &gt; 0, "Yes", "No")</f>
        <v>No</v>
      </c>
    </row>
    <row r="2332" spans="1:18" x14ac:dyDescent="0.25">
      <c r="A2332" s="3">
        <v>45467</v>
      </c>
      <c r="B2332" t="s">
        <v>234</v>
      </c>
      <c r="C2332" t="s">
        <v>19</v>
      </c>
      <c r="D2332" t="s">
        <v>20</v>
      </c>
      <c r="E2332" t="s">
        <v>21</v>
      </c>
      <c r="F2332" t="s">
        <v>30</v>
      </c>
      <c r="G2332" t="s">
        <v>55</v>
      </c>
      <c r="H2332" t="s">
        <v>183</v>
      </c>
      <c r="I2332">
        <v>0.09</v>
      </c>
      <c r="J2332">
        <f t="shared" si="108"/>
        <v>67.5</v>
      </c>
      <c r="K2332">
        <v>2</v>
      </c>
      <c r="L2332">
        <f t="shared" si="109"/>
        <v>65.5</v>
      </c>
      <c r="M2332" s="4">
        <f t="shared" si="110"/>
        <v>7.7058823529411763E-2</v>
      </c>
      <c r="N2332">
        <v>850</v>
      </c>
      <c r="O2332">
        <v>750</v>
      </c>
      <c r="P2332" t="s">
        <v>25</v>
      </c>
      <c r="Q2332" t="s">
        <v>26</v>
      </c>
      <c r="R2332" t="str">
        <f>IF(COUNTIF(Sheet2!B:B, A2332) &gt; 0, "Yes", "No")</f>
        <v>No</v>
      </c>
    </row>
    <row r="2333" spans="1:18" x14ac:dyDescent="0.25">
      <c r="A2333" s="3">
        <v>45467</v>
      </c>
      <c r="B2333" t="s">
        <v>234</v>
      </c>
      <c r="C2333" t="s">
        <v>19</v>
      </c>
      <c r="D2333" t="s">
        <v>33</v>
      </c>
      <c r="E2333" t="s">
        <v>21</v>
      </c>
      <c r="F2333" t="s">
        <v>34</v>
      </c>
      <c r="G2333" t="s">
        <v>35</v>
      </c>
      <c r="H2333" t="s">
        <v>230</v>
      </c>
      <c r="I2333">
        <v>0.15</v>
      </c>
      <c r="J2333">
        <f t="shared" si="108"/>
        <v>75</v>
      </c>
      <c r="K2333">
        <v>2</v>
      </c>
      <c r="L2333">
        <f t="shared" si="109"/>
        <v>73</v>
      </c>
      <c r="M2333" s="4">
        <f t="shared" si="110"/>
        <v>0.13035714285714287</v>
      </c>
      <c r="N2333">
        <v>560</v>
      </c>
      <c r="O2333">
        <v>500</v>
      </c>
      <c r="P2333" t="s">
        <v>25</v>
      </c>
      <c r="Q2333" t="s">
        <v>26</v>
      </c>
      <c r="R2333" t="str">
        <f>IF(COUNTIF(Sheet2!B:B, A2333) &gt; 0, "Yes", "No")</f>
        <v>No</v>
      </c>
    </row>
    <row r="2334" spans="1:18" x14ac:dyDescent="0.25">
      <c r="A2334" s="3">
        <v>45467</v>
      </c>
      <c r="B2334" t="s">
        <v>234</v>
      </c>
      <c r="C2334" t="s">
        <v>19</v>
      </c>
      <c r="D2334" t="s">
        <v>20</v>
      </c>
      <c r="E2334" t="s">
        <v>21</v>
      </c>
      <c r="F2334" t="s">
        <v>37</v>
      </c>
      <c r="G2334" t="s">
        <v>38</v>
      </c>
      <c r="H2334" t="s">
        <v>39</v>
      </c>
      <c r="I2334">
        <v>0.03</v>
      </c>
      <c r="J2334">
        <f t="shared" si="108"/>
        <v>22.5</v>
      </c>
      <c r="K2334">
        <v>2</v>
      </c>
      <c r="L2334">
        <f t="shared" si="109"/>
        <v>20.5</v>
      </c>
      <c r="M2334" s="4">
        <f t="shared" si="110"/>
        <v>2.4117647058823528E-2</v>
      </c>
      <c r="N2334">
        <v>850</v>
      </c>
      <c r="O2334">
        <v>750</v>
      </c>
      <c r="P2334" t="s">
        <v>25</v>
      </c>
      <c r="Q2334" t="s">
        <v>26</v>
      </c>
      <c r="R2334" t="str">
        <f>IF(COUNTIF(Sheet2!B:B, A2334) &gt; 0, "Yes", "No")</f>
        <v>No</v>
      </c>
    </row>
    <row r="2335" spans="1:18" x14ac:dyDescent="0.25">
      <c r="A2335" s="3">
        <v>45467</v>
      </c>
      <c r="B2335" t="s">
        <v>234</v>
      </c>
      <c r="C2335" t="s">
        <v>19</v>
      </c>
      <c r="D2335" t="s">
        <v>20</v>
      </c>
      <c r="E2335" t="s">
        <v>21</v>
      </c>
      <c r="F2335" t="s">
        <v>40</v>
      </c>
      <c r="G2335" t="s">
        <v>41</v>
      </c>
      <c r="H2335" t="s">
        <v>42</v>
      </c>
      <c r="I2335">
        <v>4.4999999999999998E-2</v>
      </c>
      <c r="J2335">
        <f t="shared" si="108"/>
        <v>33.75</v>
      </c>
      <c r="K2335">
        <v>3</v>
      </c>
      <c r="L2335">
        <f t="shared" si="109"/>
        <v>30.75</v>
      </c>
      <c r="M2335" s="4">
        <f t="shared" si="110"/>
        <v>3.6176470588235296E-2</v>
      </c>
      <c r="N2335">
        <v>850</v>
      </c>
      <c r="O2335">
        <v>750</v>
      </c>
      <c r="P2335" t="s">
        <v>25</v>
      </c>
      <c r="Q2335" t="s">
        <v>26</v>
      </c>
      <c r="R2335" t="str">
        <f>IF(COUNTIF(Sheet2!B:B, A2335) &gt; 0, "Yes", "No")</f>
        <v>No</v>
      </c>
    </row>
    <row r="2336" spans="1:18" x14ac:dyDescent="0.25">
      <c r="A2336" s="3">
        <v>45467</v>
      </c>
      <c r="B2336" t="s">
        <v>234</v>
      </c>
      <c r="C2336" t="s">
        <v>19</v>
      </c>
      <c r="D2336" t="s">
        <v>20</v>
      </c>
      <c r="E2336" t="s">
        <v>21</v>
      </c>
      <c r="F2336" t="s">
        <v>43</v>
      </c>
      <c r="G2336" t="s">
        <v>111</v>
      </c>
      <c r="H2336" t="s">
        <v>112</v>
      </c>
      <c r="I2336">
        <v>0.11</v>
      </c>
      <c r="J2336">
        <f t="shared" si="108"/>
        <v>82.5</v>
      </c>
      <c r="K2336">
        <v>2</v>
      </c>
      <c r="L2336">
        <f t="shared" si="109"/>
        <v>80.5</v>
      </c>
      <c r="M2336" s="4">
        <f t="shared" si="110"/>
        <v>9.4705882352941181E-2</v>
      </c>
      <c r="N2336">
        <v>850</v>
      </c>
      <c r="O2336">
        <v>750</v>
      </c>
      <c r="P2336" t="s">
        <v>25</v>
      </c>
      <c r="Q2336" t="s">
        <v>26</v>
      </c>
      <c r="R2336" t="str">
        <f>IF(COUNTIF(Sheet2!B:B, A2336) &gt; 0, "Yes", "No")</f>
        <v>No</v>
      </c>
    </row>
    <row r="2337" spans="1:18" x14ac:dyDescent="0.25">
      <c r="A2337" s="3">
        <v>45467</v>
      </c>
      <c r="B2337" t="s">
        <v>234</v>
      </c>
      <c r="C2337" t="s">
        <v>19</v>
      </c>
      <c r="D2337" t="s">
        <v>20</v>
      </c>
      <c r="E2337" t="s">
        <v>21</v>
      </c>
      <c r="F2337" t="s">
        <v>46</v>
      </c>
      <c r="G2337" t="s">
        <v>92</v>
      </c>
      <c r="H2337" t="s">
        <v>93</v>
      </c>
      <c r="I2337">
        <v>8.5000000000000006E-2</v>
      </c>
      <c r="J2337">
        <f t="shared" si="108"/>
        <v>63.750000000000007</v>
      </c>
      <c r="K2337">
        <v>4</v>
      </c>
      <c r="L2337">
        <f t="shared" si="109"/>
        <v>59.750000000000007</v>
      </c>
      <c r="M2337" s="4">
        <f t="shared" si="110"/>
        <v>7.0294117647058826E-2</v>
      </c>
      <c r="N2337">
        <v>850</v>
      </c>
      <c r="O2337">
        <v>750</v>
      </c>
      <c r="P2337" t="s">
        <v>25</v>
      </c>
      <c r="Q2337" t="s">
        <v>26</v>
      </c>
      <c r="R2337" t="str">
        <f>IF(COUNTIF(Sheet2!B:B, A2337) &gt; 0, "Yes", "No")</f>
        <v>No</v>
      </c>
    </row>
    <row r="2338" spans="1:18" x14ac:dyDescent="0.25">
      <c r="A2338" s="3">
        <v>45467</v>
      </c>
      <c r="B2338" t="s">
        <v>234</v>
      </c>
      <c r="C2338" t="s">
        <v>19</v>
      </c>
      <c r="D2338" t="s">
        <v>20</v>
      </c>
      <c r="E2338" t="s">
        <v>21</v>
      </c>
      <c r="F2338" t="s">
        <v>49</v>
      </c>
      <c r="G2338" t="s">
        <v>50</v>
      </c>
      <c r="H2338" t="s">
        <v>49</v>
      </c>
      <c r="I2338">
        <v>0.09</v>
      </c>
      <c r="J2338">
        <f t="shared" si="108"/>
        <v>67.5</v>
      </c>
      <c r="K2338">
        <v>2</v>
      </c>
      <c r="L2338">
        <f t="shared" si="109"/>
        <v>65.5</v>
      </c>
      <c r="M2338" s="4">
        <f t="shared" si="110"/>
        <v>7.7058823529411763E-2</v>
      </c>
      <c r="N2338">
        <v>850</v>
      </c>
      <c r="O2338">
        <v>750</v>
      </c>
      <c r="P2338" t="s">
        <v>25</v>
      </c>
      <c r="Q2338" t="s">
        <v>26</v>
      </c>
      <c r="R2338" t="str">
        <f>IF(COUNTIF(Sheet2!B:B, A2338) &gt; 0, "Yes", "No")</f>
        <v>No</v>
      </c>
    </row>
    <row r="2339" spans="1:18" x14ac:dyDescent="0.25">
      <c r="A2339" s="3">
        <v>45468</v>
      </c>
      <c r="B2339" t="s">
        <v>234</v>
      </c>
      <c r="C2339" t="s">
        <v>105</v>
      </c>
      <c r="D2339" t="s">
        <v>20</v>
      </c>
      <c r="E2339" t="s">
        <v>67</v>
      </c>
      <c r="F2339" t="s">
        <v>22</v>
      </c>
      <c r="G2339" t="s">
        <v>94</v>
      </c>
      <c r="H2339" t="s">
        <v>226</v>
      </c>
      <c r="I2339">
        <v>8.5000000000000006E-2</v>
      </c>
      <c r="J2339">
        <f t="shared" si="108"/>
        <v>72.25</v>
      </c>
      <c r="K2339">
        <v>0</v>
      </c>
      <c r="L2339">
        <f t="shared" si="109"/>
        <v>72.25</v>
      </c>
      <c r="M2339" s="4">
        <f t="shared" si="110"/>
        <v>7.6052631578947372E-2</v>
      </c>
      <c r="N2339">
        <v>950</v>
      </c>
      <c r="O2339">
        <v>850</v>
      </c>
      <c r="P2339" t="s">
        <v>25</v>
      </c>
      <c r="Q2339" t="s">
        <v>26</v>
      </c>
      <c r="R2339" t="str">
        <f>IF(COUNTIF(Sheet2!B:B, A2339) &gt; 0, "Yes", "No")</f>
        <v>No</v>
      </c>
    </row>
    <row r="2340" spans="1:18" x14ac:dyDescent="0.25">
      <c r="A2340" s="3">
        <v>45468</v>
      </c>
      <c r="B2340" t="s">
        <v>234</v>
      </c>
      <c r="C2340" t="s">
        <v>105</v>
      </c>
      <c r="D2340" t="s">
        <v>20</v>
      </c>
      <c r="E2340" t="s">
        <v>67</v>
      </c>
      <c r="F2340" t="s">
        <v>27</v>
      </c>
      <c r="G2340" t="s">
        <v>304</v>
      </c>
      <c r="H2340" t="s">
        <v>616</v>
      </c>
      <c r="I2340">
        <v>0.12</v>
      </c>
      <c r="J2340">
        <f t="shared" si="108"/>
        <v>102</v>
      </c>
      <c r="K2340">
        <v>0</v>
      </c>
      <c r="L2340">
        <f t="shared" si="109"/>
        <v>102</v>
      </c>
      <c r="M2340" s="4">
        <f t="shared" si="110"/>
        <v>0.10736842105263159</v>
      </c>
      <c r="N2340">
        <v>950</v>
      </c>
      <c r="O2340">
        <v>850</v>
      </c>
      <c r="P2340" t="s">
        <v>25</v>
      </c>
      <c r="Q2340" t="s">
        <v>26</v>
      </c>
      <c r="R2340" t="str">
        <f>IF(COUNTIF(Sheet2!B:B, A2340) &gt; 0, "Yes", "No")</f>
        <v>No</v>
      </c>
    </row>
    <row r="2341" spans="1:18" x14ac:dyDescent="0.25">
      <c r="A2341" s="3">
        <v>45468</v>
      </c>
      <c r="B2341" t="s">
        <v>234</v>
      </c>
      <c r="C2341" t="s">
        <v>105</v>
      </c>
      <c r="D2341" t="s">
        <v>20</v>
      </c>
      <c r="E2341" t="s">
        <v>67</v>
      </c>
      <c r="F2341" t="s">
        <v>30</v>
      </c>
      <c r="G2341" t="s">
        <v>31</v>
      </c>
      <c r="H2341" t="s">
        <v>172</v>
      </c>
      <c r="I2341">
        <v>0.09</v>
      </c>
      <c r="J2341">
        <f t="shared" si="108"/>
        <v>76.5</v>
      </c>
      <c r="K2341">
        <v>1</v>
      </c>
      <c r="L2341">
        <f t="shared" si="109"/>
        <v>75.5</v>
      </c>
      <c r="M2341" s="4">
        <f t="shared" si="110"/>
        <v>7.9473684210526321E-2</v>
      </c>
      <c r="N2341">
        <v>950</v>
      </c>
      <c r="O2341">
        <v>850</v>
      </c>
      <c r="P2341" t="s">
        <v>25</v>
      </c>
      <c r="Q2341" t="s">
        <v>26</v>
      </c>
      <c r="R2341" t="str">
        <f>IF(COUNTIF(Sheet2!B:B, A2341) &gt; 0, "Yes", "No")</f>
        <v>No</v>
      </c>
    </row>
    <row r="2342" spans="1:18" x14ac:dyDescent="0.25">
      <c r="A2342" s="3">
        <v>45468</v>
      </c>
      <c r="B2342" t="s">
        <v>234</v>
      </c>
      <c r="C2342" t="s">
        <v>105</v>
      </c>
      <c r="D2342" t="s">
        <v>20</v>
      </c>
      <c r="E2342" t="s">
        <v>67</v>
      </c>
      <c r="F2342" t="s">
        <v>37</v>
      </c>
      <c r="G2342" t="s">
        <v>87</v>
      </c>
      <c r="H2342" t="s">
        <v>88</v>
      </c>
      <c r="I2342">
        <v>3.5000000000000003E-2</v>
      </c>
      <c r="J2342">
        <f t="shared" si="108"/>
        <v>29.750000000000004</v>
      </c>
      <c r="K2342">
        <v>2</v>
      </c>
      <c r="L2342">
        <f t="shared" si="109"/>
        <v>27.750000000000004</v>
      </c>
      <c r="M2342" s="4">
        <f t="shared" si="110"/>
        <v>2.9210526315789478E-2</v>
      </c>
      <c r="N2342">
        <v>950</v>
      </c>
      <c r="O2342">
        <v>850</v>
      </c>
      <c r="P2342" t="s">
        <v>25</v>
      </c>
      <c r="Q2342" t="s">
        <v>26</v>
      </c>
      <c r="R2342" t="str">
        <f>IF(COUNTIF(Sheet2!B:B, A2342) &gt; 0, "Yes", "No")</f>
        <v>No</v>
      </c>
    </row>
    <row r="2343" spans="1:18" x14ac:dyDescent="0.25">
      <c r="A2343" s="3">
        <v>45468</v>
      </c>
      <c r="B2343" t="s">
        <v>234</v>
      </c>
      <c r="C2343" t="s">
        <v>105</v>
      </c>
      <c r="D2343" t="s">
        <v>20</v>
      </c>
      <c r="E2343" t="s">
        <v>67</v>
      </c>
      <c r="F2343" t="s">
        <v>40</v>
      </c>
      <c r="G2343" t="s">
        <v>137</v>
      </c>
      <c r="H2343" t="s">
        <v>152</v>
      </c>
      <c r="I2343">
        <v>0.05</v>
      </c>
      <c r="J2343">
        <f t="shared" si="108"/>
        <v>42.5</v>
      </c>
      <c r="K2343">
        <v>2</v>
      </c>
      <c r="L2343">
        <f t="shared" si="109"/>
        <v>40.5</v>
      </c>
      <c r="M2343" s="4">
        <f t="shared" si="110"/>
        <v>4.2631578947368423E-2</v>
      </c>
      <c r="N2343">
        <v>950</v>
      </c>
      <c r="O2343">
        <v>850</v>
      </c>
      <c r="P2343" t="s">
        <v>25</v>
      </c>
      <c r="Q2343" t="s">
        <v>26</v>
      </c>
      <c r="R2343" t="str">
        <f>IF(COUNTIF(Sheet2!B:B, A2343) &gt; 0, "Yes", "No")</f>
        <v>No</v>
      </c>
    </row>
    <row r="2344" spans="1:18" x14ac:dyDescent="0.25">
      <c r="A2344" s="3">
        <v>45468</v>
      </c>
      <c r="B2344" t="s">
        <v>234</v>
      </c>
      <c r="C2344" t="s">
        <v>105</v>
      </c>
      <c r="D2344" t="s">
        <v>20</v>
      </c>
      <c r="E2344" t="s">
        <v>67</v>
      </c>
      <c r="F2344" t="s">
        <v>43</v>
      </c>
      <c r="G2344" t="s">
        <v>90</v>
      </c>
      <c r="H2344" t="s">
        <v>174</v>
      </c>
      <c r="I2344">
        <v>0.11</v>
      </c>
      <c r="J2344">
        <f t="shared" si="108"/>
        <v>93.5</v>
      </c>
      <c r="K2344">
        <v>4</v>
      </c>
      <c r="L2344">
        <f t="shared" si="109"/>
        <v>89.5</v>
      </c>
      <c r="M2344" s="4">
        <f t="shared" si="110"/>
        <v>9.4210526315789467E-2</v>
      </c>
      <c r="N2344">
        <v>950</v>
      </c>
      <c r="O2344">
        <v>850</v>
      </c>
      <c r="P2344" t="s">
        <v>25</v>
      </c>
      <c r="Q2344" t="s">
        <v>26</v>
      </c>
      <c r="R2344" t="str">
        <f>IF(COUNTIF(Sheet2!B:B, A2344) &gt; 0, "Yes", "No")</f>
        <v>No</v>
      </c>
    </row>
    <row r="2345" spans="1:18" x14ac:dyDescent="0.25">
      <c r="A2345" s="3">
        <v>45468</v>
      </c>
      <c r="B2345" t="s">
        <v>234</v>
      </c>
      <c r="C2345" t="s">
        <v>105</v>
      </c>
      <c r="D2345" t="s">
        <v>20</v>
      </c>
      <c r="E2345" t="s">
        <v>67</v>
      </c>
      <c r="F2345" t="s">
        <v>46</v>
      </c>
      <c r="G2345" t="s">
        <v>103</v>
      </c>
      <c r="H2345" t="s">
        <v>617</v>
      </c>
      <c r="I2345">
        <v>0.09</v>
      </c>
      <c r="J2345">
        <f t="shared" si="108"/>
        <v>76.5</v>
      </c>
      <c r="K2345">
        <v>0</v>
      </c>
      <c r="L2345">
        <f t="shared" si="109"/>
        <v>76.5</v>
      </c>
      <c r="M2345" s="4">
        <f t="shared" si="110"/>
        <v>8.0526315789473682E-2</v>
      </c>
      <c r="N2345">
        <v>950</v>
      </c>
      <c r="O2345">
        <v>850</v>
      </c>
      <c r="P2345" t="s">
        <v>25</v>
      </c>
      <c r="Q2345" t="s">
        <v>26</v>
      </c>
      <c r="R2345" t="str">
        <f>IF(COUNTIF(Sheet2!B:B, A2345) &gt; 0, "Yes", "No")</f>
        <v>No</v>
      </c>
    </row>
    <row r="2346" spans="1:18" x14ac:dyDescent="0.25">
      <c r="A2346" s="3">
        <v>45468</v>
      </c>
      <c r="B2346" t="s">
        <v>234</v>
      </c>
      <c r="C2346" t="s">
        <v>105</v>
      </c>
      <c r="D2346" t="s">
        <v>20</v>
      </c>
      <c r="E2346" t="s">
        <v>67</v>
      </c>
      <c r="F2346" t="s">
        <v>49</v>
      </c>
      <c r="G2346" t="s">
        <v>50</v>
      </c>
      <c r="H2346" t="s">
        <v>49</v>
      </c>
      <c r="I2346">
        <v>0.09</v>
      </c>
      <c r="J2346">
        <f t="shared" si="108"/>
        <v>76.5</v>
      </c>
      <c r="K2346">
        <v>8</v>
      </c>
      <c r="L2346">
        <f t="shared" si="109"/>
        <v>68.5</v>
      </c>
      <c r="M2346" s="4">
        <f t="shared" si="110"/>
        <v>7.2105263157894742E-2</v>
      </c>
      <c r="N2346">
        <v>950</v>
      </c>
      <c r="O2346">
        <v>850</v>
      </c>
      <c r="P2346" t="s">
        <v>25</v>
      </c>
      <c r="Q2346" t="s">
        <v>26</v>
      </c>
      <c r="R2346" t="str">
        <f>IF(COUNTIF(Sheet2!B:B, A2346) &gt; 0, "Yes", "No")</f>
        <v>No</v>
      </c>
    </row>
    <row r="2347" spans="1:18" x14ac:dyDescent="0.25">
      <c r="A2347" s="3">
        <v>45469</v>
      </c>
      <c r="B2347" t="s">
        <v>234</v>
      </c>
      <c r="C2347" t="s">
        <v>51</v>
      </c>
      <c r="D2347" t="s">
        <v>20</v>
      </c>
      <c r="E2347" t="s">
        <v>21</v>
      </c>
      <c r="F2347" t="s">
        <v>22</v>
      </c>
      <c r="G2347" t="s">
        <v>94</v>
      </c>
      <c r="H2347" t="s">
        <v>168</v>
      </c>
      <c r="I2347">
        <v>8.5000000000000006E-2</v>
      </c>
      <c r="J2347">
        <f t="shared" si="108"/>
        <v>65.45</v>
      </c>
      <c r="K2347">
        <v>5</v>
      </c>
      <c r="L2347">
        <f t="shared" si="109"/>
        <v>60.45</v>
      </c>
      <c r="M2347" s="4">
        <f t="shared" si="110"/>
        <v>7.1117647058823535E-2</v>
      </c>
      <c r="N2347">
        <v>850</v>
      </c>
      <c r="O2347">
        <v>770</v>
      </c>
      <c r="P2347" t="s">
        <v>25</v>
      </c>
      <c r="Q2347" t="s">
        <v>26</v>
      </c>
      <c r="R2347" t="str">
        <f>IF(COUNTIF(Sheet2!B:B, A2347) &gt; 0, "Yes", "No")</f>
        <v>No</v>
      </c>
    </row>
    <row r="2348" spans="1:18" x14ac:dyDescent="0.25">
      <c r="A2348" s="3">
        <v>45469</v>
      </c>
      <c r="B2348" t="s">
        <v>234</v>
      </c>
      <c r="C2348" t="s">
        <v>51</v>
      </c>
      <c r="D2348" t="s">
        <v>20</v>
      </c>
      <c r="E2348" t="s">
        <v>21</v>
      </c>
      <c r="F2348" t="s">
        <v>27</v>
      </c>
      <c r="G2348" t="s">
        <v>235</v>
      </c>
      <c r="H2348" t="s">
        <v>236</v>
      </c>
      <c r="I2348">
        <v>0.12</v>
      </c>
      <c r="J2348">
        <f t="shared" si="108"/>
        <v>92.399999999999991</v>
      </c>
      <c r="K2348">
        <v>11</v>
      </c>
      <c r="L2348">
        <f t="shared" si="109"/>
        <v>81.399999999999991</v>
      </c>
      <c r="M2348" s="4">
        <f t="shared" si="110"/>
        <v>9.5764705882352932E-2</v>
      </c>
      <c r="N2348">
        <v>850</v>
      </c>
      <c r="O2348">
        <v>770</v>
      </c>
      <c r="P2348" t="s">
        <v>25</v>
      </c>
      <c r="Q2348" t="s">
        <v>26</v>
      </c>
      <c r="R2348" t="str">
        <f>IF(COUNTIF(Sheet2!B:B, A2348) &gt; 0, "Yes", "No")</f>
        <v>No</v>
      </c>
    </row>
    <row r="2349" spans="1:18" x14ac:dyDescent="0.25">
      <c r="A2349" s="3">
        <v>45469</v>
      </c>
      <c r="B2349" t="s">
        <v>234</v>
      </c>
      <c r="C2349" t="s">
        <v>51</v>
      </c>
      <c r="D2349" t="s">
        <v>20</v>
      </c>
      <c r="E2349" t="s">
        <v>21</v>
      </c>
      <c r="F2349" t="s">
        <v>30</v>
      </c>
      <c r="G2349" t="s">
        <v>55</v>
      </c>
      <c r="H2349" t="s">
        <v>83</v>
      </c>
      <c r="I2349">
        <v>0.09</v>
      </c>
      <c r="J2349">
        <f t="shared" si="108"/>
        <v>69.3</v>
      </c>
      <c r="K2349">
        <v>1</v>
      </c>
      <c r="L2349">
        <f t="shared" si="109"/>
        <v>68.3</v>
      </c>
      <c r="M2349" s="4">
        <f t="shared" si="110"/>
        <v>8.0352941176470585E-2</v>
      </c>
      <c r="N2349">
        <v>850</v>
      </c>
      <c r="O2349">
        <v>770</v>
      </c>
      <c r="P2349" t="s">
        <v>25</v>
      </c>
      <c r="Q2349" t="s">
        <v>26</v>
      </c>
      <c r="R2349" t="str">
        <f>IF(COUNTIF(Sheet2!B:B, A2349) &gt; 0, "Yes", "No")</f>
        <v>No</v>
      </c>
    </row>
    <row r="2350" spans="1:18" x14ac:dyDescent="0.25">
      <c r="A2350" s="3">
        <v>45469</v>
      </c>
      <c r="B2350" t="s">
        <v>234</v>
      </c>
      <c r="C2350" t="s">
        <v>51</v>
      </c>
      <c r="D2350" t="s">
        <v>33</v>
      </c>
      <c r="E2350" t="s">
        <v>21</v>
      </c>
      <c r="F2350" t="s">
        <v>34</v>
      </c>
      <c r="G2350" t="s">
        <v>57</v>
      </c>
      <c r="H2350" t="s">
        <v>607</v>
      </c>
      <c r="I2350">
        <v>0.15</v>
      </c>
      <c r="J2350">
        <f t="shared" si="108"/>
        <v>78</v>
      </c>
      <c r="K2350">
        <v>1</v>
      </c>
      <c r="L2350">
        <f t="shared" si="109"/>
        <v>77</v>
      </c>
      <c r="M2350" s="4">
        <f t="shared" si="110"/>
        <v>0.12941176470588237</v>
      </c>
      <c r="N2350">
        <v>595</v>
      </c>
      <c r="O2350">
        <v>520</v>
      </c>
      <c r="P2350" t="s">
        <v>25</v>
      </c>
      <c r="Q2350" t="s">
        <v>26</v>
      </c>
      <c r="R2350" t="str">
        <f>IF(COUNTIF(Sheet2!B:B, A2350) &gt; 0, "Yes", "No")</f>
        <v>No</v>
      </c>
    </row>
    <row r="2351" spans="1:18" x14ac:dyDescent="0.25">
      <c r="A2351" s="3">
        <v>45469</v>
      </c>
      <c r="B2351" t="s">
        <v>234</v>
      </c>
      <c r="C2351" t="s">
        <v>51</v>
      </c>
      <c r="D2351" t="s">
        <v>20</v>
      </c>
      <c r="E2351" t="s">
        <v>21</v>
      </c>
      <c r="F2351" t="s">
        <v>37</v>
      </c>
      <c r="G2351" t="s">
        <v>87</v>
      </c>
      <c r="H2351" t="s">
        <v>99</v>
      </c>
      <c r="I2351">
        <v>0.03</v>
      </c>
      <c r="J2351">
        <f t="shared" si="108"/>
        <v>23.099999999999998</v>
      </c>
      <c r="K2351">
        <v>2</v>
      </c>
      <c r="L2351">
        <f t="shared" si="109"/>
        <v>21.099999999999998</v>
      </c>
      <c r="M2351" s="4">
        <f t="shared" si="110"/>
        <v>2.4823529411764703E-2</v>
      </c>
      <c r="N2351">
        <v>850</v>
      </c>
      <c r="O2351">
        <v>770</v>
      </c>
      <c r="P2351" t="s">
        <v>25</v>
      </c>
      <c r="Q2351" t="s">
        <v>26</v>
      </c>
      <c r="R2351" t="str">
        <f>IF(COUNTIF(Sheet2!B:B, A2351) &gt; 0, "Yes", "No")</f>
        <v>No</v>
      </c>
    </row>
    <row r="2352" spans="1:18" x14ac:dyDescent="0.25">
      <c r="A2352" s="3">
        <v>45469</v>
      </c>
      <c r="B2352" t="s">
        <v>234</v>
      </c>
      <c r="C2352" t="s">
        <v>51</v>
      </c>
      <c r="D2352" t="s">
        <v>20</v>
      </c>
      <c r="E2352" t="s">
        <v>21</v>
      </c>
      <c r="F2352" t="s">
        <v>40</v>
      </c>
      <c r="G2352" t="s">
        <v>73</v>
      </c>
      <c r="H2352" t="s">
        <v>74</v>
      </c>
      <c r="I2352">
        <v>4.4999999999999998E-2</v>
      </c>
      <c r="J2352">
        <f t="shared" si="108"/>
        <v>34.65</v>
      </c>
      <c r="K2352">
        <v>3</v>
      </c>
      <c r="L2352">
        <f t="shared" si="109"/>
        <v>31.65</v>
      </c>
      <c r="M2352" s="4">
        <f t="shared" si="110"/>
        <v>3.7235294117647054E-2</v>
      </c>
      <c r="N2352">
        <v>850</v>
      </c>
      <c r="O2352">
        <v>770</v>
      </c>
      <c r="P2352" t="s">
        <v>25</v>
      </c>
      <c r="Q2352" t="s">
        <v>26</v>
      </c>
      <c r="R2352" t="str">
        <f>IF(COUNTIF(Sheet2!B:B, A2352) &gt; 0, "Yes", "No")</f>
        <v>No</v>
      </c>
    </row>
    <row r="2353" spans="1:18" x14ac:dyDescent="0.25">
      <c r="A2353" s="3">
        <v>45469</v>
      </c>
      <c r="B2353" t="s">
        <v>234</v>
      </c>
      <c r="C2353" t="s">
        <v>51</v>
      </c>
      <c r="D2353" t="s">
        <v>20</v>
      </c>
      <c r="E2353" t="s">
        <v>21</v>
      </c>
      <c r="F2353" t="s">
        <v>43</v>
      </c>
      <c r="G2353" t="s">
        <v>44</v>
      </c>
      <c r="H2353" t="s">
        <v>590</v>
      </c>
      <c r="I2353">
        <v>0.11</v>
      </c>
      <c r="J2353">
        <f t="shared" si="108"/>
        <v>84.7</v>
      </c>
      <c r="K2353">
        <v>3</v>
      </c>
      <c r="L2353">
        <f t="shared" si="109"/>
        <v>81.7</v>
      </c>
      <c r="M2353" s="4">
        <f t="shared" si="110"/>
        <v>9.611764705882353E-2</v>
      </c>
      <c r="N2353">
        <v>850</v>
      </c>
      <c r="O2353">
        <v>770</v>
      </c>
      <c r="P2353" t="s">
        <v>25</v>
      </c>
      <c r="Q2353" t="s">
        <v>26</v>
      </c>
      <c r="R2353" t="str">
        <f>IF(COUNTIF(Sheet2!B:B, A2353) &gt; 0, "Yes", "No")</f>
        <v>No</v>
      </c>
    </row>
    <row r="2354" spans="1:18" x14ac:dyDescent="0.25">
      <c r="A2354" s="3">
        <v>45469</v>
      </c>
      <c r="B2354" t="s">
        <v>234</v>
      </c>
      <c r="C2354" t="s">
        <v>51</v>
      </c>
      <c r="D2354" t="s">
        <v>20</v>
      </c>
      <c r="E2354" t="s">
        <v>21</v>
      </c>
      <c r="F2354" t="s">
        <v>46</v>
      </c>
      <c r="G2354" t="s">
        <v>47</v>
      </c>
      <c r="H2354" t="s">
        <v>403</v>
      </c>
      <c r="I2354">
        <v>8.5000000000000006E-2</v>
      </c>
      <c r="J2354">
        <f t="shared" si="108"/>
        <v>65.45</v>
      </c>
      <c r="K2354">
        <v>5</v>
      </c>
      <c r="L2354">
        <f t="shared" si="109"/>
        <v>60.45</v>
      </c>
      <c r="M2354" s="4">
        <f t="shared" si="110"/>
        <v>7.1117647058823535E-2</v>
      </c>
      <c r="N2354">
        <v>850</v>
      </c>
      <c r="O2354">
        <v>770</v>
      </c>
      <c r="P2354" t="s">
        <v>25</v>
      </c>
      <c r="Q2354" t="s">
        <v>26</v>
      </c>
      <c r="R2354" t="str">
        <f>IF(COUNTIF(Sheet2!B:B, A2354) &gt; 0, "Yes", "No")</f>
        <v>No</v>
      </c>
    </row>
    <row r="2355" spans="1:18" x14ac:dyDescent="0.25">
      <c r="A2355" s="3">
        <v>45469</v>
      </c>
      <c r="B2355" t="s">
        <v>234</v>
      </c>
      <c r="C2355" t="s">
        <v>51</v>
      </c>
      <c r="D2355" t="s">
        <v>20</v>
      </c>
      <c r="E2355" t="s">
        <v>21</v>
      </c>
      <c r="F2355" t="s">
        <v>49</v>
      </c>
      <c r="G2355" t="s">
        <v>50</v>
      </c>
      <c r="H2355" t="s">
        <v>49</v>
      </c>
      <c r="I2355">
        <v>0.09</v>
      </c>
      <c r="J2355">
        <f t="shared" si="108"/>
        <v>69.3</v>
      </c>
      <c r="K2355">
        <v>0</v>
      </c>
      <c r="L2355">
        <f t="shared" si="109"/>
        <v>69.3</v>
      </c>
      <c r="M2355" s="4">
        <f t="shared" si="110"/>
        <v>8.1529411764705878E-2</v>
      </c>
      <c r="N2355">
        <v>850</v>
      </c>
      <c r="O2355">
        <v>770</v>
      </c>
      <c r="P2355" t="s">
        <v>25</v>
      </c>
      <c r="Q2355" t="s">
        <v>26</v>
      </c>
      <c r="R2355" t="str">
        <f>IF(COUNTIF(Sheet2!B:B, A2355) &gt; 0, "Yes", "No")</f>
        <v>No</v>
      </c>
    </row>
    <row r="2356" spans="1:18" x14ac:dyDescent="0.25">
      <c r="A2356" s="3">
        <v>45470</v>
      </c>
      <c r="B2356" t="s">
        <v>234</v>
      </c>
      <c r="C2356" t="s">
        <v>66</v>
      </c>
      <c r="D2356" t="s">
        <v>20</v>
      </c>
      <c r="E2356" t="s">
        <v>67</v>
      </c>
      <c r="F2356" t="s">
        <v>22</v>
      </c>
      <c r="G2356" t="s">
        <v>122</v>
      </c>
      <c r="H2356" t="s">
        <v>437</v>
      </c>
      <c r="I2356">
        <v>8.5000000000000006E-2</v>
      </c>
      <c r="J2356">
        <f t="shared" si="108"/>
        <v>55.250000000000007</v>
      </c>
      <c r="K2356">
        <v>5</v>
      </c>
      <c r="L2356">
        <f t="shared" si="109"/>
        <v>50.250000000000007</v>
      </c>
      <c r="M2356" s="4">
        <f t="shared" si="110"/>
        <v>7.17857142857143E-2</v>
      </c>
      <c r="N2356">
        <v>700</v>
      </c>
      <c r="O2356">
        <v>650</v>
      </c>
      <c r="P2356" t="s">
        <v>25</v>
      </c>
      <c r="Q2356" t="s">
        <v>26</v>
      </c>
      <c r="R2356" t="str">
        <f>IF(COUNTIF(Sheet2!B:B, A2356) &gt; 0, "Yes", "No")</f>
        <v>No</v>
      </c>
    </row>
    <row r="2357" spans="1:18" x14ac:dyDescent="0.25">
      <c r="A2357" s="3">
        <v>45470</v>
      </c>
      <c r="B2357" t="s">
        <v>234</v>
      </c>
      <c r="C2357" t="s">
        <v>66</v>
      </c>
      <c r="D2357" t="s">
        <v>20</v>
      </c>
      <c r="E2357" t="s">
        <v>67</v>
      </c>
      <c r="F2357" t="s">
        <v>27</v>
      </c>
      <c r="G2357" t="s">
        <v>541</v>
      </c>
      <c r="H2357" t="s">
        <v>541</v>
      </c>
      <c r="I2357">
        <v>0.12</v>
      </c>
      <c r="J2357">
        <f t="shared" si="108"/>
        <v>78</v>
      </c>
      <c r="K2357">
        <v>3</v>
      </c>
      <c r="L2357">
        <f t="shared" si="109"/>
        <v>75</v>
      </c>
      <c r="M2357" s="4">
        <f t="shared" si="110"/>
        <v>0.10714285714285714</v>
      </c>
      <c r="N2357">
        <v>700</v>
      </c>
      <c r="O2357">
        <v>650</v>
      </c>
      <c r="P2357" t="s">
        <v>25</v>
      </c>
      <c r="Q2357" t="s">
        <v>26</v>
      </c>
      <c r="R2357" t="str">
        <f>IF(COUNTIF(Sheet2!B:B, A2357) &gt; 0, "Yes", "No")</f>
        <v>No</v>
      </c>
    </row>
    <row r="2358" spans="1:18" x14ac:dyDescent="0.25">
      <c r="A2358" s="3">
        <v>45470</v>
      </c>
      <c r="B2358" t="s">
        <v>234</v>
      </c>
      <c r="C2358" t="s">
        <v>66</v>
      </c>
      <c r="D2358" t="s">
        <v>20</v>
      </c>
      <c r="E2358" t="s">
        <v>67</v>
      </c>
      <c r="F2358" t="s">
        <v>30</v>
      </c>
      <c r="G2358" t="s">
        <v>55</v>
      </c>
      <c r="H2358" t="s">
        <v>56</v>
      </c>
      <c r="I2358">
        <v>0.09</v>
      </c>
      <c r="J2358">
        <f t="shared" si="108"/>
        <v>58.5</v>
      </c>
      <c r="K2358">
        <v>1.5</v>
      </c>
      <c r="L2358">
        <f t="shared" si="109"/>
        <v>57</v>
      </c>
      <c r="M2358" s="4">
        <f t="shared" si="110"/>
        <v>8.1428571428571433E-2</v>
      </c>
      <c r="N2358">
        <v>700</v>
      </c>
      <c r="O2358">
        <v>650</v>
      </c>
      <c r="P2358" t="s">
        <v>25</v>
      </c>
      <c r="Q2358" t="s">
        <v>26</v>
      </c>
      <c r="R2358" t="str">
        <f>IF(COUNTIF(Sheet2!B:B, A2358) &gt; 0, "Yes", "No")</f>
        <v>No</v>
      </c>
    </row>
    <row r="2359" spans="1:18" x14ac:dyDescent="0.25">
      <c r="A2359" s="3">
        <v>45470</v>
      </c>
      <c r="B2359" t="s">
        <v>234</v>
      </c>
      <c r="C2359" t="s">
        <v>66</v>
      </c>
      <c r="D2359" t="s">
        <v>20</v>
      </c>
      <c r="E2359" t="s">
        <v>67</v>
      </c>
      <c r="F2359" t="s">
        <v>37</v>
      </c>
      <c r="G2359" t="s">
        <v>87</v>
      </c>
      <c r="H2359" t="s">
        <v>136</v>
      </c>
      <c r="I2359">
        <v>3.5000000000000003E-2</v>
      </c>
      <c r="J2359">
        <f t="shared" si="108"/>
        <v>22.750000000000004</v>
      </c>
      <c r="K2359">
        <v>2.5</v>
      </c>
      <c r="L2359">
        <f t="shared" si="109"/>
        <v>20.250000000000004</v>
      </c>
      <c r="M2359" s="4">
        <f t="shared" si="110"/>
        <v>2.8928571428571432E-2</v>
      </c>
      <c r="N2359">
        <v>700</v>
      </c>
      <c r="O2359">
        <v>650</v>
      </c>
      <c r="P2359" t="s">
        <v>25</v>
      </c>
      <c r="Q2359" t="s">
        <v>26</v>
      </c>
      <c r="R2359" t="str">
        <f>IF(COUNTIF(Sheet2!B:B, A2359) &gt; 0, "Yes", "No")</f>
        <v>No</v>
      </c>
    </row>
    <row r="2360" spans="1:18" x14ac:dyDescent="0.25">
      <c r="A2360" s="3">
        <v>45470</v>
      </c>
      <c r="B2360" t="s">
        <v>234</v>
      </c>
      <c r="C2360" t="s">
        <v>66</v>
      </c>
      <c r="D2360" t="s">
        <v>20</v>
      </c>
      <c r="E2360" t="s">
        <v>67</v>
      </c>
      <c r="F2360" t="s">
        <v>40</v>
      </c>
      <c r="G2360" t="s">
        <v>157</v>
      </c>
      <c r="H2360" t="s">
        <v>158</v>
      </c>
      <c r="I2360">
        <v>0.05</v>
      </c>
      <c r="J2360">
        <f t="shared" si="108"/>
        <v>32.5</v>
      </c>
      <c r="K2360">
        <v>4</v>
      </c>
      <c r="L2360">
        <f t="shared" si="109"/>
        <v>28.5</v>
      </c>
      <c r="M2360" s="4">
        <f t="shared" si="110"/>
        <v>4.0714285714285717E-2</v>
      </c>
      <c r="N2360">
        <v>700</v>
      </c>
      <c r="O2360">
        <v>650</v>
      </c>
      <c r="P2360" t="s">
        <v>25</v>
      </c>
      <c r="Q2360" t="s">
        <v>26</v>
      </c>
      <c r="R2360" t="str">
        <f>IF(COUNTIF(Sheet2!B:B, A2360) &gt; 0, "Yes", "No")</f>
        <v>No</v>
      </c>
    </row>
    <row r="2361" spans="1:18" x14ac:dyDescent="0.25">
      <c r="A2361" s="3">
        <v>45470</v>
      </c>
      <c r="B2361" t="s">
        <v>234</v>
      </c>
      <c r="C2361" t="s">
        <v>66</v>
      </c>
      <c r="D2361" t="s">
        <v>20</v>
      </c>
      <c r="E2361" t="s">
        <v>67</v>
      </c>
      <c r="F2361" t="s">
        <v>43</v>
      </c>
      <c r="G2361" t="s">
        <v>159</v>
      </c>
      <c r="H2361" t="s">
        <v>160</v>
      </c>
      <c r="I2361">
        <v>0.11</v>
      </c>
      <c r="J2361">
        <f t="shared" si="108"/>
        <v>71.5</v>
      </c>
      <c r="K2361">
        <v>4</v>
      </c>
      <c r="L2361">
        <f t="shared" si="109"/>
        <v>67.5</v>
      </c>
      <c r="M2361" s="4">
        <f t="shared" si="110"/>
        <v>9.6428571428571433E-2</v>
      </c>
      <c r="N2361">
        <v>700</v>
      </c>
      <c r="O2361">
        <v>650</v>
      </c>
      <c r="P2361" t="s">
        <v>25</v>
      </c>
      <c r="Q2361" t="s">
        <v>26</v>
      </c>
      <c r="R2361" t="str">
        <f>IF(COUNTIF(Sheet2!B:B, A2361) &gt; 0, "Yes", "No")</f>
        <v>No</v>
      </c>
    </row>
    <row r="2362" spans="1:18" x14ac:dyDescent="0.25">
      <c r="A2362" s="3">
        <v>45470</v>
      </c>
      <c r="B2362" t="s">
        <v>234</v>
      </c>
      <c r="C2362" t="s">
        <v>66</v>
      </c>
      <c r="D2362" t="s">
        <v>20</v>
      </c>
      <c r="E2362" t="s">
        <v>67</v>
      </c>
      <c r="F2362" t="s">
        <v>46</v>
      </c>
      <c r="G2362" t="s">
        <v>130</v>
      </c>
      <c r="H2362" t="s">
        <v>237</v>
      </c>
      <c r="I2362">
        <v>8.5000000000000006E-2</v>
      </c>
      <c r="J2362">
        <f t="shared" si="108"/>
        <v>55.250000000000007</v>
      </c>
      <c r="K2362">
        <v>0.2</v>
      </c>
      <c r="L2362">
        <f t="shared" si="109"/>
        <v>55.050000000000004</v>
      </c>
      <c r="M2362" s="4">
        <f t="shared" si="110"/>
        <v>7.8642857142857153E-2</v>
      </c>
      <c r="N2362">
        <v>700</v>
      </c>
      <c r="O2362">
        <v>650</v>
      </c>
      <c r="P2362" t="s">
        <v>25</v>
      </c>
      <c r="Q2362" t="s">
        <v>26</v>
      </c>
      <c r="R2362" t="str">
        <f>IF(COUNTIF(Sheet2!B:B, A2362) &gt; 0, "Yes", "No")</f>
        <v>No</v>
      </c>
    </row>
    <row r="2363" spans="1:18" x14ac:dyDescent="0.25">
      <c r="A2363" s="3">
        <v>45470</v>
      </c>
      <c r="B2363" t="s">
        <v>234</v>
      </c>
      <c r="C2363" t="s">
        <v>66</v>
      </c>
      <c r="D2363" t="s">
        <v>20</v>
      </c>
      <c r="E2363" t="s">
        <v>67</v>
      </c>
      <c r="F2363" t="s">
        <v>49</v>
      </c>
      <c r="G2363" t="s">
        <v>50</v>
      </c>
      <c r="H2363" t="s">
        <v>49</v>
      </c>
      <c r="I2363">
        <v>0.09</v>
      </c>
      <c r="J2363">
        <f t="shared" si="108"/>
        <v>58.5</v>
      </c>
      <c r="K2363">
        <v>3</v>
      </c>
      <c r="L2363">
        <f t="shared" si="109"/>
        <v>55.5</v>
      </c>
      <c r="M2363" s="4">
        <f t="shared" si="110"/>
        <v>7.9285714285714279E-2</v>
      </c>
      <c r="N2363">
        <v>700</v>
      </c>
      <c r="O2363">
        <v>650</v>
      </c>
      <c r="P2363" t="s">
        <v>25</v>
      </c>
      <c r="Q2363" t="s">
        <v>26</v>
      </c>
      <c r="R2363" t="str">
        <f>IF(COUNTIF(Sheet2!B:B, A2363) &gt; 0, "Yes", "No")</f>
        <v>No</v>
      </c>
    </row>
    <row r="2364" spans="1:18" x14ac:dyDescent="0.25">
      <c r="A2364" s="3">
        <v>45471</v>
      </c>
      <c r="B2364" t="s">
        <v>234</v>
      </c>
      <c r="C2364" t="s">
        <v>79</v>
      </c>
      <c r="D2364" t="s">
        <v>20</v>
      </c>
      <c r="E2364" t="s">
        <v>21</v>
      </c>
      <c r="F2364" t="s">
        <v>22</v>
      </c>
      <c r="G2364" t="s">
        <v>94</v>
      </c>
      <c r="H2364" t="s">
        <v>168</v>
      </c>
      <c r="I2364" s="5">
        <v>0.06</v>
      </c>
      <c r="J2364">
        <f t="shared" si="108"/>
        <v>36</v>
      </c>
      <c r="K2364">
        <v>2</v>
      </c>
      <c r="L2364">
        <f t="shared" si="109"/>
        <v>34</v>
      </c>
      <c r="M2364" s="4">
        <f t="shared" si="110"/>
        <v>5.2307692307692305E-2</v>
      </c>
      <c r="N2364">
        <v>650</v>
      </c>
      <c r="O2364">
        <v>600</v>
      </c>
      <c r="P2364" t="s">
        <v>25</v>
      </c>
      <c r="Q2364" t="s">
        <v>26</v>
      </c>
      <c r="R2364" t="str">
        <f>IF(COUNTIF(Sheet2!B:B, A2364) &gt; 0, "Yes", "No")</f>
        <v>Yes</v>
      </c>
    </row>
    <row r="2365" spans="1:18" x14ac:dyDescent="0.25">
      <c r="A2365" s="3">
        <v>45471</v>
      </c>
      <c r="B2365" t="s">
        <v>234</v>
      </c>
      <c r="C2365" t="s">
        <v>79</v>
      </c>
      <c r="D2365" t="s">
        <v>20</v>
      </c>
      <c r="E2365" t="s">
        <v>21</v>
      </c>
      <c r="F2365" t="s">
        <v>27</v>
      </c>
      <c r="G2365" t="s">
        <v>81</v>
      </c>
      <c r="H2365" t="s">
        <v>618</v>
      </c>
      <c r="I2365" s="5">
        <v>0.1</v>
      </c>
      <c r="J2365">
        <f t="shared" si="108"/>
        <v>60</v>
      </c>
      <c r="K2365">
        <v>3</v>
      </c>
      <c r="L2365">
        <f t="shared" si="109"/>
        <v>57</v>
      </c>
      <c r="M2365" s="4">
        <f t="shared" si="110"/>
        <v>8.7692307692307694E-2</v>
      </c>
      <c r="N2365">
        <v>650</v>
      </c>
      <c r="O2365">
        <v>600</v>
      </c>
      <c r="P2365" t="s">
        <v>25</v>
      </c>
      <c r="Q2365" t="s">
        <v>26</v>
      </c>
      <c r="R2365" t="str">
        <f>IF(COUNTIF(Sheet2!B:B, A2365) &gt; 0, "Yes", "No")</f>
        <v>Yes</v>
      </c>
    </row>
    <row r="2366" spans="1:18" x14ac:dyDescent="0.25">
      <c r="A2366" s="3">
        <v>45471</v>
      </c>
      <c r="B2366" t="s">
        <v>234</v>
      </c>
      <c r="C2366" t="s">
        <v>79</v>
      </c>
      <c r="D2366" t="s">
        <v>20</v>
      </c>
      <c r="E2366" t="s">
        <v>21</v>
      </c>
      <c r="F2366" t="s">
        <v>30</v>
      </c>
      <c r="G2366" t="s">
        <v>31</v>
      </c>
      <c r="H2366" t="s">
        <v>70</v>
      </c>
      <c r="I2366" s="5">
        <v>0.06</v>
      </c>
      <c r="J2366">
        <f t="shared" si="108"/>
        <v>36</v>
      </c>
      <c r="K2366">
        <v>3</v>
      </c>
      <c r="L2366">
        <f t="shared" si="109"/>
        <v>33</v>
      </c>
      <c r="M2366" s="4">
        <f t="shared" si="110"/>
        <v>5.0769230769230768E-2</v>
      </c>
      <c r="N2366">
        <v>650</v>
      </c>
      <c r="O2366">
        <v>600</v>
      </c>
      <c r="P2366" t="s">
        <v>25</v>
      </c>
      <c r="Q2366" t="s">
        <v>26</v>
      </c>
      <c r="R2366" t="str">
        <f>IF(COUNTIF(Sheet2!B:B, A2366) &gt; 0, "Yes", "No")</f>
        <v>Yes</v>
      </c>
    </row>
    <row r="2367" spans="1:18" x14ac:dyDescent="0.25">
      <c r="A2367" s="3">
        <v>45471</v>
      </c>
      <c r="B2367" t="s">
        <v>234</v>
      </c>
      <c r="C2367" t="s">
        <v>79</v>
      </c>
      <c r="D2367" t="s">
        <v>33</v>
      </c>
      <c r="E2367" t="s">
        <v>21</v>
      </c>
      <c r="F2367" t="s">
        <v>84</v>
      </c>
      <c r="G2367" t="s">
        <v>177</v>
      </c>
      <c r="H2367" t="s">
        <v>220</v>
      </c>
      <c r="I2367" s="5">
        <v>0.3</v>
      </c>
      <c r="J2367">
        <f t="shared" si="108"/>
        <v>144</v>
      </c>
      <c r="K2367">
        <v>1</v>
      </c>
      <c r="L2367">
        <f t="shared" si="109"/>
        <v>143</v>
      </c>
      <c r="M2367" s="4">
        <f t="shared" si="110"/>
        <v>0.27500000000000002</v>
      </c>
      <c r="N2367">
        <v>520</v>
      </c>
      <c r="O2367">
        <v>480</v>
      </c>
      <c r="P2367" t="s">
        <v>25</v>
      </c>
      <c r="Q2367" t="s">
        <v>26</v>
      </c>
      <c r="R2367" t="str">
        <f>IF(COUNTIF(Sheet2!B:B, A2367) &gt; 0, "Yes", "No")</f>
        <v>Yes</v>
      </c>
    </row>
    <row r="2368" spans="1:18" x14ac:dyDescent="0.25">
      <c r="A2368" s="3">
        <v>45471</v>
      </c>
      <c r="B2368" t="s">
        <v>234</v>
      </c>
      <c r="C2368" t="s">
        <v>79</v>
      </c>
      <c r="D2368" t="s">
        <v>20</v>
      </c>
      <c r="E2368" t="s">
        <v>21</v>
      </c>
      <c r="F2368" t="s">
        <v>37</v>
      </c>
      <c r="G2368" t="s">
        <v>59</v>
      </c>
      <c r="H2368" t="s">
        <v>60</v>
      </c>
      <c r="I2368" s="5">
        <v>2.5000000000000001E-2</v>
      </c>
      <c r="J2368">
        <f t="shared" si="108"/>
        <v>15</v>
      </c>
      <c r="K2368">
        <v>3</v>
      </c>
      <c r="L2368">
        <f t="shared" si="109"/>
        <v>12</v>
      </c>
      <c r="M2368" s="4">
        <f t="shared" si="110"/>
        <v>1.8461538461538463E-2</v>
      </c>
      <c r="N2368">
        <v>650</v>
      </c>
      <c r="O2368">
        <v>600</v>
      </c>
      <c r="P2368" t="s">
        <v>25</v>
      </c>
      <c r="Q2368" t="s">
        <v>26</v>
      </c>
      <c r="R2368" t="str">
        <f>IF(COUNTIF(Sheet2!B:B, A2368) &gt; 0, "Yes", "No")</f>
        <v>Yes</v>
      </c>
    </row>
    <row r="2369" spans="1:18" x14ac:dyDescent="0.25">
      <c r="A2369" s="3">
        <v>45471</v>
      </c>
      <c r="B2369" t="s">
        <v>234</v>
      </c>
      <c r="C2369" t="s">
        <v>79</v>
      </c>
      <c r="D2369" t="s">
        <v>20</v>
      </c>
      <c r="E2369" t="s">
        <v>21</v>
      </c>
      <c r="F2369" t="s">
        <v>40</v>
      </c>
      <c r="G2369" t="s">
        <v>61</v>
      </c>
      <c r="H2369" t="s">
        <v>62</v>
      </c>
      <c r="I2369" s="5">
        <v>0.04</v>
      </c>
      <c r="J2369">
        <f t="shared" si="108"/>
        <v>24</v>
      </c>
      <c r="K2369">
        <v>3</v>
      </c>
      <c r="L2369">
        <f t="shared" si="109"/>
        <v>21</v>
      </c>
      <c r="M2369" s="4">
        <f t="shared" si="110"/>
        <v>3.2307692307692308E-2</v>
      </c>
      <c r="N2369">
        <v>650</v>
      </c>
      <c r="O2369">
        <v>600</v>
      </c>
      <c r="P2369" t="s">
        <v>25</v>
      </c>
      <c r="Q2369" t="s">
        <v>26</v>
      </c>
      <c r="R2369" t="str">
        <f>IF(COUNTIF(Sheet2!B:B, A2369) &gt; 0, "Yes", "No")</f>
        <v>Yes</v>
      </c>
    </row>
    <row r="2370" spans="1:18" x14ac:dyDescent="0.25">
      <c r="A2370" s="3">
        <v>45471</v>
      </c>
      <c r="B2370" t="s">
        <v>234</v>
      </c>
      <c r="C2370" t="s">
        <v>79</v>
      </c>
      <c r="D2370" t="s">
        <v>20</v>
      </c>
      <c r="E2370" t="s">
        <v>21</v>
      </c>
      <c r="F2370" t="s">
        <v>43</v>
      </c>
      <c r="G2370" t="s">
        <v>90</v>
      </c>
      <c r="H2370" t="s">
        <v>619</v>
      </c>
      <c r="I2370" s="5">
        <v>7.0000000000000007E-2</v>
      </c>
      <c r="J2370">
        <f t="shared" si="108"/>
        <v>42.000000000000007</v>
      </c>
      <c r="K2370">
        <v>4</v>
      </c>
      <c r="L2370">
        <f t="shared" si="109"/>
        <v>38.000000000000007</v>
      </c>
      <c r="M2370" s="4">
        <f t="shared" si="110"/>
        <v>5.8461538461538474E-2</v>
      </c>
      <c r="N2370">
        <v>650</v>
      </c>
      <c r="O2370">
        <v>600</v>
      </c>
      <c r="P2370" t="s">
        <v>25</v>
      </c>
      <c r="Q2370" t="s">
        <v>26</v>
      </c>
      <c r="R2370" t="str">
        <f>IF(COUNTIF(Sheet2!B:B, A2370) &gt; 0, "Yes", "No")</f>
        <v>Yes</v>
      </c>
    </row>
    <row r="2371" spans="1:18" x14ac:dyDescent="0.25">
      <c r="A2371" s="3">
        <v>45471</v>
      </c>
      <c r="B2371" t="s">
        <v>234</v>
      </c>
      <c r="C2371" t="s">
        <v>79</v>
      </c>
      <c r="D2371" t="s">
        <v>20</v>
      </c>
      <c r="E2371" t="s">
        <v>21</v>
      </c>
      <c r="F2371" t="s">
        <v>46</v>
      </c>
      <c r="G2371" t="s">
        <v>47</v>
      </c>
      <c r="H2371" t="s">
        <v>620</v>
      </c>
      <c r="I2371" s="5">
        <v>5.5E-2</v>
      </c>
      <c r="J2371">
        <f t="shared" ref="J2371:J2434" si="111">I2371*O2371</f>
        <v>33</v>
      </c>
      <c r="K2371">
        <v>4</v>
      </c>
      <c r="L2371">
        <f t="shared" ref="L2371:L2434" si="112">J2371-K2371</f>
        <v>29</v>
      </c>
      <c r="M2371" s="4">
        <f t="shared" ref="M2371:M2434" si="113">((I2371*O2371)-K2371)/N2371</f>
        <v>4.4615384615384612E-2</v>
      </c>
      <c r="N2371">
        <v>650</v>
      </c>
      <c r="O2371">
        <v>600</v>
      </c>
      <c r="P2371" t="s">
        <v>25</v>
      </c>
      <c r="Q2371" t="s">
        <v>26</v>
      </c>
      <c r="R2371" t="str">
        <f>IF(COUNTIF(Sheet2!B:B, A2371) &gt; 0, "Yes", "No")</f>
        <v>Yes</v>
      </c>
    </row>
    <row r="2372" spans="1:18" x14ac:dyDescent="0.25">
      <c r="A2372" s="3">
        <v>45471</v>
      </c>
      <c r="B2372" t="s">
        <v>234</v>
      </c>
      <c r="C2372" t="s">
        <v>79</v>
      </c>
      <c r="D2372" t="s">
        <v>20</v>
      </c>
      <c r="E2372" t="s">
        <v>21</v>
      </c>
      <c r="F2372" t="s">
        <v>49</v>
      </c>
      <c r="G2372" t="s">
        <v>50</v>
      </c>
      <c r="H2372" t="s">
        <v>49</v>
      </c>
      <c r="I2372" s="5">
        <v>0.04</v>
      </c>
      <c r="J2372">
        <f t="shared" si="111"/>
        <v>24</v>
      </c>
      <c r="K2372">
        <v>4</v>
      </c>
      <c r="L2372">
        <f t="shared" si="112"/>
        <v>20</v>
      </c>
      <c r="M2372" s="4">
        <f t="shared" si="113"/>
        <v>3.0769230769230771E-2</v>
      </c>
      <c r="N2372">
        <v>650</v>
      </c>
      <c r="O2372">
        <v>600</v>
      </c>
      <c r="P2372" t="s">
        <v>25</v>
      </c>
      <c r="Q2372" t="s">
        <v>26</v>
      </c>
      <c r="R2372" t="str">
        <f>IF(COUNTIF(Sheet2!B:B, A2372) &gt; 0, "Yes", "No")</f>
        <v>Yes</v>
      </c>
    </row>
    <row r="2373" spans="1:18" x14ac:dyDescent="0.25">
      <c r="A2373" s="3">
        <v>45474</v>
      </c>
      <c r="B2373" t="s">
        <v>285</v>
      </c>
      <c r="C2373" t="s">
        <v>19</v>
      </c>
      <c r="D2373" t="s">
        <v>20</v>
      </c>
      <c r="E2373" t="s">
        <v>21</v>
      </c>
      <c r="F2373" t="s">
        <v>22</v>
      </c>
      <c r="G2373" t="s">
        <v>52</v>
      </c>
      <c r="H2373" t="s">
        <v>621</v>
      </c>
      <c r="I2373">
        <v>8.5000000000000006E-2</v>
      </c>
      <c r="J2373">
        <f t="shared" si="111"/>
        <v>56.95</v>
      </c>
      <c r="K2373">
        <v>2</v>
      </c>
      <c r="L2373">
        <f t="shared" si="112"/>
        <v>54.95</v>
      </c>
      <c r="M2373" s="4">
        <f t="shared" si="113"/>
        <v>7.3266666666666674E-2</v>
      </c>
      <c r="N2373">
        <v>750</v>
      </c>
      <c r="O2373">
        <v>670</v>
      </c>
      <c r="P2373" t="s">
        <v>25</v>
      </c>
      <c r="Q2373" t="s">
        <v>26</v>
      </c>
      <c r="R2373" t="str">
        <f>IF(COUNTIF(Sheet2!B:B, A2373) &gt; 0, "Yes", "No")</f>
        <v>No</v>
      </c>
    </row>
    <row r="2374" spans="1:18" x14ac:dyDescent="0.25">
      <c r="A2374" s="3">
        <v>45474</v>
      </c>
      <c r="B2374" t="s">
        <v>285</v>
      </c>
      <c r="C2374" t="s">
        <v>19</v>
      </c>
      <c r="D2374" t="s">
        <v>20</v>
      </c>
      <c r="E2374" t="s">
        <v>21</v>
      </c>
      <c r="F2374" t="s">
        <v>27</v>
      </c>
      <c r="G2374" t="s">
        <v>144</v>
      </c>
      <c r="H2374" t="s">
        <v>145</v>
      </c>
      <c r="I2374">
        <v>0.11</v>
      </c>
      <c r="J2374">
        <f t="shared" si="111"/>
        <v>73.7</v>
      </c>
      <c r="K2374">
        <v>1</v>
      </c>
      <c r="L2374">
        <f t="shared" si="112"/>
        <v>72.7</v>
      </c>
      <c r="M2374" s="4">
        <f t="shared" si="113"/>
        <v>9.6933333333333344E-2</v>
      </c>
      <c r="N2374">
        <v>750</v>
      </c>
      <c r="O2374">
        <v>670</v>
      </c>
      <c r="P2374" t="s">
        <v>25</v>
      </c>
      <c r="Q2374" t="s">
        <v>26</v>
      </c>
      <c r="R2374" t="str">
        <f>IF(COUNTIF(Sheet2!B:B, A2374) &gt; 0, "Yes", "No")</f>
        <v>No</v>
      </c>
    </row>
    <row r="2375" spans="1:18" x14ac:dyDescent="0.25">
      <c r="A2375" s="3">
        <v>45474</v>
      </c>
      <c r="B2375" t="s">
        <v>285</v>
      </c>
      <c r="C2375" t="s">
        <v>19</v>
      </c>
      <c r="D2375" t="s">
        <v>20</v>
      </c>
      <c r="E2375" t="s">
        <v>21</v>
      </c>
      <c r="F2375" t="s">
        <v>30</v>
      </c>
      <c r="G2375" t="s">
        <v>31</v>
      </c>
      <c r="H2375" t="s">
        <v>31</v>
      </c>
      <c r="I2375">
        <v>0.09</v>
      </c>
      <c r="J2375">
        <f t="shared" si="111"/>
        <v>60.3</v>
      </c>
      <c r="K2375">
        <v>1</v>
      </c>
      <c r="L2375">
        <f t="shared" si="112"/>
        <v>59.3</v>
      </c>
      <c r="M2375" s="4">
        <f t="shared" si="113"/>
        <v>7.906666666666666E-2</v>
      </c>
      <c r="N2375">
        <v>750</v>
      </c>
      <c r="O2375">
        <v>670</v>
      </c>
      <c r="P2375" t="s">
        <v>25</v>
      </c>
      <c r="Q2375" t="s">
        <v>26</v>
      </c>
      <c r="R2375" t="str">
        <f>IF(COUNTIF(Sheet2!B:B, A2375) &gt; 0, "Yes", "No")</f>
        <v>No</v>
      </c>
    </row>
    <row r="2376" spans="1:18" x14ac:dyDescent="0.25">
      <c r="A2376" s="3">
        <v>45474</v>
      </c>
      <c r="B2376" t="s">
        <v>285</v>
      </c>
      <c r="C2376" t="s">
        <v>19</v>
      </c>
      <c r="D2376" t="s">
        <v>33</v>
      </c>
      <c r="E2376" t="s">
        <v>21</v>
      </c>
      <c r="F2376" t="s">
        <v>34</v>
      </c>
      <c r="G2376" t="s">
        <v>35</v>
      </c>
      <c r="H2376" t="s">
        <v>416</v>
      </c>
      <c r="I2376">
        <v>0.15</v>
      </c>
      <c r="J2376">
        <f t="shared" si="111"/>
        <v>60</v>
      </c>
      <c r="K2376">
        <v>0</v>
      </c>
      <c r="L2376">
        <f t="shared" si="112"/>
        <v>60</v>
      </c>
      <c r="M2376" s="4">
        <f t="shared" si="113"/>
        <v>0.11428571428571428</v>
      </c>
      <c r="N2376">
        <v>525</v>
      </c>
      <c r="O2376">
        <v>400</v>
      </c>
      <c r="P2376" t="s">
        <v>25</v>
      </c>
      <c r="Q2376" t="s">
        <v>26</v>
      </c>
      <c r="R2376" t="str">
        <f>IF(COUNTIF(Sheet2!B:B, A2376) &gt; 0, "Yes", "No")</f>
        <v>No</v>
      </c>
    </row>
    <row r="2377" spans="1:18" x14ac:dyDescent="0.25">
      <c r="A2377" s="3">
        <v>45474</v>
      </c>
      <c r="B2377" t="s">
        <v>285</v>
      </c>
      <c r="C2377" t="s">
        <v>19</v>
      </c>
      <c r="D2377" t="s">
        <v>20</v>
      </c>
      <c r="E2377" t="s">
        <v>21</v>
      </c>
      <c r="F2377" t="s">
        <v>37</v>
      </c>
      <c r="G2377" t="s">
        <v>117</v>
      </c>
      <c r="H2377" t="s">
        <v>118</v>
      </c>
      <c r="I2377">
        <v>0.03</v>
      </c>
      <c r="J2377">
        <f t="shared" si="111"/>
        <v>20.099999999999998</v>
      </c>
      <c r="K2377">
        <v>2</v>
      </c>
      <c r="L2377">
        <f t="shared" si="112"/>
        <v>18.099999999999998</v>
      </c>
      <c r="M2377" s="4">
        <f t="shared" si="113"/>
        <v>2.413333333333333E-2</v>
      </c>
      <c r="N2377">
        <v>750</v>
      </c>
      <c r="O2377">
        <v>670</v>
      </c>
      <c r="P2377" t="s">
        <v>25</v>
      </c>
      <c r="Q2377" t="s">
        <v>26</v>
      </c>
      <c r="R2377" t="str">
        <f>IF(COUNTIF(Sheet2!B:B, A2377) &gt; 0, "Yes", "No")</f>
        <v>No</v>
      </c>
    </row>
    <row r="2378" spans="1:18" x14ac:dyDescent="0.25">
      <c r="A2378" s="3">
        <v>45474</v>
      </c>
      <c r="B2378" t="s">
        <v>285</v>
      </c>
      <c r="C2378" t="s">
        <v>19</v>
      </c>
      <c r="D2378" t="s">
        <v>20</v>
      </c>
      <c r="E2378" t="s">
        <v>21</v>
      </c>
      <c r="F2378" t="s">
        <v>40</v>
      </c>
      <c r="G2378" t="s">
        <v>137</v>
      </c>
      <c r="H2378" t="s">
        <v>622</v>
      </c>
      <c r="I2378">
        <v>4.4999999999999998E-2</v>
      </c>
      <c r="J2378">
        <f t="shared" si="111"/>
        <v>30.15</v>
      </c>
      <c r="K2378">
        <v>2</v>
      </c>
      <c r="L2378">
        <f t="shared" si="112"/>
        <v>28.15</v>
      </c>
      <c r="M2378" s="4">
        <f t="shared" si="113"/>
        <v>3.7533333333333328E-2</v>
      </c>
      <c r="N2378">
        <v>750</v>
      </c>
      <c r="O2378">
        <v>670</v>
      </c>
      <c r="P2378" t="s">
        <v>25</v>
      </c>
      <c r="Q2378" t="s">
        <v>26</v>
      </c>
      <c r="R2378" t="str">
        <f>IF(COUNTIF(Sheet2!B:B, A2378) &gt; 0, "Yes", "No")</f>
        <v>No</v>
      </c>
    </row>
    <row r="2379" spans="1:18" x14ac:dyDescent="0.25">
      <c r="A2379" s="3">
        <v>45474</v>
      </c>
      <c r="B2379" t="s">
        <v>285</v>
      </c>
      <c r="C2379" t="s">
        <v>19</v>
      </c>
      <c r="D2379" t="s">
        <v>20</v>
      </c>
      <c r="E2379" t="s">
        <v>21</v>
      </c>
      <c r="F2379" t="s">
        <v>43</v>
      </c>
      <c r="G2379" t="s">
        <v>159</v>
      </c>
      <c r="H2379" t="s">
        <v>493</v>
      </c>
      <c r="I2379">
        <v>0.11</v>
      </c>
      <c r="J2379">
        <f t="shared" si="111"/>
        <v>73.7</v>
      </c>
      <c r="K2379">
        <v>1.2</v>
      </c>
      <c r="L2379">
        <f t="shared" si="112"/>
        <v>72.5</v>
      </c>
      <c r="M2379" s="4">
        <f t="shared" si="113"/>
        <v>9.6666666666666665E-2</v>
      </c>
      <c r="N2379">
        <v>750</v>
      </c>
      <c r="O2379">
        <v>670</v>
      </c>
      <c r="P2379" t="s">
        <v>25</v>
      </c>
      <c r="Q2379" t="s">
        <v>26</v>
      </c>
      <c r="R2379" t="str">
        <f>IF(COUNTIF(Sheet2!B:B, A2379) &gt; 0, "Yes", "No")</f>
        <v>No</v>
      </c>
    </row>
    <row r="2380" spans="1:18" x14ac:dyDescent="0.25">
      <c r="A2380" s="3">
        <v>45474</v>
      </c>
      <c r="B2380" t="s">
        <v>285</v>
      </c>
      <c r="C2380" t="s">
        <v>19</v>
      </c>
      <c r="D2380" t="s">
        <v>20</v>
      </c>
      <c r="E2380" t="s">
        <v>21</v>
      </c>
      <c r="F2380" t="s">
        <v>46</v>
      </c>
      <c r="G2380" t="s">
        <v>92</v>
      </c>
      <c r="H2380" t="s">
        <v>186</v>
      </c>
      <c r="I2380">
        <v>8.5000000000000006E-2</v>
      </c>
      <c r="J2380">
        <f t="shared" si="111"/>
        <v>56.95</v>
      </c>
      <c r="K2380">
        <v>2</v>
      </c>
      <c r="L2380">
        <f t="shared" si="112"/>
        <v>54.95</v>
      </c>
      <c r="M2380" s="4">
        <f t="shared" si="113"/>
        <v>7.3266666666666674E-2</v>
      </c>
      <c r="N2380">
        <v>750</v>
      </c>
      <c r="O2380">
        <v>670</v>
      </c>
      <c r="P2380" t="s">
        <v>25</v>
      </c>
      <c r="Q2380" t="s">
        <v>26</v>
      </c>
      <c r="R2380" t="str">
        <f>IF(COUNTIF(Sheet2!B:B, A2380) &gt; 0, "Yes", "No")</f>
        <v>No</v>
      </c>
    </row>
    <row r="2381" spans="1:18" x14ac:dyDescent="0.25">
      <c r="A2381" s="3">
        <v>45474</v>
      </c>
      <c r="B2381" t="s">
        <v>285</v>
      </c>
      <c r="C2381" t="s">
        <v>19</v>
      </c>
      <c r="D2381" t="s">
        <v>20</v>
      </c>
      <c r="E2381" t="s">
        <v>21</v>
      </c>
      <c r="F2381" t="s">
        <v>49</v>
      </c>
      <c r="G2381" t="s">
        <v>50</v>
      </c>
      <c r="H2381" t="s">
        <v>49</v>
      </c>
      <c r="I2381">
        <v>0.09</v>
      </c>
      <c r="J2381">
        <f t="shared" si="111"/>
        <v>60.3</v>
      </c>
      <c r="K2381">
        <v>2</v>
      </c>
      <c r="L2381">
        <f t="shared" si="112"/>
        <v>58.3</v>
      </c>
      <c r="M2381" s="4">
        <f t="shared" si="113"/>
        <v>7.7733333333333335E-2</v>
      </c>
      <c r="N2381">
        <v>750</v>
      </c>
      <c r="O2381">
        <v>670</v>
      </c>
      <c r="P2381" t="s">
        <v>25</v>
      </c>
      <c r="Q2381" t="s">
        <v>26</v>
      </c>
      <c r="R2381" t="str">
        <f>IF(COUNTIF(Sheet2!B:B, A2381) &gt; 0, "Yes", "No")</f>
        <v>No</v>
      </c>
    </row>
    <row r="2382" spans="1:18" x14ac:dyDescent="0.25">
      <c r="A2382" s="3">
        <v>45475</v>
      </c>
      <c r="B2382" t="s">
        <v>285</v>
      </c>
      <c r="C2382" t="s">
        <v>105</v>
      </c>
      <c r="D2382" t="s">
        <v>20</v>
      </c>
      <c r="E2382" t="s">
        <v>67</v>
      </c>
      <c r="F2382" t="s">
        <v>22</v>
      </c>
      <c r="G2382" t="s">
        <v>94</v>
      </c>
      <c r="H2382" t="s">
        <v>95</v>
      </c>
      <c r="I2382">
        <v>8.5000000000000006E-2</v>
      </c>
      <c r="J2382">
        <f t="shared" si="111"/>
        <v>56.95</v>
      </c>
      <c r="K2382">
        <v>2</v>
      </c>
      <c r="L2382">
        <f t="shared" si="112"/>
        <v>54.95</v>
      </c>
      <c r="M2382" s="4">
        <f t="shared" si="113"/>
        <v>7.3266666666666674E-2</v>
      </c>
      <c r="N2382">
        <v>750</v>
      </c>
      <c r="O2382">
        <v>670</v>
      </c>
      <c r="P2382" t="s">
        <v>25</v>
      </c>
      <c r="Q2382" t="s">
        <v>26</v>
      </c>
      <c r="R2382" t="str">
        <f>IF(COUNTIF(Sheet2!B:B, A2382) &gt; 0, "Yes", "No")</f>
        <v>No</v>
      </c>
    </row>
    <row r="2383" spans="1:18" x14ac:dyDescent="0.25">
      <c r="A2383" s="3">
        <v>45475</v>
      </c>
      <c r="B2383" t="s">
        <v>285</v>
      </c>
      <c r="C2383" t="s">
        <v>105</v>
      </c>
      <c r="D2383" t="s">
        <v>20</v>
      </c>
      <c r="E2383" t="s">
        <v>67</v>
      </c>
      <c r="F2383" t="s">
        <v>27</v>
      </c>
      <c r="G2383" t="s">
        <v>304</v>
      </c>
      <c r="H2383" t="s">
        <v>601</v>
      </c>
      <c r="I2383">
        <v>0.12</v>
      </c>
      <c r="J2383">
        <f t="shared" si="111"/>
        <v>80.399999999999991</v>
      </c>
      <c r="K2383">
        <v>2</v>
      </c>
      <c r="L2383">
        <f t="shared" si="112"/>
        <v>78.399999999999991</v>
      </c>
      <c r="M2383" s="4">
        <f t="shared" si="113"/>
        <v>0.10453333333333333</v>
      </c>
      <c r="N2383">
        <v>750</v>
      </c>
      <c r="O2383">
        <v>670</v>
      </c>
      <c r="P2383" t="s">
        <v>25</v>
      </c>
      <c r="Q2383" t="s">
        <v>26</v>
      </c>
      <c r="R2383" t="str">
        <f>IF(COUNTIF(Sheet2!B:B, A2383) &gt; 0, "Yes", "No")</f>
        <v>No</v>
      </c>
    </row>
    <row r="2384" spans="1:18" x14ac:dyDescent="0.25">
      <c r="A2384" s="3">
        <v>45475</v>
      </c>
      <c r="B2384" t="s">
        <v>285</v>
      </c>
      <c r="C2384" t="s">
        <v>105</v>
      </c>
      <c r="D2384" t="s">
        <v>20</v>
      </c>
      <c r="E2384" t="s">
        <v>67</v>
      </c>
      <c r="F2384" t="s">
        <v>30</v>
      </c>
      <c r="G2384" t="s">
        <v>31</v>
      </c>
      <c r="H2384" t="s">
        <v>70</v>
      </c>
      <c r="I2384">
        <v>0.09</v>
      </c>
      <c r="J2384">
        <f t="shared" si="111"/>
        <v>60.3</v>
      </c>
      <c r="K2384">
        <v>1</v>
      </c>
      <c r="L2384">
        <f t="shared" si="112"/>
        <v>59.3</v>
      </c>
      <c r="M2384" s="4">
        <f t="shared" si="113"/>
        <v>7.906666666666666E-2</v>
      </c>
      <c r="N2384">
        <v>750</v>
      </c>
      <c r="O2384">
        <v>670</v>
      </c>
      <c r="P2384" t="s">
        <v>25</v>
      </c>
      <c r="Q2384" t="s">
        <v>26</v>
      </c>
      <c r="R2384" t="str">
        <f>IF(COUNTIF(Sheet2!B:B, A2384) &gt; 0, "Yes", "No")</f>
        <v>No</v>
      </c>
    </row>
    <row r="2385" spans="1:18" x14ac:dyDescent="0.25">
      <c r="A2385" s="3">
        <v>45475</v>
      </c>
      <c r="B2385" t="s">
        <v>285</v>
      </c>
      <c r="C2385" t="s">
        <v>105</v>
      </c>
      <c r="D2385" t="s">
        <v>20</v>
      </c>
      <c r="E2385" t="s">
        <v>67</v>
      </c>
      <c r="F2385" t="s">
        <v>37</v>
      </c>
      <c r="G2385" t="s">
        <v>87</v>
      </c>
      <c r="H2385" t="s">
        <v>136</v>
      </c>
      <c r="I2385">
        <v>3.5000000000000003E-2</v>
      </c>
      <c r="J2385">
        <f t="shared" si="111"/>
        <v>23.450000000000003</v>
      </c>
      <c r="K2385">
        <v>1.5</v>
      </c>
      <c r="L2385">
        <f t="shared" si="112"/>
        <v>21.950000000000003</v>
      </c>
      <c r="M2385" s="4">
        <f t="shared" si="113"/>
        <v>2.926666666666667E-2</v>
      </c>
      <c r="N2385">
        <v>750</v>
      </c>
      <c r="O2385">
        <v>670</v>
      </c>
      <c r="P2385" t="s">
        <v>25</v>
      </c>
      <c r="Q2385" t="s">
        <v>26</v>
      </c>
      <c r="R2385" t="str">
        <f>IF(COUNTIF(Sheet2!B:B, A2385) &gt; 0, "Yes", "No")</f>
        <v>No</v>
      </c>
    </row>
    <row r="2386" spans="1:18" x14ac:dyDescent="0.25">
      <c r="A2386" s="3">
        <v>45475</v>
      </c>
      <c r="B2386" t="s">
        <v>285</v>
      </c>
      <c r="C2386" t="s">
        <v>105</v>
      </c>
      <c r="D2386" t="s">
        <v>20</v>
      </c>
      <c r="E2386" t="s">
        <v>67</v>
      </c>
      <c r="F2386" t="s">
        <v>40</v>
      </c>
      <c r="G2386" t="s">
        <v>127</v>
      </c>
      <c r="H2386" t="s">
        <v>358</v>
      </c>
      <c r="I2386">
        <v>0.05</v>
      </c>
      <c r="J2386">
        <f t="shared" si="111"/>
        <v>33.5</v>
      </c>
      <c r="K2386">
        <v>2</v>
      </c>
      <c r="L2386">
        <f t="shared" si="112"/>
        <v>31.5</v>
      </c>
      <c r="M2386" s="4">
        <f t="shared" si="113"/>
        <v>4.2000000000000003E-2</v>
      </c>
      <c r="N2386">
        <v>750</v>
      </c>
      <c r="O2386">
        <v>670</v>
      </c>
      <c r="P2386" t="s">
        <v>25</v>
      </c>
      <c r="Q2386" t="s">
        <v>26</v>
      </c>
      <c r="R2386" t="str">
        <f>IF(COUNTIF(Sheet2!B:B, A2386) &gt; 0, "Yes", "No")</f>
        <v>No</v>
      </c>
    </row>
    <row r="2387" spans="1:18" x14ac:dyDescent="0.25">
      <c r="A2387" s="3">
        <v>45475</v>
      </c>
      <c r="B2387" t="s">
        <v>285</v>
      </c>
      <c r="C2387" t="s">
        <v>105</v>
      </c>
      <c r="D2387" t="s">
        <v>20</v>
      </c>
      <c r="E2387" t="s">
        <v>67</v>
      </c>
      <c r="F2387" t="s">
        <v>43</v>
      </c>
      <c r="G2387" t="s">
        <v>90</v>
      </c>
      <c r="H2387" t="s">
        <v>188</v>
      </c>
      <c r="I2387">
        <v>0.11</v>
      </c>
      <c r="J2387">
        <f t="shared" si="111"/>
        <v>73.7</v>
      </c>
      <c r="K2387">
        <v>0.5</v>
      </c>
      <c r="L2387">
        <f t="shared" si="112"/>
        <v>73.2</v>
      </c>
      <c r="M2387" s="4">
        <f t="shared" si="113"/>
        <v>9.7600000000000006E-2</v>
      </c>
      <c r="N2387">
        <v>750</v>
      </c>
      <c r="O2387">
        <v>670</v>
      </c>
      <c r="P2387" t="s">
        <v>25</v>
      </c>
      <c r="Q2387" t="s">
        <v>26</v>
      </c>
      <c r="R2387" t="str">
        <f>IF(COUNTIF(Sheet2!B:B, A2387) &gt; 0, "Yes", "No")</f>
        <v>No</v>
      </c>
    </row>
    <row r="2388" spans="1:18" x14ac:dyDescent="0.25">
      <c r="A2388" s="3">
        <v>45475</v>
      </c>
      <c r="B2388" t="s">
        <v>285</v>
      </c>
      <c r="C2388" t="s">
        <v>105</v>
      </c>
      <c r="D2388" t="s">
        <v>20</v>
      </c>
      <c r="E2388" t="s">
        <v>67</v>
      </c>
      <c r="F2388" t="s">
        <v>46</v>
      </c>
      <c r="G2388" t="s">
        <v>103</v>
      </c>
      <c r="H2388" t="s">
        <v>623</v>
      </c>
      <c r="I2388">
        <v>0.09</v>
      </c>
      <c r="J2388">
        <f t="shared" si="111"/>
        <v>60.3</v>
      </c>
      <c r="K2388">
        <v>0</v>
      </c>
      <c r="L2388">
        <f t="shared" si="112"/>
        <v>60.3</v>
      </c>
      <c r="M2388" s="4">
        <f t="shared" si="113"/>
        <v>8.0399999999999999E-2</v>
      </c>
      <c r="N2388">
        <v>750</v>
      </c>
      <c r="O2388">
        <v>670</v>
      </c>
      <c r="P2388" t="s">
        <v>25</v>
      </c>
      <c r="Q2388" t="s">
        <v>26</v>
      </c>
      <c r="R2388" t="str">
        <f>IF(COUNTIF(Sheet2!B:B, A2388) &gt; 0, "Yes", "No")</f>
        <v>No</v>
      </c>
    </row>
    <row r="2389" spans="1:18" x14ac:dyDescent="0.25">
      <c r="A2389" s="3">
        <v>45475</v>
      </c>
      <c r="B2389" t="s">
        <v>285</v>
      </c>
      <c r="C2389" t="s">
        <v>105</v>
      </c>
      <c r="D2389" t="s">
        <v>20</v>
      </c>
      <c r="E2389" t="s">
        <v>67</v>
      </c>
      <c r="F2389" t="s">
        <v>49</v>
      </c>
      <c r="G2389" t="s">
        <v>50</v>
      </c>
      <c r="H2389" t="s">
        <v>49</v>
      </c>
      <c r="I2389">
        <v>0.09</v>
      </c>
      <c r="J2389">
        <f t="shared" si="111"/>
        <v>60.3</v>
      </c>
      <c r="K2389">
        <v>2</v>
      </c>
      <c r="L2389">
        <f t="shared" si="112"/>
        <v>58.3</v>
      </c>
      <c r="M2389" s="4">
        <f t="shared" si="113"/>
        <v>7.7733333333333335E-2</v>
      </c>
      <c r="N2389">
        <v>750</v>
      </c>
      <c r="O2389">
        <v>670</v>
      </c>
      <c r="P2389" t="s">
        <v>25</v>
      </c>
      <c r="Q2389" t="s">
        <v>26</v>
      </c>
      <c r="R2389" t="str">
        <f>IF(COUNTIF(Sheet2!B:B, A2389) &gt; 0, "Yes", "No")</f>
        <v>No</v>
      </c>
    </row>
    <row r="2390" spans="1:18" x14ac:dyDescent="0.25">
      <c r="A2390" s="3">
        <v>45476</v>
      </c>
      <c r="B2390" t="s">
        <v>285</v>
      </c>
      <c r="C2390" t="s">
        <v>51</v>
      </c>
      <c r="D2390" t="s">
        <v>20</v>
      </c>
      <c r="E2390" t="s">
        <v>21</v>
      </c>
      <c r="F2390" t="s">
        <v>22</v>
      </c>
      <c r="G2390" t="s">
        <v>122</v>
      </c>
      <c r="H2390" t="s">
        <v>624</v>
      </c>
      <c r="I2390">
        <v>8.5000000000000006E-2</v>
      </c>
      <c r="J2390">
        <f t="shared" si="111"/>
        <v>61.2</v>
      </c>
      <c r="K2390">
        <v>1</v>
      </c>
      <c r="L2390">
        <f t="shared" si="112"/>
        <v>60.2</v>
      </c>
      <c r="M2390" s="4">
        <f t="shared" si="113"/>
        <v>7.5249999999999997E-2</v>
      </c>
      <c r="N2390">
        <v>800</v>
      </c>
      <c r="O2390">
        <v>720</v>
      </c>
      <c r="P2390" t="s">
        <v>25</v>
      </c>
      <c r="Q2390" t="s">
        <v>26</v>
      </c>
      <c r="R2390" t="str">
        <f>IF(COUNTIF(Sheet2!B:B, A2390) &gt; 0, "Yes", "No")</f>
        <v>No</v>
      </c>
    </row>
    <row r="2391" spans="1:18" x14ac:dyDescent="0.25">
      <c r="A2391" s="3">
        <v>45476</v>
      </c>
      <c r="B2391" t="s">
        <v>285</v>
      </c>
      <c r="C2391" t="s">
        <v>51</v>
      </c>
      <c r="D2391" t="s">
        <v>20</v>
      </c>
      <c r="E2391" t="s">
        <v>21</v>
      </c>
      <c r="F2391" t="s">
        <v>27</v>
      </c>
      <c r="G2391" t="s">
        <v>28</v>
      </c>
      <c r="H2391" t="s">
        <v>427</v>
      </c>
      <c r="I2391">
        <v>0.11</v>
      </c>
      <c r="J2391">
        <f t="shared" si="111"/>
        <v>79.2</v>
      </c>
      <c r="K2391">
        <v>2</v>
      </c>
      <c r="L2391">
        <f t="shared" si="112"/>
        <v>77.2</v>
      </c>
      <c r="M2391" s="4">
        <f t="shared" si="113"/>
        <v>9.6500000000000002E-2</v>
      </c>
      <c r="N2391">
        <v>800</v>
      </c>
      <c r="O2391">
        <v>720</v>
      </c>
      <c r="P2391" t="s">
        <v>25</v>
      </c>
      <c r="Q2391" t="s">
        <v>26</v>
      </c>
      <c r="R2391" t="str">
        <f>IF(COUNTIF(Sheet2!B:B, A2391) &gt; 0, "Yes", "No")</f>
        <v>No</v>
      </c>
    </row>
    <row r="2392" spans="1:18" x14ac:dyDescent="0.25">
      <c r="A2392" s="3">
        <v>45476</v>
      </c>
      <c r="B2392" t="s">
        <v>285</v>
      </c>
      <c r="C2392" t="s">
        <v>51</v>
      </c>
      <c r="D2392" t="s">
        <v>20</v>
      </c>
      <c r="E2392" t="s">
        <v>21</v>
      </c>
      <c r="F2392" t="s">
        <v>30</v>
      </c>
      <c r="G2392" t="s">
        <v>55</v>
      </c>
      <c r="H2392" t="s">
        <v>125</v>
      </c>
      <c r="I2392">
        <v>0.09</v>
      </c>
      <c r="J2392">
        <f t="shared" si="111"/>
        <v>64.8</v>
      </c>
      <c r="K2392">
        <v>1</v>
      </c>
      <c r="L2392">
        <f t="shared" si="112"/>
        <v>63.8</v>
      </c>
      <c r="M2392" s="4">
        <f t="shared" si="113"/>
        <v>7.9750000000000001E-2</v>
      </c>
      <c r="N2392">
        <v>800</v>
      </c>
      <c r="O2392">
        <v>720</v>
      </c>
      <c r="P2392" t="s">
        <v>25</v>
      </c>
      <c r="Q2392" t="s">
        <v>26</v>
      </c>
      <c r="R2392" t="str">
        <f>IF(COUNTIF(Sheet2!B:B, A2392) &gt; 0, "Yes", "No")</f>
        <v>No</v>
      </c>
    </row>
    <row r="2393" spans="1:18" x14ac:dyDescent="0.25">
      <c r="A2393" s="3">
        <v>45476</v>
      </c>
      <c r="B2393" t="s">
        <v>285</v>
      </c>
      <c r="C2393" t="s">
        <v>51</v>
      </c>
      <c r="D2393" t="s">
        <v>33</v>
      </c>
      <c r="E2393" t="s">
        <v>21</v>
      </c>
      <c r="F2393" t="s">
        <v>34</v>
      </c>
      <c r="G2393" t="s">
        <v>57</v>
      </c>
      <c r="H2393" t="s">
        <v>487</v>
      </c>
      <c r="I2393">
        <v>0.15</v>
      </c>
      <c r="J2393">
        <f t="shared" si="111"/>
        <v>75</v>
      </c>
      <c r="K2393">
        <v>0</v>
      </c>
      <c r="L2393">
        <f t="shared" si="112"/>
        <v>75</v>
      </c>
      <c r="M2393" s="4">
        <f t="shared" si="113"/>
        <v>0.13392857142857142</v>
      </c>
      <c r="N2393">
        <v>560</v>
      </c>
      <c r="O2393">
        <v>500</v>
      </c>
      <c r="P2393" t="s">
        <v>25</v>
      </c>
      <c r="Q2393" t="s">
        <v>26</v>
      </c>
      <c r="R2393" t="str">
        <f>IF(COUNTIF(Sheet2!B:B, A2393) &gt; 0, "Yes", "No")</f>
        <v>No</v>
      </c>
    </row>
    <row r="2394" spans="1:18" x14ac:dyDescent="0.25">
      <c r="A2394" s="3">
        <v>45476</v>
      </c>
      <c r="B2394" t="s">
        <v>285</v>
      </c>
      <c r="C2394" t="s">
        <v>51</v>
      </c>
      <c r="D2394" t="s">
        <v>20</v>
      </c>
      <c r="E2394" t="s">
        <v>21</v>
      </c>
      <c r="F2394" t="s">
        <v>37</v>
      </c>
      <c r="G2394" t="s">
        <v>117</v>
      </c>
      <c r="H2394" t="s">
        <v>118</v>
      </c>
      <c r="I2394">
        <v>0.03</v>
      </c>
      <c r="J2394">
        <f t="shared" si="111"/>
        <v>21.599999999999998</v>
      </c>
      <c r="K2394">
        <v>2</v>
      </c>
      <c r="L2394">
        <f t="shared" si="112"/>
        <v>19.599999999999998</v>
      </c>
      <c r="M2394" s="4">
        <f t="shared" si="113"/>
        <v>2.4499999999999997E-2</v>
      </c>
      <c r="N2394">
        <v>800</v>
      </c>
      <c r="O2394">
        <v>720</v>
      </c>
      <c r="P2394" t="s">
        <v>25</v>
      </c>
      <c r="Q2394" t="s">
        <v>26</v>
      </c>
      <c r="R2394" t="str">
        <f>IF(COUNTIF(Sheet2!B:B, A2394) &gt; 0, "Yes", "No")</f>
        <v>No</v>
      </c>
    </row>
    <row r="2395" spans="1:18" x14ac:dyDescent="0.25">
      <c r="A2395" s="3">
        <v>45476</v>
      </c>
      <c r="B2395" t="s">
        <v>285</v>
      </c>
      <c r="C2395" t="s">
        <v>51</v>
      </c>
      <c r="D2395" t="s">
        <v>20</v>
      </c>
      <c r="E2395" t="s">
        <v>21</v>
      </c>
      <c r="F2395" t="s">
        <v>40</v>
      </c>
      <c r="G2395" t="s">
        <v>137</v>
      </c>
      <c r="H2395" t="s">
        <v>138</v>
      </c>
      <c r="I2395">
        <v>4.4999999999999998E-2</v>
      </c>
      <c r="J2395">
        <f t="shared" si="111"/>
        <v>32.4</v>
      </c>
      <c r="K2395">
        <v>2</v>
      </c>
      <c r="L2395">
        <f t="shared" si="112"/>
        <v>30.4</v>
      </c>
      <c r="M2395" s="4">
        <f t="shared" si="113"/>
        <v>3.7999999999999999E-2</v>
      </c>
      <c r="N2395">
        <v>800</v>
      </c>
      <c r="O2395">
        <v>720</v>
      </c>
      <c r="P2395" t="s">
        <v>25</v>
      </c>
      <c r="Q2395" t="s">
        <v>26</v>
      </c>
      <c r="R2395" t="str">
        <f>IF(COUNTIF(Sheet2!B:B, A2395) &gt; 0, "Yes", "No")</f>
        <v>No</v>
      </c>
    </row>
    <row r="2396" spans="1:18" x14ac:dyDescent="0.25">
      <c r="A2396" s="3">
        <v>45476</v>
      </c>
      <c r="B2396" t="s">
        <v>285</v>
      </c>
      <c r="C2396" t="s">
        <v>51</v>
      </c>
      <c r="D2396" t="s">
        <v>20</v>
      </c>
      <c r="E2396" t="s">
        <v>21</v>
      </c>
      <c r="F2396" t="s">
        <v>43</v>
      </c>
      <c r="G2396" t="s">
        <v>44</v>
      </c>
      <c r="H2396" t="s">
        <v>399</v>
      </c>
      <c r="I2396">
        <v>0.11</v>
      </c>
      <c r="J2396">
        <f t="shared" si="111"/>
        <v>79.2</v>
      </c>
      <c r="K2396">
        <v>1</v>
      </c>
      <c r="L2396">
        <f t="shared" si="112"/>
        <v>78.2</v>
      </c>
      <c r="M2396" s="4">
        <f t="shared" si="113"/>
        <v>9.7750000000000004E-2</v>
      </c>
      <c r="N2396">
        <v>800</v>
      </c>
      <c r="O2396">
        <v>720</v>
      </c>
      <c r="P2396" t="s">
        <v>25</v>
      </c>
      <c r="Q2396" t="s">
        <v>26</v>
      </c>
      <c r="R2396" t="str">
        <f>IF(COUNTIF(Sheet2!B:B, A2396) &gt; 0, "Yes", "No")</f>
        <v>No</v>
      </c>
    </row>
    <row r="2397" spans="1:18" x14ac:dyDescent="0.25">
      <c r="A2397" s="3">
        <v>45476</v>
      </c>
      <c r="B2397" t="s">
        <v>285</v>
      </c>
      <c r="C2397" t="s">
        <v>51</v>
      </c>
      <c r="D2397" t="s">
        <v>20</v>
      </c>
      <c r="E2397" t="s">
        <v>21</v>
      </c>
      <c r="F2397" t="s">
        <v>46</v>
      </c>
      <c r="G2397" t="s">
        <v>47</v>
      </c>
      <c r="H2397" t="s">
        <v>48</v>
      </c>
      <c r="I2397">
        <v>8.5000000000000006E-2</v>
      </c>
      <c r="J2397">
        <f t="shared" si="111"/>
        <v>61.2</v>
      </c>
      <c r="K2397">
        <v>1</v>
      </c>
      <c r="L2397">
        <f t="shared" si="112"/>
        <v>60.2</v>
      </c>
      <c r="M2397" s="4">
        <f t="shared" si="113"/>
        <v>7.5249999999999997E-2</v>
      </c>
      <c r="N2397">
        <v>800</v>
      </c>
      <c r="O2397">
        <v>720</v>
      </c>
      <c r="P2397" t="s">
        <v>25</v>
      </c>
      <c r="Q2397" t="s">
        <v>26</v>
      </c>
      <c r="R2397" t="str">
        <f>IF(COUNTIF(Sheet2!B:B, A2397) &gt; 0, "Yes", "No")</f>
        <v>No</v>
      </c>
    </row>
    <row r="2398" spans="1:18" x14ac:dyDescent="0.25">
      <c r="A2398" s="3">
        <v>45476</v>
      </c>
      <c r="B2398" t="s">
        <v>285</v>
      </c>
      <c r="C2398" t="s">
        <v>51</v>
      </c>
      <c r="D2398" t="s">
        <v>20</v>
      </c>
      <c r="E2398" t="s">
        <v>21</v>
      </c>
      <c r="F2398" t="s">
        <v>49</v>
      </c>
      <c r="G2398" t="s">
        <v>50</v>
      </c>
      <c r="H2398" t="s">
        <v>49</v>
      </c>
      <c r="I2398">
        <v>0.09</v>
      </c>
      <c r="J2398">
        <f t="shared" si="111"/>
        <v>64.8</v>
      </c>
      <c r="K2398">
        <v>0</v>
      </c>
      <c r="L2398">
        <f t="shared" si="112"/>
        <v>64.8</v>
      </c>
      <c r="M2398" s="4">
        <f t="shared" si="113"/>
        <v>8.1000000000000003E-2</v>
      </c>
      <c r="N2398">
        <v>800</v>
      </c>
      <c r="O2398">
        <v>720</v>
      </c>
      <c r="P2398" t="s">
        <v>25</v>
      </c>
      <c r="Q2398" t="s">
        <v>26</v>
      </c>
      <c r="R2398" t="str">
        <f>IF(COUNTIF(Sheet2!B:B, A2398) &gt; 0, "Yes", "No")</f>
        <v>No</v>
      </c>
    </row>
    <row r="2399" spans="1:18" x14ac:dyDescent="0.25">
      <c r="A2399" s="3">
        <v>45477</v>
      </c>
      <c r="B2399" t="s">
        <v>285</v>
      </c>
      <c r="C2399" t="s">
        <v>66</v>
      </c>
      <c r="D2399" t="s">
        <v>20</v>
      </c>
      <c r="E2399" t="s">
        <v>67</v>
      </c>
      <c r="F2399" t="s">
        <v>22</v>
      </c>
      <c r="G2399" t="s">
        <v>52</v>
      </c>
      <c r="H2399" t="s">
        <v>53</v>
      </c>
      <c r="I2399">
        <v>8.5000000000000006E-2</v>
      </c>
      <c r="J2399">
        <f t="shared" si="111"/>
        <v>56.95</v>
      </c>
      <c r="K2399">
        <v>2</v>
      </c>
      <c r="L2399">
        <f t="shared" si="112"/>
        <v>54.95</v>
      </c>
      <c r="M2399" s="4">
        <f t="shared" si="113"/>
        <v>7.3266666666666674E-2</v>
      </c>
      <c r="N2399">
        <v>750</v>
      </c>
      <c r="O2399">
        <v>670</v>
      </c>
      <c r="P2399" t="s">
        <v>25</v>
      </c>
      <c r="Q2399" t="s">
        <v>26</v>
      </c>
      <c r="R2399" t="str">
        <f>IF(COUNTIF(Sheet2!B:B, A2399) &gt; 0, "Yes", "No")</f>
        <v>No</v>
      </c>
    </row>
    <row r="2400" spans="1:18" x14ac:dyDescent="0.25">
      <c r="A2400" s="3">
        <v>45477</v>
      </c>
      <c r="B2400" t="s">
        <v>285</v>
      </c>
      <c r="C2400" t="s">
        <v>66</v>
      </c>
      <c r="D2400" t="s">
        <v>20</v>
      </c>
      <c r="E2400" t="s">
        <v>67</v>
      </c>
      <c r="F2400" t="s">
        <v>27</v>
      </c>
      <c r="G2400" t="s">
        <v>235</v>
      </c>
      <c r="H2400" t="s">
        <v>625</v>
      </c>
      <c r="I2400">
        <v>0.12</v>
      </c>
      <c r="J2400">
        <f t="shared" si="111"/>
        <v>80.399999999999991</v>
      </c>
      <c r="K2400">
        <v>0</v>
      </c>
      <c r="L2400">
        <f t="shared" si="112"/>
        <v>80.399999999999991</v>
      </c>
      <c r="M2400" s="4">
        <f t="shared" si="113"/>
        <v>0.10719999999999999</v>
      </c>
      <c r="N2400">
        <v>750</v>
      </c>
      <c r="O2400">
        <v>670</v>
      </c>
      <c r="P2400" t="s">
        <v>25</v>
      </c>
      <c r="Q2400" t="s">
        <v>26</v>
      </c>
      <c r="R2400" t="str">
        <f>IF(COUNTIF(Sheet2!B:B, A2400) &gt; 0, "Yes", "No")</f>
        <v>No</v>
      </c>
    </row>
    <row r="2401" spans="1:18" x14ac:dyDescent="0.25">
      <c r="A2401" s="3">
        <v>45477</v>
      </c>
      <c r="B2401" t="s">
        <v>285</v>
      </c>
      <c r="C2401" t="s">
        <v>66</v>
      </c>
      <c r="D2401" t="s">
        <v>20</v>
      </c>
      <c r="E2401" t="s">
        <v>67</v>
      </c>
      <c r="F2401" t="s">
        <v>30</v>
      </c>
      <c r="G2401" t="s">
        <v>55</v>
      </c>
      <c r="H2401" t="s">
        <v>56</v>
      </c>
      <c r="I2401">
        <v>0.09</v>
      </c>
      <c r="J2401">
        <f t="shared" si="111"/>
        <v>60.3</v>
      </c>
      <c r="K2401">
        <v>2</v>
      </c>
      <c r="L2401">
        <f t="shared" si="112"/>
        <v>58.3</v>
      </c>
      <c r="M2401" s="4">
        <f t="shared" si="113"/>
        <v>7.7733333333333335E-2</v>
      </c>
      <c r="N2401">
        <v>750</v>
      </c>
      <c r="O2401">
        <v>670</v>
      </c>
      <c r="P2401" t="s">
        <v>25</v>
      </c>
      <c r="Q2401" t="s">
        <v>26</v>
      </c>
      <c r="R2401" t="str">
        <f>IF(COUNTIF(Sheet2!B:B, A2401) &gt; 0, "Yes", "No")</f>
        <v>No</v>
      </c>
    </row>
    <row r="2402" spans="1:18" x14ac:dyDescent="0.25">
      <c r="A2402" s="3">
        <v>45477</v>
      </c>
      <c r="B2402" t="s">
        <v>285</v>
      </c>
      <c r="C2402" t="s">
        <v>66</v>
      </c>
      <c r="D2402" t="s">
        <v>20</v>
      </c>
      <c r="E2402" t="s">
        <v>67</v>
      </c>
      <c r="F2402" t="s">
        <v>37</v>
      </c>
      <c r="G2402" t="s">
        <v>108</v>
      </c>
      <c r="H2402" t="s">
        <v>109</v>
      </c>
      <c r="I2402">
        <v>3.5000000000000003E-2</v>
      </c>
      <c r="J2402">
        <f t="shared" si="111"/>
        <v>23.450000000000003</v>
      </c>
      <c r="K2402">
        <v>2</v>
      </c>
      <c r="L2402">
        <f t="shared" si="112"/>
        <v>21.450000000000003</v>
      </c>
      <c r="M2402" s="4">
        <f t="shared" si="113"/>
        <v>2.8600000000000004E-2</v>
      </c>
      <c r="N2402">
        <v>750</v>
      </c>
      <c r="O2402">
        <v>670</v>
      </c>
      <c r="P2402" t="s">
        <v>25</v>
      </c>
      <c r="Q2402" t="s">
        <v>26</v>
      </c>
      <c r="R2402" t="str">
        <f>IF(COUNTIF(Sheet2!B:B, A2402) &gt; 0, "Yes", "No")</f>
        <v>No</v>
      </c>
    </row>
    <row r="2403" spans="1:18" x14ac:dyDescent="0.25">
      <c r="A2403" s="3">
        <v>45477</v>
      </c>
      <c r="B2403" t="s">
        <v>285</v>
      </c>
      <c r="C2403" t="s">
        <v>66</v>
      </c>
      <c r="D2403" t="s">
        <v>20</v>
      </c>
      <c r="E2403" t="s">
        <v>67</v>
      </c>
      <c r="F2403" t="s">
        <v>40</v>
      </c>
      <c r="G2403" t="s">
        <v>164</v>
      </c>
      <c r="H2403" t="s">
        <v>202</v>
      </c>
      <c r="I2403">
        <v>0.05</v>
      </c>
      <c r="J2403">
        <f t="shared" si="111"/>
        <v>33.5</v>
      </c>
      <c r="K2403">
        <v>2</v>
      </c>
      <c r="L2403">
        <f t="shared" si="112"/>
        <v>31.5</v>
      </c>
      <c r="M2403" s="4">
        <f t="shared" si="113"/>
        <v>4.2000000000000003E-2</v>
      </c>
      <c r="N2403">
        <v>750</v>
      </c>
      <c r="O2403">
        <v>670</v>
      </c>
      <c r="P2403" t="s">
        <v>25</v>
      </c>
      <c r="Q2403" t="s">
        <v>26</v>
      </c>
      <c r="R2403" t="str">
        <f>IF(COUNTIF(Sheet2!B:B, A2403) &gt; 0, "Yes", "No")</f>
        <v>No</v>
      </c>
    </row>
    <row r="2404" spans="1:18" x14ac:dyDescent="0.25">
      <c r="A2404" s="3">
        <v>45477</v>
      </c>
      <c r="B2404" t="s">
        <v>285</v>
      </c>
      <c r="C2404" t="s">
        <v>66</v>
      </c>
      <c r="D2404" t="s">
        <v>20</v>
      </c>
      <c r="E2404" t="s">
        <v>67</v>
      </c>
      <c r="F2404" t="s">
        <v>43</v>
      </c>
      <c r="G2404" t="s">
        <v>111</v>
      </c>
      <c r="H2404" t="s">
        <v>267</v>
      </c>
      <c r="I2404">
        <v>0.11</v>
      </c>
      <c r="J2404">
        <f t="shared" si="111"/>
        <v>73.7</v>
      </c>
      <c r="K2404">
        <v>0</v>
      </c>
      <c r="L2404">
        <f t="shared" si="112"/>
        <v>73.7</v>
      </c>
      <c r="M2404" s="4">
        <f t="shared" si="113"/>
        <v>9.8266666666666669E-2</v>
      </c>
      <c r="N2404">
        <v>750</v>
      </c>
      <c r="O2404">
        <v>670</v>
      </c>
      <c r="P2404" t="s">
        <v>25</v>
      </c>
      <c r="Q2404" t="s">
        <v>26</v>
      </c>
      <c r="R2404" t="str">
        <f>IF(COUNTIF(Sheet2!B:B, A2404) &gt; 0, "Yes", "No")</f>
        <v>No</v>
      </c>
    </row>
    <row r="2405" spans="1:18" x14ac:dyDescent="0.25">
      <c r="A2405" s="3">
        <v>45477</v>
      </c>
      <c r="B2405" t="s">
        <v>285</v>
      </c>
      <c r="C2405" t="s">
        <v>66</v>
      </c>
      <c r="D2405" t="s">
        <v>20</v>
      </c>
      <c r="E2405" t="s">
        <v>67</v>
      </c>
      <c r="F2405" t="s">
        <v>46</v>
      </c>
      <c r="G2405" t="s">
        <v>77</v>
      </c>
      <c r="H2405" t="s">
        <v>626</v>
      </c>
      <c r="I2405">
        <v>8.5000000000000006E-2</v>
      </c>
      <c r="J2405">
        <f t="shared" si="111"/>
        <v>56.95</v>
      </c>
      <c r="K2405">
        <v>3</v>
      </c>
      <c r="L2405">
        <f t="shared" si="112"/>
        <v>53.95</v>
      </c>
      <c r="M2405" s="4">
        <f t="shared" si="113"/>
        <v>7.1933333333333335E-2</v>
      </c>
      <c r="N2405">
        <v>750</v>
      </c>
      <c r="O2405">
        <v>670</v>
      </c>
      <c r="P2405" t="s">
        <v>25</v>
      </c>
      <c r="Q2405" t="s">
        <v>26</v>
      </c>
      <c r="R2405" t="str">
        <f>IF(COUNTIF(Sheet2!B:B, A2405) &gt; 0, "Yes", "No")</f>
        <v>No</v>
      </c>
    </row>
    <row r="2406" spans="1:18" x14ac:dyDescent="0.25">
      <c r="A2406" s="3">
        <v>45477</v>
      </c>
      <c r="B2406" t="s">
        <v>285</v>
      </c>
      <c r="C2406" t="s">
        <v>66</v>
      </c>
      <c r="D2406" t="s">
        <v>20</v>
      </c>
      <c r="E2406" t="s">
        <v>67</v>
      </c>
      <c r="F2406" t="s">
        <v>49</v>
      </c>
      <c r="G2406" t="s">
        <v>50</v>
      </c>
      <c r="H2406" t="s">
        <v>49</v>
      </c>
      <c r="I2406">
        <v>0.09</v>
      </c>
      <c r="J2406">
        <f t="shared" si="111"/>
        <v>60.3</v>
      </c>
      <c r="K2406">
        <v>0</v>
      </c>
      <c r="L2406">
        <f t="shared" si="112"/>
        <v>60.3</v>
      </c>
      <c r="M2406" s="4">
        <f t="shared" si="113"/>
        <v>8.0399999999999999E-2</v>
      </c>
      <c r="N2406">
        <v>750</v>
      </c>
      <c r="O2406">
        <v>670</v>
      </c>
      <c r="P2406" t="s">
        <v>25</v>
      </c>
      <c r="Q2406" t="s">
        <v>26</v>
      </c>
      <c r="R2406" t="str">
        <f>IF(COUNTIF(Sheet2!B:B, A2406) &gt; 0, "Yes", "No")</f>
        <v>No</v>
      </c>
    </row>
    <row r="2407" spans="1:18" x14ac:dyDescent="0.25">
      <c r="A2407" s="3">
        <v>45478</v>
      </c>
      <c r="B2407" t="s">
        <v>285</v>
      </c>
      <c r="C2407" t="s">
        <v>79</v>
      </c>
      <c r="D2407" t="s">
        <v>20</v>
      </c>
      <c r="E2407" t="s">
        <v>21</v>
      </c>
      <c r="F2407" t="s">
        <v>22</v>
      </c>
      <c r="G2407" t="s">
        <v>94</v>
      </c>
      <c r="H2407" t="s">
        <v>199</v>
      </c>
      <c r="I2407" s="5">
        <v>0.06</v>
      </c>
      <c r="J2407">
        <f t="shared" si="111"/>
        <v>36</v>
      </c>
      <c r="K2407">
        <v>3</v>
      </c>
      <c r="L2407">
        <f t="shared" si="112"/>
        <v>33</v>
      </c>
      <c r="M2407" s="4">
        <f t="shared" si="113"/>
        <v>5.0769230769230768E-2</v>
      </c>
      <c r="N2407">
        <v>650</v>
      </c>
      <c r="O2407">
        <v>600</v>
      </c>
      <c r="P2407" t="s">
        <v>25</v>
      </c>
      <c r="Q2407" t="s">
        <v>26</v>
      </c>
      <c r="R2407" t="str">
        <f>IF(COUNTIF(Sheet2!B:B, A2407) &gt; 0, "Yes", "No")</f>
        <v>Yes</v>
      </c>
    </row>
    <row r="2408" spans="1:18" x14ac:dyDescent="0.25">
      <c r="A2408" s="3">
        <v>45478</v>
      </c>
      <c r="B2408" t="s">
        <v>285</v>
      </c>
      <c r="C2408" t="s">
        <v>79</v>
      </c>
      <c r="D2408" t="s">
        <v>20</v>
      </c>
      <c r="E2408" t="s">
        <v>21</v>
      </c>
      <c r="F2408" t="s">
        <v>27</v>
      </c>
      <c r="G2408" t="s">
        <v>81</v>
      </c>
      <c r="H2408" t="s">
        <v>378</v>
      </c>
      <c r="I2408" s="5">
        <v>0.1</v>
      </c>
      <c r="J2408">
        <f t="shared" si="111"/>
        <v>60</v>
      </c>
      <c r="K2408">
        <v>3</v>
      </c>
      <c r="L2408">
        <f t="shared" si="112"/>
        <v>57</v>
      </c>
      <c r="M2408" s="4">
        <f t="shared" si="113"/>
        <v>8.7692307692307694E-2</v>
      </c>
      <c r="N2408">
        <v>650</v>
      </c>
      <c r="O2408">
        <v>600</v>
      </c>
      <c r="P2408" t="s">
        <v>25</v>
      </c>
      <c r="Q2408" t="s">
        <v>26</v>
      </c>
      <c r="R2408" t="str">
        <f>IF(COUNTIF(Sheet2!B:B, A2408) &gt; 0, "Yes", "No")</f>
        <v>Yes</v>
      </c>
    </row>
    <row r="2409" spans="1:18" x14ac:dyDescent="0.25">
      <c r="A2409" s="3">
        <v>45478</v>
      </c>
      <c r="B2409" t="s">
        <v>285</v>
      </c>
      <c r="C2409" t="s">
        <v>79</v>
      </c>
      <c r="D2409" t="s">
        <v>20</v>
      </c>
      <c r="E2409" t="s">
        <v>21</v>
      </c>
      <c r="F2409" t="s">
        <v>30</v>
      </c>
      <c r="G2409" t="s">
        <v>55</v>
      </c>
      <c r="H2409" t="s">
        <v>183</v>
      </c>
      <c r="I2409" s="5">
        <v>0.06</v>
      </c>
      <c r="J2409">
        <f t="shared" si="111"/>
        <v>36</v>
      </c>
      <c r="K2409">
        <v>1</v>
      </c>
      <c r="L2409">
        <f t="shared" si="112"/>
        <v>35</v>
      </c>
      <c r="M2409" s="4">
        <f t="shared" si="113"/>
        <v>5.3846153846153849E-2</v>
      </c>
      <c r="N2409">
        <v>650</v>
      </c>
      <c r="O2409">
        <v>600</v>
      </c>
      <c r="P2409" t="s">
        <v>25</v>
      </c>
      <c r="Q2409" t="s">
        <v>26</v>
      </c>
      <c r="R2409" t="str">
        <f>IF(COUNTIF(Sheet2!B:B, A2409) &gt; 0, "Yes", "No")</f>
        <v>Yes</v>
      </c>
    </row>
    <row r="2410" spans="1:18" x14ac:dyDescent="0.25">
      <c r="A2410" s="3">
        <v>45478</v>
      </c>
      <c r="B2410" t="s">
        <v>285</v>
      </c>
      <c r="C2410" t="s">
        <v>79</v>
      </c>
      <c r="D2410" t="s">
        <v>33</v>
      </c>
      <c r="E2410" t="s">
        <v>21</v>
      </c>
      <c r="F2410" t="s">
        <v>84</v>
      </c>
      <c r="G2410" t="s">
        <v>177</v>
      </c>
      <c r="H2410" t="s">
        <v>432</v>
      </c>
      <c r="I2410" s="5">
        <v>0.3</v>
      </c>
      <c r="J2410">
        <f t="shared" si="111"/>
        <v>144</v>
      </c>
      <c r="K2410">
        <v>0</v>
      </c>
      <c r="L2410">
        <f t="shared" si="112"/>
        <v>144</v>
      </c>
      <c r="M2410" s="4">
        <f t="shared" si="113"/>
        <v>0.27692307692307694</v>
      </c>
      <c r="N2410">
        <v>520</v>
      </c>
      <c r="O2410">
        <v>480</v>
      </c>
      <c r="P2410" t="s">
        <v>25</v>
      </c>
      <c r="Q2410" t="s">
        <v>26</v>
      </c>
      <c r="R2410" t="str">
        <f>IF(COUNTIF(Sheet2!B:B, A2410) &gt; 0, "Yes", "No")</f>
        <v>Yes</v>
      </c>
    </row>
    <row r="2411" spans="1:18" x14ac:dyDescent="0.25">
      <c r="A2411" s="3">
        <v>45478</v>
      </c>
      <c r="B2411" t="s">
        <v>285</v>
      </c>
      <c r="C2411" t="s">
        <v>79</v>
      </c>
      <c r="D2411" t="s">
        <v>20</v>
      </c>
      <c r="E2411" t="s">
        <v>21</v>
      </c>
      <c r="F2411" t="s">
        <v>37</v>
      </c>
      <c r="G2411" t="s">
        <v>71</v>
      </c>
      <c r="H2411" t="s">
        <v>151</v>
      </c>
      <c r="I2411" s="5">
        <v>2.5000000000000001E-2</v>
      </c>
      <c r="J2411">
        <f t="shared" si="111"/>
        <v>15</v>
      </c>
      <c r="K2411">
        <v>2</v>
      </c>
      <c r="L2411">
        <f t="shared" si="112"/>
        <v>13</v>
      </c>
      <c r="M2411" s="4">
        <f t="shared" si="113"/>
        <v>0.02</v>
      </c>
      <c r="N2411">
        <v>650</v>
      </c>
      <c r="O2411">
        <v>600</v>
      </c>
      <c r="P2411" t="s">
        <v>25</v>
      </c>
      <c r="Q2411" t="s">
        <v>26</v>
      </c>
      <c r="R2411" t="str">
        <f>IF(COUNTIF(Sheet2!B:B, A2411) &gt; 0, "Yes", "No")</f>
        <v>Yes</v>
      </c>
    </row>
    <row r="2412" spans="1:18" x14ac:dyDescent="0.25">
      <c r="A2412" s="3">
        <v>45478</v>
      </c>
      <c r="B2412" t="s">
        <v>285</v>
      </c>
      <c r="C2412" t="s">
        <v>79</v>
      </c>
      <c r="D2412" t="s">
        <v>20</v>
      </c>
      <c r="E2412" t="s">
        <v>21</v>
      </c>
      <c r="F2412" t="s">
        <v>40</v>
      </c>
      <c r="G2412" t="s">
        <v>61</v>
      </c>
      <c r="H2412" t="s">
        <v>62</v>
      </c>
      <c r="I2412" s="5">
        <v>0.04</v>
      </c>
      <c r="J2412">
        <f t="shared" si="111"/>
        <v>24</v>
      </c>
      <c r="K2412">
        <v>1</v>
      </c>
      <c r="L2412">
        <f t="shared" si="112"/>
        <v>23</v>
      </c>
      <c r="M2412" s="4">
        <f t="shared" si="113"/>
        <v>3.5384615384615382E-2</v>
      </c>
      <c r="N2412">
        <v>650</v>
      </c>
      <c r="O2412">
        <v>600</v>
      </c>
      <c r="P2412" t="s">
        <v>25</v>
      </c>
      <c r="Q2412" t="s">
        <v>26</v>
      </c>
      <c r="R2412" t="str">
        <f>IF(COUNTIF(Sheet2!B:B, A2412) &gt; 0, "Yes", "No")</f>
        <v>Yes</v>
      </c>
    </row>
    <row r="2413" spans="1:18" x14ac:dyDescent="0.25">
      <c r="A2413" s="3">
        <v>45478</v>
      </c>
      <c r="B2413" t="s">
        <v>285</v>
      </c>
      <c r="C2413" t="s">
        <v>79</v>
      </c>
      <c r="D2413" t="s">
        <v>20</v>
      </c>
      <c r="E2413" t="s">
        <v>21</v>
      </c>
      <c r="F2413" t="s">
        <v>43</v>
      </c>
      <c r="G2413" t="s">
        <v>215</v>
      </c>
      <c r="H2413" t="s">
        <v>216</v>
      </c>
      <c r="I2413" s="5">
        <v>7.0000000000000007E-2</v>
      </c>
      <c r="J2413">
        <f t="shared" si="111"/>
        <v>42.000000000000007</v>
      </c>
      <c r="K2413">
        <v>4</v>
      </c>
      <c r="L2413">
        <f t="shared" si="112"/>
        <v>38.000000000000007</v>
      </c>
      <c r="M2413" s="4">
        <f t="shared" si="113"/>
        <v>5.8461538461538474E-2</v>
      </c>
      <c r="N2413">
        <v>650</v>
      </c>
      <c r="O2413">
        <v>600</v>
      </c>
      <c r="P2413" t="s">
        <v>25</v>
      </c>
      <c r="Q2413" t="s">
        <v>26</v>
      </c>
      <c r="R2413" t="str">
        <f>IF(COUNTIF(Sheet2!B:B, A2413) &gt; 0, "Yes", "No")</f>
        <v>Yes</v>
      </c>
    </row>
    <row r="2414" spans="1:18" x14ac:dyDescent="0.25">
      <c r="A2414" s="3">
        <v>45478</v>
      </c>
      <c r="B2414" t="s">
        <v>285</v>
      </c>
      <c r="C2414" t="s">
        <v>79</v>
      </c>
      <c r="D2414" t="s">
        <v>20</v>
      </c>
      <c r="E2414" t="s">
        <v>21</v>
      </c>
      <c r="F2414" t="s">
        <v>46</v>
      </c>
      <c r="G2414" t="s">
        <v>47</v>
      </c>
      <c r="H2414" t="s">
        <v>532</v>
      </c>
      <c r="I2414" s="5">
        <v>0.06</v>
      </c>
      <c r="J2414">
        <f t="shared" si="111"/>
        <v>36</v>
      </c>
      <c r="K2414">
        <v>3</v>
      </c>
      <c r="L2414">
        <f t="shared" si="112"/>
        <v>33</v>
      </c>
      <c r="M2414" s="4">
        <f t="shared" si="113"/>
        <v>5.0769230769230768E-2</v>
      </c>
      <c r="N2414">
        <v>650</v>
      </c>
      <c r="O2414">
        <v>600</v>
      </c>
      <c r="P2414" t="s">
        <v>25</v>
      </c>
      <c r="Q2414" t="s">
        <v>26</v>
      </c>
      <c r="R2414" t="str">
        <f>IF(COUNTIF(Sheet2!B:B, A2414) &gt; 0, "Yes", "No")</f>
        <v>Yes</v>
      </c>
    </row>
    <row r="2415" spans="1:18" x14ac:dyDescent="0.25">
      <c r="A2415" s="3">
        <v>45478</v>
      </c>
      <c r="B2415" t="s">
        <v>285</v>
      </c>
      <c r="C2415" t="s">
        <v>79</v>
      </c>
      <c r="D2415" t="s">
        <v>20</v>
      </c>
      <c r="E2415" t="s">
        <v>21</v>
      </c>
      <c r="F2415" t="s">
        <v>49</v>
      </c>
      <c r="G2415" t="s">
        <v>50</v>
      </c>
      <c r="H2415" t="s">
        <v>49</v>
      </c>
      <c r="I2415" s="5">
        <v>0.04</v>
      </c>
      <c r="J2415">
        <f t="shared" si="111"/>
        <v>24</v>
      </c>
      <c r="K2415">
        <v>3</v>
      </c>
      <c r="L2415">
        <f t="shared" si="112"/>
        <v>21</v>
      </c>
      <c r="M2415" s="4">
        <f t="shared" si="113"/>
        <v>3.2307692307692308E-2</v>
      </c>
      <c r="N2415">
        <v>650</v>
      </c>
      <c r="O2415">
        <v>600</v>
      </c>
      <c r="P2415" t="s">
        <v>25</v>
      </c>
      <c r="Q2415" t="s">
        <v>26</v>
      </c>
      <c r="R2415" t="str">
        <f>IF(COUNTIF(Sheet2!B:B, A2415) &gt; 0, "Yes", "No")</f>
        <v>Yes</v>
      </c>
    </row>
    <row r="2416" spans="1:18" x14ac:dyDescent="0.25">
      <c r="A2416" s="3">
        <v>45481</v>
      </c>
      <c r="B2416" t="s">
        <v>285</v>
      </c>
      <c r="C2416" t="s">
        <v>19</v>
      </c>
      <c r="D2416" t="s">
        <v>20</v>
      </c>
      <c r="E2416" t="s">
        <v>21</v>
      </c>
      <c r="F2416" t="s">
        <v>22</v>
      </c>
      <c r="G2416" t="s">
        <v>52</v>
      </c>
      <c r="H2416" t="s">
        <v>577</v>
      </c>
      <c r="I2416">
        <v>8.5000000000000006E-2</v>
      </c>
      <c r="J2416">
        <f t="shared" si="111"/>
        <v>56.95</v>
      </c>
      <c r="K2416">
        <v>2</v>
      </c>
      <c r="L2416">
        <f t="shared" si="112"/>
        <v>54.95</v>
      </c>
      <c r="M2416" s="4">
        <f t="shared" si="113"/>
        <v>7.3266666666666674E-2</v>
      </c>
      <c r="N2416">
        <v>750</v>
      </c>
      <c r="O2416">
        <v>670</v>
      </c>
      <c r="P2416" t="s">
        <v>25</v>
      </c>
      <c r="Q2416" t="s">
        <v>26</v>
      </c>
      <c r="R2416" t="str">
        <f>IF(COUNTIF(Sheet2!B:B, A2416) &gt; 0, "Yes", "No")</f>
        <v>No</v>
      </c>
    </row>
    <row r="2417" spans="1:18" x14ac:dyDescent="0.25">
      <c r="A2417" s="3">
        <v>45481</v>
      </c>
      <c r="B2417" t="s">
        <v>285</v>
      </c>
      <c r="C2417" t="s">
        <v>19</v>
      </c>
      <c r="D2417" t="s">
        <v>20</v>
      </c>
      <c r="E2417" t="s">
        <v>21</v>
      </c>
      <c r="F2417" t="s">
        <v>27</v>
      </c>
      <c r="G2417" t="s">
        <v>780</v>
      </c>
      <c r="H2417" t="s">
        <v>149</v>
      </c>
      <c r="I2417">
        <v>0.11</v>
      </c>
      <c r="J2417">
        <f t="shared" si="111"/>
        <v>73.7</v>
      </c>
      <c r="K2417">
        <v>3</v>
      </c>
      <c r="L2417">
        <f t="shared" si="112"/>
        <v>70.7</v>
      </c>
      <c r="M2417" s="4">
        <f t="shared" si="113"/>
        <v>9.4266666666666665E-2</v>
      </c>
      <c r="N2417">
        <v>750</v>
      </c>
      <c r="O2417">
        <v>670</v>
      </c>
      <c r="P2417" t="s">
        <v>25</v>
      </c>
      <c r="Q2417" t="s">
        <v>26</v>
      </c>
      <c r="R2417" t="str">
        <f>IF(COUNTIF(Sheet2!B:B, A2417) &gt; 0, "Yes", "No")</f>
        <v>No</v>
      </c>
    </row>
    <row r="2418" spans="1:18" x14ac:dyDescent="0.25">
      <c r="A2418" s="3">
        <v>45481</v>
      </c>
      <c r="B2418" t="s">
        <v>285</v>
      </c>
      <c r="C2418" t="s">
        <v>19</v>
      </c>
      <c r="D2418" t="s">
        <v>20</v>
      </c>
      <c r="E2418" t="s">
        <v>21</v>
      </c>
      <c r="F2418" t="s">
        <v>30</v>
      </c>
      <c r="G2418" t="s">
        <v>55</v>
      </c>
      <c r="H2418" t="s">
        <v>56</v>
      </c>
      <c r="I2418">
        <v>0.09</v>
      </c>
      <c r="J2418">
        <f t="shared" si="111"/>
        <v>60.3</v>
      </c>
      <c r="K2418">
        <v>2</v>
      </c>
      <c r="L2418">
        <f t="shared" si="112"/>
        <v>58.3</v>
      </c>
      <c r="M2418" s="4">
        <f t="shared" si="113"/>
        <v>7.7733333333333335E-2</v>
      </c>
      <c r="N2418">
        <v>750</v>
      </c>
      <c r="O2418">
        <v>670</v>
      </c>
      <c r="P2418" t="s">
        <v>25</v>
      </c>
      <c r="Q2418" t="s">
        <v>26</v>
      </c>
      <c r="R2418" t="str">
        <f>IF(COUNTIF(Sheet2!B:B, A2418) &gt; 0, "Yes", "No")</f>
        <v>No</v>
      </c>
    </row>
    <row r="2419" spans="1:18" x14ac:dyDescent="0.25">
      <c r="A2419" s="3">
        <v>45481</v>
      </c>
      <c r="B2419" t="s">
        <v>285</v>
      </c>
      <c r="C2419" t="s">
        <v>19</v>
      </c>
      <c r="D2419" t="s">
        <v>33</v>
      </c>
      <c r="E2419" t="s">
        <v>21</v>
      </c>
      <c r="F2419" t="s">
        <v>34</v>
      </c>
      <c r="G2419" t="s">
        <v>57</v>
      </c>
      <c r="H2419" t="s">
        <v>211</v>
      </c>
      <c r="I2419">
        <v>0.15</v>
      </c>
      <c r="J2419">
        <f t="shared" si="111"/>
        <v>63</v>
      </c>
      <c r="K2419">
        <v>1</v>
      </c>
      <c r="L2419">
        <f t="shared" si="112"/>
        <v>62</v>
      </c>
      <c r="M2419" s="4">
        <f t="shared" si="113"/>
        <v>0.1180952380952381</v>
      </c>
      <c r="N2419">
        <v>525</v>
      </c>
      <c r="O2419">
        <v>420</v>
      </c>
      <c r="P2419" t="s">
        <v>25</v>
      </c>
      <c r="Q2419" t="s">
        <v>26</v>
      </c>
      <c r="R2419" t="str">
        <f>IF(COUNTIF(Sheet2!B:B, A2419) &gt; 0, "Yes", "No")</f>
        <v>No</v>
      </c>
    </row>
    <row r="2420" spans="1:18" x14ac:dyDescent="0.25">
      <c r="A2420" s="3">
        <v>45481</v>
      </c>
      <c r="B2420" t="s">
        <v>285</v>
      </c>
      <c r="C2420" t="s">
        <v>19</v>
      </c>
      <c r="D2420" t="s">
        <v>20</v>
      </c>
      <c r="E2420" t="s">
        <v>21</v>
      </c>
      <c r="F2420" t="s">
        <v>37</v>
      </c>
      <c r="G2420" t="s">
        <v>38</v>
      </c>
      <c r="H2420" t="s">
        <v>39</v>
      </c>
      <c r="I2420">
        <v>0.03</v>
      </c>
      <c r="J2420">
        <f t="shared" si="111"/>
        <v>20.099999999999998</v>
      </c>
      <c r="K2420">
        <v>2</v>
      </c>
      <c r="L2420">
        <f t="shared" si="112"/>
        <v>18.099999999999998</v>
      </c>
      <c r="M2420" s="4">
        <f t="shared" si="113"/>
        <v>2.413333333333333E-2</v>
      </c>
      <c r="N2420">
        <v>750</v>
      </c>
      <c r="O2420">
        <v>670</v>
      </c>
      <c r="P2420" t="s">
        <v>25</v>
      </c>
      <c r="Q2420" t="s">
        <v>26</v>
      </c>
      <c r="R2420" t="str">
        <f>IF(COUNTIF(Sheet2!B:B, A2420) &gt; 0, "Yes", "No")</f>
        <v>No</v>
      </c>
    </row>
    <row r="2421" spans="1:18" x14ac:dyDescent="0.25">
      <c r="A2421" s="3">
        <v>45481</v>
      </c>
      <c r="B2421" t="s">
        <v>285</v>
      </c>
      <c r="C2421" t="s">
        <v>19</v>
      </c>
      <c r="D2421" t="s">
        <v>20</v>
      </c>
      <c r="E2421" t="s">
        <v>21</v>
      </c>
      <c r="F2421" t="s">
        <v>40</v>
      </c>
      <c r="G2421" t="s">
        <v>61</v>
      </c>
      <c r="H2421" t="s">
        <v>62</v>
      </c>
      <c r="I2421">
        <v>4.4999999999999998E-2</v>
      </c>
      <c r="J2421">
        <f t="shared" si="111"/>
        <v>30.15</v>
      </c>
      <c r="K2421">
        <v>3</v>
      </c>
      <c r="L2421">
        <f t="shared" si="112"/>
        <v>27.15</v>
      </c>
      <c r="M2421" s="4">
        <f t="shared" si="113"/>
        <v>3.6199999999999996E-2</v>
      </c>
      <c r="N2421">
        <v>750</v>
      </c>
      <c r="O2421">
        <v>670</v>
      </c>
      <c r="P2421" t="s">
        <v>25</v>
      </c>
      <c r="Q2421" t="s">
        <v>26</v>
      </c>
      <c r="R2421" t="str">
        <f>IF(COUNTIF(Sheet2!B:B, A2421) &gt; 0, "Yes", "No")</f>
        <v>No</v>
      </c>
    </row>
    <row r="2422" spans="1:18" x14ac:dyDescent="0.25">
      <c r="A2422" s="3">
        <v>45481</v>
      </c>
      <c r="B2422" t="s">
        <v>285</v>
      </c>
      <c r="C2422" t="s">
        <v>19</v>
      </c>
      <c r="D2422" t="s">
        <v>20</v>
      </c>
      <c r="E2422" t="s">
        <v>21</v>
      </c>
      <c r="F2422" t="s">
        <v>43</v>
      </c>
      <c r="G2422" t="s">
        <v>111</v>
      </c>
      <c r="H2422" t="s">
        <v>112</v>
      </c>
      <c r="I2422">
        <v>0.11</v>
      </c>
      <c r="J2422">
        <f t="shared" si="111"/>
        <v>73.7</v>
      </c>
      <c r="K2422">
        <v>2</v>
      </c>
      <c r="L2422">
        <f t="shared" si="112"/>
        <v>71.7</v>
      </c>
      <c r="M2422" s="4">
        <f t="shared" si="113"/>
        <v>9.5600000000000004E-2</v>
      </c>
      <c r="N2422">
        <v>750</v>
      </c>
      <c r="O2422">
        <v>670</v>
      </c>
      <c r="P2422" t="s">
        <v>25</v>
      </c>
      <c r="Q2422" t="s">
        <v>26</v>
      </c>
      <c r="R2422" t="str">
        <f>IF(COUNTIF(Sheet2!B:B, A2422) &gt; 0, "Yes", "No")</f>
        <v>No</v>
      </c>
    </row>
    <row r="2423" spans="1:18" x14ac:dyDescent="0.25">
      <c r="A2423" s="3">
        <v>45481</v>
      </c>
      <c r="B2423" t="s">
        <v>285</v>
      </c>
      <c r="C2423" t="s">
        <v>19</v>
      </c>
      <c r="D2423" t="s">
        <v>20</v>
      </c>
      <c r="E2423" t="s">
        <v>21</v>
      </c>
      <c r="F2423" t="s">
        <v>46</v>
      </c>
      <c r="G2423" t="s">
        <v>92</v>
      </c>
      <c r="H2423" t="s">
        <v>377</v>
      </c>
      <c r="I2423">
        <v>8.5000000000000006E-2</v>
      </c>
      <c r="J2423">
        <f t="shared" si="111"/>
        <v>56.95</v>
      </c>
      <c r="K2423">
        <v>3</v>
      </c>
      <c r="L2423">
        <f t="shared" si="112"/>
        <v>53.95</v>
      </c>
      <c r="M2423" s="4">
        <f t="shared" si="113"/>
        <v>7.1933333333333335E-2</v>
      </c>
      <c r="N2423">
        <v>750</v>
      </c>
      <c r="O2423">
        <v>670</v>
      </c>
      <c r="P2423" t="s">
        <v>25</v>
      </c>
      <c r="Q2423" t="s">
        <v>26</v>
      </c>
      <c r="R2423" t="str">
        <f>IF(COUNTIF(Sheet2!B:B, A2423) &gt; 0, "Yes", "No")</f>
        <v>No</v>
      </c>
    </row>
    <row r="2424" spans="1:18" x14ac:dyDescent="0.25">
      <c r="A2424" s="3">
        <v>45481</v>
      </c>
      <c r="B2424" t="s">
        <v>285</v>
      </c>
      <c r="C2424" t="s">
        <v>19</v>
      </c>
      <c r="D2424" t="s">
        <v>20</v>
      </c>
      <c r="E2424" t="s">
        <v>21</v>
      </c>
      <c r="F2424" t="s">
        <v>49</v>
      </c>
      <c r="G2424" t="s">
        <v>50</v>
      </c>
      <c r="H2424" t="s">
        <v>49</v>
      </c>
      <c r="I2424">
        <v>0.09</v>
      </c>
      <c r="J2424">
        <f t="shared" si="111"/>
        <v>60.3</v>
      </c>
      <c r="K2424">
        <v>3</v>
      </c>
      <c r="L2424">
        <f t="shared" si="112"/>
        <v>57.3</v>
      </c>
      <c r="M2424" s="4">
        <f t="shared" si="113"/>
        <v>7.6399999999999996E-2</v>
      </c>
      <c r="N2424">
        <v>750</v>
      </c>
      <c r="O2424">
        <v>670</v>
      </c>
      <c r="P2424" t="s">
        <v>25</v>
      </c>
      <c r="Q2424" t="s">
        <v>26</v>
      </c>
      <c r="R2424" t="str">
        <f>IF(COUNTIF(Sheet2!B:B, A2424) &gt; 0, "Yes", "No")</f>
        <v>No</v>
      </c>
    </row>
    <row r="2425" spans="1:18" x14ac:dyDescent="0.25">
      <c r="A2425" s="3">
        <v>45482</v>
      </c>
      <c r="B2425" t="s">
        <v>285</v>
      </c>
      <c r="C2425" t="s">
        <v>105</v>
      </c>
      <c r="D2425" t="s">
        <v>20</v>
      </c>
      <c r="E2425" t="s">
        <v>67</v>
      </c>
      <c r="F2425" t="s">
        <v>22</v>
      </c>
      <c r="G2425" t="s">
        <v>94</v>
      </c>
      <c r="H2425" t="s">
        <v>168</v>
      </c>
      <c r="I2425">
        <v>8.5000000000000006E-2</v>
      </c>
      <c r="J2425">
        <f t="shared" si="111"/>
        <v>54.400000000000006</v>
      </c>
      <c r="K2425">
        <v>2</v>
      </c>
      <c r="L2425">
        <f t="shared" si="112"/>
        <v>52.400000000000006</v>
      </c>
      <c r="M2425" s="4">
        <f t="shared" si="113"/>
        <v>7.4857142857142872E-2</v>
      </c>
      <c r="N2425">
        <v>700</v>
      </c>
      <c r="O2425">
        <v>640</v>
      </c>
      <c r="P2425" t="s">
        <v>25</v>
      </c>
      <c r="Q2425" t="s">
        <v>26</v>
      </c>
      <c r="R2425" t="str">
        <f>IF(COUNTIF(Sheet2!B:B, A2425) &gt; 0, "Yes", "No")</f>
        <v>No</v>
      </c>
    </row>
    <row r="2426" spans="1:18" x14ac:dyDescent="0.25">
      <c r="A2426" s="3">
        <v>45482</v>
      </c>
      <c r="B2426" t="s">
        <v>285</v>
      </c>
      <c r="C2426" t="s">
        <v>105</v>
      </c>
      <c r="D2426" t="s">
        <v>20</v>
      </c>
      <c r="E2426" t="s">
        <v>67</v>
      </c>
      <c r="F2426" t="s">
        <v>27</v>
      </c>
      <c r="G2426" t="s">
        <v>235</v>
      </c>
      <c r="H2426" t="s">
        <v>604</v>
      </c>
      <c r="I2426">
        <v>0.12</v>
      </c>
      <c r="J2426">
        <f t="shared" si="111"/>
        <v>76.8</v>
      </c>
      <c r="K2426">
        <v>0</v>
      </c>
      <c r="L2426">
        <f t="shared" si="112"/>
        <v>76.8</v>
      </c>
      <c r="M2426" s="4">
        <f t="shared" si="113"/>
        <v>0.10971428571428571</v>
      </c>
      <c r="N2426">
        <v>700</v>
      </c>
      <c r="O2426">
        <v>640</v>
      </c>
      <c r="P2426" t="s">
        <v>25</v>
      </c>
      <c r="Q2426" t="s">
        <v>26</v>
      </c>
      <c r="R2426" t="str">
        <f>IF(COUNTIF(Sheet2!B:B, A2426) &gt; 0, "Yes", "No")</f>
        <v>No</v>
      </c>
    </row>
    <row r="2427" spans="1:18" x14ac:dyDescent="0.25">
      <c r="A2427" s="3">
        <v>45482</v>
      </c>
      <c r="B2427" t="s">
        <v>285</v>
      </c>
      <c r="C2427" t="s">
        <v>105</v>
      </c>
      <c r="D2427" t="s">
        <v>20</v>
      </c>
      <c r="E2427" t="s">
        <v>67</v>
      </c>
      <c r="F2427" t="s">
        <v>30</v>
      </c>
      <c r="G2427" t="s">
        <v>31</v>
      </c>
      <c r="H2427" t="s">
        <v>31</v>
      </c>
      <c r="I2427">
        <v>0.09</v>
      </c>
      <c r="J2427">
        <f t="shared" si="111"/>
        <v>57.599999999999994</v>
      </c>
      <c r="K2427">
        <v>1</v>
      </c>
      <c r="L2427">
        <f t="shared" si="112"/>
        <v>56.599999999999994</v>
      </c>
      <c r="M2427" s="4">
        <f t="shared" si="113"/>
        <v>8.085714285714285E-2</v>
      </c>
      <c r="N2427">
        <v>700</v>
      </c>
      <c r="O2427">
        <v>640</v>
      </c>
      <c r="P2427" t="s">
        <v>25</v>
      </c>
      <c r="Q2427" t="s">
        <v>26</v>
      </c>
      <c r="R2427" t="str">
        <f>IF(COUNTIF(Sheet2!B:B, A2427) &gt; 0, "Yes", "No")</f>
        <v>No</v>
      </c>
    </row>
    <row r="2428" spans="1:18" x14ac:dyDescent="0.25">
      <c r="A2428" s="3">
        <v>45482</v>
      </c>
      <c r="B2428" t="s">
        <v>285</v>
      </c>
      <c r="C2428" t="s">
        <v>105</v>
      </c>
      <c r="D2428" t="s">
        <v>20</v>
      </c>
      <c r="E2428" t="s">
        <v>67</v>
      </c>
      <c r="F2428" t="s">
        <v>37</v>
      </c>
      <c r="G2428" t="s">
        <v>87</v>
      </c>
      <c r="H2428" t="s">
        <v>99</v>
      </c>
      <c r="I2428">
        <v>3.5000000000000003E-2</v>
      </c>
      <c r="J2428">
        <f t="shared" si="111"/>
        <v>22.400000000000002</v>
      </c>
      <c r="K2428">
        <v>2</v>
      </c>
      <c r="L2428">
        <f t="shared" si="112"/>
        <v>20.400000000000002</v>
      </c>
      <c r="M2428" s="4">
        <f t="shared" si="113"/>
        <v>2.9142857142857147E-2</v>
      </c>
      <c r="N2428">
        <v>700</v>
      </c>
      <c r="O2428">
        <v>640</v>
      </c>
      <c r="P2428" t="s">
        <v>25</v>
      </c>
      <c r="Q2428" t="s">
        <v>26</v>
      </c>
      <c r="R2428" t="str">
        <f>IF(COUNTIF(Sheet2!B:B, A2428) &gt; 0, "Yes", "No")</f>
        <v>No</v>
      </c>
    </row>
    <row r="2429" spans="1:18" x14ac:dyDescent="0.25">
      <c r="A2429" s="3">
        <v>45482</v>
      </c>
      <c r="B2429" t="s">
        <v>285</v>
      </c>
      <c r="C2429" t="s">
        <v>105</v>
      </c>
      <c r="D2429" t="s">
        <v>20</v>
      </c>
      <c r="E2429" t="s">
        <v>67</v>
      </c>
      <c r="F2429" t="s">
        <v>40</v>
      </c>
      <c r="G2429" t="s">
        <v>164</v>
      </c>
      <c r="H2429" t="s">
        <v>193</v>
      </c>
      <c r="I2429">
        <v>0.05</v>
      </c>
      <c r="J2429">
        <f t="shared" si="111"/>
        <v>32</v>
      </c>
      <c r="K2429">
        <v>2</v>
      </c>
      <c r="L2429">
        <f t="shared" si="112"/>
        <v>30</v>
      </c>
      <c r="M2429" s="4">
        <f t="shared" si="113"/>
        <v>4.2857142857142858E-2</v>
      </c>
      <c r="N2429">
        <v>700</v>
      </c>
      <c r="O2429">
        <v>640</v>
      </c>
      <c r="P2429" t="s">
        <v>25</v>
      </c>
      <c r="Q2429" t="s">
        <v>26</v>
      </c>
      <c r="R2429" t="str">
        <f>IF(COUNTIF(Sheet2!B:B, A2429) &gt; 0, "Yes", "No")</f>
        <v>No</v>
      </c>
    </row>
    <row r="2430" spans="1:18" x14ac:dyDescent="0.25">
      <c r="A2430" s="3">
        <v>45482</v>
      </c>
      <c r="B2430" t="s">
        <v>285</v>
      </c>
      <c r="C2430" t="s">
        <v>105</v>
      </c>
      <c r="D2430" t="s">
        <v>20</v>
      </c>
      <c r="E2430" t="s">
        <v>67</v>
      </c>
      <c r="F2430" t="s">
        <v>43</v>
      </c>
      <c r="G2430" t="s">
        <v>252</v>
      </c>
      <c r="H2430" t="s">
        <v>253</v>
      </c>
      <c r="I2430">
        <v>0.11</v>
      </c>
      <c r="J2430">
        <f t="shared" si="111"/>
        <v>70.400000000000006</v>
      </c>
      <c r="K2430">
        <v>2</v>
      </c>
      <c r="L2430">
        <f t="shared" si="112"/>
        <v>68.400000000000006</v>
      </c>
      <c r="M2430" s="4">
        <f t="shared" si="113"/>
        <v>9.7714285714285726E-2</v>
      </c>
      <c r="N2430">
        <v>700</v>
      </c>
      <c r="O2430">
        <v>640</v>
      </c>
      <c r="P2430" t="s">
        <v>25</v>
      </c>
      <c r="Q2430" t="s">
        <v>26</v>
      </c>
      <c r="R2430" t="str">
        <f>IF(COUNTIF(Sheet2!B:B, A2430) &gt; 0, "Yes", "No")</f>
        <v>No</v>
      </c>
    </row>
    <row r="2431" spans="1:18" x14ac:dyDescent="0.25">
      <c r="A2431" s="3">
        <v>45482</v>
      </c>
      <c r="B2431" t="s">
        <v>285</v>
      </c>
      <c r="C2431" t="s">
        <v>105</v>
      </c>
      <c r="D2431" t="s">
        <v>20</v>
      </c>
      <c r="E2431" t="s">
        <v>67</v>
      </c>
      <c r="F2431" t="s">
        <v>46</v>
      </c>
      <c r="G2431" t="s">
        <v>47</v>
      </c>
      <c r="H2431" t="s">
        <v>627</v>
      </c>
      <c r="I2431">
        <v>8.5000000000000006E-2</v>
      </c>
      <c r="J2431">
        <f t="shared" si="111"/>
        <v>54.400000000000006</v>
      </c>
      <c r="K2431">
        <v>0</v>
      </c>
      <c r="L2431">
        <f t="shared" si="112"/>
        <v>54.400000000000006</v>
      </c>
      <c r="M2431" s="4">
        <f t="shared" si="113"/>
        <v>7.7714285714285722E-2</v>
      </c>
      <c r="N2431">
        <v>700</v>
      </c>
      <c r="O2431">
        <v>640</v>
      </c>
      <c r="P2431" t="s">
        <v>25</v>
      </c>
      <c r="Q2431" t="s">
        <v>26</v>
      </c>
      <c r="R2431" t="str">
        <f>IF(COUNTIF(Sheet2!B:B, A2431) &gt; 0, "Yes", "No")</f>
        <v>No</v>
      </c>
    </row>
    <row r="2432" spans="1:18" x14ac:dyDescent="0.25">
      <c r="A2432" s="3">
        <v>45482</v>
      </c>
      <c r="B2432" t="s">
        <v>285</v>
      </c>
      <c r="C2432" t="s">
        <v>105</v>
      </c>
      <c r="D2432" t="s">
        <v>20</v>
      </c>
      <c r="E2432" t="s">
        <v>67</v>
      </c>
      <c r="F2432" t="s">
        <v>49</v>
      </c>
      <c r="G2432" t="s">
        <v>50</v>
      </c>
      <c r="H2432" t="s">
        <v>49</v>
      </c>
      <c r="I2432">
        <v>0.09</v>
      </c>
      <c r="J2432">
        <f t="shared" si="111"/>
        <v>57.599999999999994</v>
      </c>
      <c r="K2432">
        <v>0</v>
      </c>
      <c r="L2432">
        <f t="shared" si="112"/>
        <v>57.599999999999994</v>
      </c>
      <c r="M2432" s="4">
        <f t="shared" si="113"/>
        <v>8.2285714285714281E-2</v>
      </c>
      <c r="N2432">
        <v>700</v>
      </c>
      <c r="O2432">
        <v>640</v>
      </c>
      <c r="P2432" t="s">
        <v>25</v>
      </c>
      <c r="Q2432" t="s">
        <v>26</v>
      </c>
      <c r="R2432" t="str">
        <f>IF(COUNTIF(Sheet2!B:B, A2432) &gt; 0, "Yes", "No")</f>
        <v>No</v>
      </c>
    </row>
    <row r="2433" spans="1:18" x14ac:dyDescent="0.25">
      <c r="A2433" s="3">
        <v>45483</v>
      </c>
      <c r="B2433" t="s">
        <v>285</v>
      </c>
      <c r="C2433" t="s">
        <v>51</v>
      </c>
      <c r="D2433" t="s">
        <v>20</v>
      </c>
      <c r="E2433" t="s">
        <v>21</v>
      </c>
      <c r="F2433" t="s">
        <v>22</v>
      </c>
      <c r="G2433" t="s">
        <v>122</v>
      </c>
      <c r="H2433" t="s">
        <v>260</v>
      </c>
      <c r="I2433">
        <v>8.5000000000000006E-2</v>
      </c>
      <c r="J2433">
        <f t="shared" si="111"/>
        <v>61.2</v>
      </c>
      <c r="K2433">
        <v>1</v>
      </c>
      <c r="L2433">
        <f t="shared" si="112"/>
        <v>60.2</v>
      </c>
      <c r="M2433" s="4">
        <f t="shared" si="113"/>
        <v>7.5249999999999997E-2</v>
      </c>
      <c r="N2433">
        <v>800</v>
      </c>
      <c r="O2433">
        <v>720</v>
      </c>
      <c r="P2433" t="s">
        <v>25</v>
      </c>
      <c r="Q2433" t="s">
        <v>26</v>
      </c>
      <c r="R2433" t="str">
        <f>IF(COUNTIF(Sheet2!B:B, A2433) &gt; 0, "Yes", "No")</f>
        <v>No</v>
      </c>
    </row>
    <row r="2434" spans="1:18" x14ac:dyDescent="0.25">
      <c r="A2434" s="3">
        <v>45483</v>
      </c>
      <c r="B2434" t="s">
        <v>285</v>
      </c>
      <c r="C2434" t="s">
        <v>51</v>
      </c>
      <c r="D2434" t="s">
        <v>20</v>
      </c>
      <c r="E2434" t="s">
        <v>21</v>
      </c>
      <c r="F2434" t="s">
        <v>27</v>
      </c>
      <c r="G2434" t="s">
        <v>304</v>
      </c>
      <c r="H2434" t="s">
        <v>628</v>
      </c>
      <c r="I2434">
        <v>0.12</v>
      </c>
      <c r="J2434">
        <f t="shared" si="111"/>
        <v>86.399999999999991</v>
      </c>
      <c r="K2434">
        <v>2</v>
      </c>
      <c r="L2434">
        <f t="shared" si="112"/>
        <v>84.399999999999991</v>
      </c>
      <c r="M2434" s="4">
        <f t="shared" si="113"/>
        <v>0.10549999999999998</v>
      </c>
      <c r="N2434">
        <v>800</v>
      </c>
      <c r="O2434">
        <v>720</v>
      </c>
      <c r="P2434" t="s">
        <v>25</v>
      </c>
      <c r="Q2434" t="s">
        <v>26</v>
      </c>
      <c r="R2434" t="str">
        <f>IF(COUNTIF(Sheet2!B:B, A2434) &gt; 0, "Yes", "No")</f>
        <v>No</v>
      </c>
    </row>
    <row r="2435" spans="1:18" x14ac:dyDescent="0.25">
      <c r="A2435" s="3">
        <v>45483</v>
      </c>
      <c r="B2435" t="s">
        <v>285</v>
      </c>
      <c r="C2435" t="s">
        <v>51</v>
      </c>
      <c r="D2435" t="s">
        <v>20</v>
      </c>
      <c r="E2435" t="s">
        <v>21</v>
      </c>
      <c r="F2435" t="s">
        <v>30</v>
      </c>
      <c r="G2435" t="s">
        <v>55</v>
      </c>
      <c r="H2435" t="s">
        <v>183</v>
      </c>
      <c r="I2435">
        <v>0.09</v>
      </c>
      <c r="J2435">
        <f t="shared" ref="J2435:J2498" si="114">I2435*O2435</f>
        <v>64.8</v>
      </c>
      <c r="K2435">
        <v>2</v>
      </c>
      <c r="L2435">
        <f t="shared" ref="L2435:L2498" si="115">J2435-K2435</f>
        <v>62.8</v>
      </c>
      <c r="M2435" s="4">
        <f t="shared" ref="M2435:M2498" si="116">((I2435*O2435)-K2435)/N2435</f>
        <v>7.85E-2</v>
      </c>
      <c r="N2435">
        <v>800</v>
      </c>
      <c r="O2435">
        <v>720</v>
      </c>
      <c r="P2435" t="s">
        <v>25</v>
      </c>
      <c r="Q2435" t="s">
        <v>26</v>
      </c>
      <c r="R2435" t="str">
        <f>IF(COUNTIF(Sheet2!B:B, A2435) &gt; 0, "Yes", "No")</f>
        <v>No</v>
      </c>
    </row>
    <row r="2436" spans="1:18" x14ac:dyDescent="0.25">
      <c r="A2436" s="3">
        <v>45483</v>
      </c>
      <c r="B2436" t="s">
        <v>285</v>
      </c>
      <c r="C2436" t="s">
        <v>51</v>
      </c>
      <c r="D2436" t="s">
        <v>33</v>
      </c>
      <c r="E2436" t="s">
        <v>21</v>
      </c>
      <c r="F2436" t="s">
        <v>34</v>
      </c>
      <c r="G2436" t="s">
        <v>306</v>
      </c>
      <c r="H2436" t="s">
        <v>629</v>
      </c>
      <c r="I2436">
        <v>0.15</v>
      </c>
      <c r="J2436">
        <f t="shared" si="114"/>
        <v>75</v>
      </c>
      <c r="K2436">
        <v>0</v>
      </c>
      <c r="L2436">
        <f t="shared" si="115"/>
        <v>75</v>
      </c>
      <c r="M2436" s="4">
        <f t="shared" si="116"/>
        <v>0.13392857142857142</v>
      </c>
      <c r="N2436">
        <v>560</v>
      </c>
      <c r="O2436">
        <v>500</v>
      </c>
      <c r="P2436" t="s">
        <v>25</v>
      </c>
      <c r="Q2436" t="s">
        <v>26</v>
      </c>
      <c r="R2436" t="str">
        <f>IF(COUNTIF(Sheet2!B:B, A2436) &gt; 0, "Yes", "No")</f>
        <v>No</v>
      </c>
    </row>
    <row r="2437" spans="1:18" x14ac:dyDescent="0.25">
      <c r="A2437" s="3">
        <v>45483</v>
      </c>
      <c r="B2437" t="s">
        <v>285</v>
      </c>
      <c r="C2437" t="s">
        <v>51</v>
      </c>
      <c r="D2437" t="s">
        <v>20</v>
      </c>
      <c r="E2437" t="s">
        <v>21</v>
      </c>
      <c r="F2437" t="s">
        <v>37</v>
      </c>
      <c r="G2437" t="s">
        <v>117</v>
      </c>
      <c r="H2437" t="s">
        <v>118</v>
      </c>
      <c r="I2437">
        <v>0.03</v>
      </c>
      <c r="J2437">
        <f t="shared" si="114"/>
        <v>21.599999999999998</v>
      </c>
      <c r="K2437">
        <v>2</v>
      </c>
      <c r="L2437">
        <f t="shared" si="115"/>
        <v>19.599999999999998</v>
      </c>
      <c r="M2437" s="4">
        <f t="shared" si="116"/>
        <v>2.4499999999999997E-2</v>
      </c>
      <c r="N2437">
        <v>800</v>
      </c>
      <c r="O2437">
        <v>720</v>
      </c>
      <c r="P2437" t="s">
        <v>25</v>
      </c>
      <c r="Q2437" t="s">
        <v>26</v>
      </c>
      <c r="R2437" t="str">
        <f>IF(COUNTIF(Sheet2!B:B, A2437) &gt; 0, "Yes", "No")</f>
        <v>No</v>
      </c>
    </row>
    <row r="2438" spans="1:18" x14ac:dyDescent="0.25">
      <c r="A2438" s="3">
        <v>45483</v>
      </c>
      <c r="B2438" t="s">
        <v>285</v>
      </c>
      <c r="C2438" t="s">
        <v>51</v>
      </c>
      <c r="D2438" t="s">
        <v>20</v>
      </c>
      <c r="E2438" t="s">
        <v>21</v>
      </c>
      <c r="F2438" t="s">
        <v>40</v>
      </c>
      <c r="G2438" t="s">
        <v>164</v>
      </c>
      <c r="H2438" t="s">
        <v>630</v>
      </c>
      <c r="I2438">
        <v>4.4999999999999998E-2</v>
      </c>
      <c r="J2438">
        <f t="shared" si="114"/>
        <v>32.4</v>
      </c>
      <c r="K2438">
        <v>2</v>
      </c>
      <c r="L2438">
        <f t="shared" si="115"/>
        <v>30.4</v>
      </c>
      <c r="M2438" s="4">
        <f t="shared" si="116"/>
        <v>3.7999999999999999E-2</v>
      </c>
      <c r="N2438">
        <v>800</v>
      </c>
      <c r="O2438">
        <v>720</v>
      </c>
      <c r="P2438" t="s">
        <v>25</v>
      </c>
      <c r="Q2438" t="s">
        <v>26</v>
      </c>
      <c r="R2438" t="str">
        <f>IF(COUNTIF(Sheet2!B:B, A2438) &gt; 0, "Yes", "No")</f>
        <v>No</v>
      </c>
    </row>
    <row r="2439" spans="1:18" x14ac:dyDescent="0.25">
      <c r="A2439" s="3">
        <v>45483</v>
      </c>
      <c r="B2439" t="s">
        <v>285</v>
      </c>
      <c r="C2439" t="s">
        <v>51</v>
      </c>
      <c r="D2439" t="s">
        <v>20</v>
      </c>
      <c r="E2439" t="s">
        <v>21</v>
      </c>
      <c r="F2439" t="s">
        <v>43</v>
      </c>
      <c r="G2439" t="s">
        <v>44</v>
      </c>
      <c r="H2439" t="s">
        <v>382</v>
      </c>
      <c r="I2439">
        <v>0.11</v>
      </c>
      <c r="J2439">
        <f t="shared" si="114"/>
        <v>79.2</v>
      </c>
      <c r="K2439">
        <v>2</v>
      </c>
      <c r="L2439">
        <f t="shared" si="115"/>
        <v>77.2</v>
      </c>
      <c r="M2439" s="4">
        <f t="shared" si="116"/>
        <v>9.6500000000000002E-2</v>
      </c>
      <c r="N2439">
        <v>800</v>
      </c>
      <c r="O2439">
        <v>720</v>
      </c>
      <c r="P2439" t="s">
        <v>25</v>
      </c>
      <c r="Q2439" t="s">
        <v>26</v>
      </c>
      <c r="R2439" t="str">
        <f>IF(COUNTIF(Sheet2!B:B, A2439) &gt; 0, "Yes", "No")</f>
        <v>No</v>
      </c>
    </row>
    <row r="2440" spans="1:18" x14ac:dyDescent="0.25">
      <c r="A2440" s="3">
        <v>45483</v>
      </c>
      <c r="B2440" t="s">
        <v>285</v>
      </c>
      <c r="C2440" t="s">
        <v>51</v>
      </c>
      <c r="D2440" t="s">
        <v>20</v>
      </c>
      <c r="E2440" t="s">
        <v>21</v>
      </c>
      <c r="F2440" t="s">
        <v>46</v>
      </c>
      <c r="G2440" t="s">
        <v>103</v>
      </c>
      <c r="H2440" t="s">
        <v>631</v>
      </c>
      <c r="I2440">
        <v>0.09</v>
      </c>
      <c r="J2440">
        <f t="shared" si="114"/>
        <v>64.8</v>
      </c>
      <c r="K2440">
        <v>2</v>
      </c>
      <c r="L2440">
        <f t="shared" si="115"/>
        <v>62.8</v>
      </c>
      <c r="M2440" s="4">
        <f t="shared" si="116"/>
        <v>7.85E-2</v>
      </c>
      <c r="N2440">
        <v>800</v>
      </c>
      <c r="O2440">
        <v>720</v>
      </c>
      <c r="P2440" t="s">
        <v>25</v>
      </c>
      <c r="Q2440" t="s">
        <v>26</v>
      </c>
      <c r="R2440" t="str">
        <f>IF(COUNTIF(Sheet2!B:B, A2440) &gt; 0, "Yes", "No")</f>
        <v>No</v>
      </c>
    </row>
    <row r="2441" spans="1:18" x14ac:dyDescent="0.25">
      <c r="A2441" s="3">
        <v>45483</v>
      </c>
      <c r="B2441" t="s">
        <v>285</v>
      </c>
      <c r="C2441" t="s">
        <v>51</v>
      </c>
      <c r="D2441" t="s">
        <v>20</v>
      </c>
      <c r="E2441" t="s">
        <v>21</v>
      </c>
      <c r="F2441" t="s">
        <v>49</v>
      </c>
      <c r="G2441" t="s">
        <v>50</v>
      </c>
      <c r="H2441" t="s">
        <v>49</v>
      </c>
      <c r="I2441">
        <v>0.09</v>
      </c>
      <c r="J2441">
        <f t="shared" si="114"/>
        <v>64.8</v>
      </c>
      <c r="K2441">
        <v>2</v>
      </c>
      <c r="L2441">
        <f t="shared" si="115"/>
        <v>62.8</v>
      </c>
      <c r="M2441" s="4">
        <f t="shared" si="116"/>
        <v>7.85E-2</v>
      </c>
      <c r="N2441">
        <v>800</v>
      </c>
      <c r="O2441">
        <v>720</v>
      </c>
      <c r="P2441" t="s">
        <v>25</v>
      </c>
      <c r="Q2441" t="s">
        <v>26</v>
      </c>
      <c r="R2441" t="str">
        <f>IF(COUNTIF(Sheet2!B:B, A2441) &gt; 0, "Yes", "No")</f>
        <v>No</v>
      </c>
    </row>
    <row r="2442" spans="1:18" x14ac:dyDescent="0.25">
      <c r="A2442" s="3">
        <v>45484</v>
      </c>
      <c r="B2442" t="s">
        <v>285</v>
      </c>
      <c r="C2442" t="s">
        <v>66</v>
      </c>
      <c r="D2442" t="s">
        <v>20</v>
      </c>
      <c r="E2442" t="s">
        <v>67</v>
      </c>
      <c r="F2442" t="s">
        <v>22</v>
      </c>
      <c r="G2442" t="s">
        <v>52</v>
      </c>
      <c r="H2442" t="s">
        <v>632</v>
      </c>
      <c r="I2442">
        <v>8.5000000000000006E-2</v>
      </c>
      <c r="J2442">
        <f t="shared" si="114"/>
        <v>54.400000000000006</v>
      </c>
      <c r="K2442">
        <v>2</v>
      </c>
      <c r="L2442">
        <f t="shared" si="115"/>
        <v>52.400000000000006</v>
      </c>
      <c r="M2442" s="4">
        <f t="shared" si="116"/>
        <v>7.4857142857142872E-2</v>
      </c>
      <c r="N2442">
        <v>700</v>
      </c>
      <c r="O2442">
        <v>640</v>
      </c>
      <c r="P2442" t="s">
        <v>25</v>
      </c>
      <c r="Q2442" t="s">
        <v>26</v>
      </c>
      <c r="R2442" t="str">
        <f>IF(COUNTIF(Sheet2!B:B, A2442) &gt; 0, "Yes", "No")</f>
        <v>No</v>
      </c>
    </row>
    <row r="2443" spans="1:18" x14ac:dyDescent="0.25">
      <c r="A2443" s="3">
        <v>45484</v>
      </c>
      <c r="B2443" t="s">
        <v>285</v>
      </c>
      <c r="C2443" t="s">
        <v>66</v>
      </c>
      <c r="D2443" t="s">
        <v>20</v>
      </c>
      <c r="E2443" t="s">
        <v>67</v>
      </c>
      <c r="F2443" t="s">
        <v>27</v>
      </c>
      <c r="G2443" t="s">
        <v>190</v>
      </c>
      <c r="H2443" t="s">
        <v>439</v>
      </c>
      <c r="I2443">
        <v>0.11</v>
      </c>
      <c r="J2443">
        <f t="shared" si="114"/>
        <v>70.400000000000006</v>
      </c>
      <c r="K2443">
        <v>0</v>
      </c>
      <c r="L2443">
        <f t="shared" si="115"/>
        <v>70.400000000000006</v>
      </c>
      <c r="M2443" s="4">
        <f t="shared" si="116"/>
        <v>0.10057142857142858</v>
      </c>
      <c r="N2443">
        <v>700</v>
      </c>
      <c r="O2443">
        <v>640</v>
      </c>
      <c r="P2443" t="s">
        <v>25</v>
      </c>
      <c r="Q2443" t="s">
        <v>26</v>
      </c>
      <c r="R2443" t="str">
        <f>IF(COUNTIF(Sheet2!B:B, A2443) &gt; 0, "Yes", "No")</f>
        <v>No</v>
      </c>
    </row>
    <row r="2444" spans="1:18" x14ac:dyDescent="0.25">
      <c r="A2444" s="3">
        <v>45484</v>
      </c>
      <c r="B2444" t="s">
        <v>285</v>
      </c>
      <c r="C2444" t="s">
        <v>66</v>
      </c>
      <c r="D2444" t="s">
        <v>20</v>
      </c>
      <c r="E2444" t="s">
        <v>67</v>
      </c>
      <c r="F2444" t="s">
        <v>30</v>
      </c>
      <c r="G2444" t="s">
        <v>55</v>
      </c>
      <c r="H2444" t="s">
        <v>134</v>
      </c>
      <c r="I2444">
        <v>0.09</v>
      </c>
      <c r="J2444">
        <f t="shared" si="114"/>
        <v>57.599999999999994</v>
      </c>
      <c r="K2444">
        <v>2</v>
      </c>
      <c r="L2444">
        <f t="shared" si="115"/>
        <v>55.599999999999994</v>
      </c>
      <c r="M2444" s="4">
        <f t="shared" si="116"/>
        <v>7.9428571428571418E-2</v>
      </c>
      <c r="N2444">
        <v>700</v>
      </c>
      <c r="O2444">
        <v>640</v>
      </c>
      <c r="P2444" t="s">
        <v>25</v>
      </c>
      <c r="Q2444" t="s">
        <v>26</v>
      </c>
      <c r="R2444" t="str">
        <f>IF(COUNTIF(Sheet2!B:B, A2444) &gt; 0, "Yes", "No")</f>
        <v>No</v>
      </c>
    </row>
    <row r="2445" spans="1:18" x14ac:dyDescent="0.25">
      <c r="A2445" s="3">
        <v>45484</v>
      </c>
      <c r="B2445" t="s">
        <v>285</v>
      </c>
      <c r="C2445" t="s">
        <v>66</v>
      </c>
      <c r="D2445" t="s">
        <v>20</v>
      </c>
      <c r="E2445" t="s">
        <v>67</v>
      </c>
      <c r="F2445" t="s">
        <v>37</v>
      </c>
      <c r="G2445" t="s">
        <v>59</v>
      </c>
      <c r="H2445" t="s">
        <v>60</v>
      </c>
      <c r="I2445">
        <v>3.5000000000000003E-2</v>
      </c>
      <c r="J2445">
        <f t="shared" si="114"/>
        <v>22.400000000000002</v>
      </c>
      <c r="K2445">
        <v>1</v>
      </c>
      <c r="L2445">
        <f t="shared" si="115"/>
        <v>21.400000000000002</v>
      </c>
      <c r="M2445" s="4">
        <f t="shared" si="116"/>
        <v>3.0571428571428576E-2</v>
      </c>
      <c r="N2445">
        <v>700</v>
      </c>
      <c r="O2445">
        <v>640</v>
      </c>
      <c r="P2445" t="s">
        <v>25</v>
      </c>
      <c r="Q2445" t="s">
        <v>26</v>
      </c>
      <c r="R2445" t="str">
        <f>IF(COUNTIF(Sheet2!B:B, A2445) &gt; 0, "Yes", "No")</f>
        <v>No</v>
      </c>
    </row>
    <row r="2446" spans="1:18" x14ac:dyDescent="0.25">
      <c r="A2446" s="3">
        <v>45484</v>
      </c>
      <c r="B2446" t="s">
        <v>285</v>
      </c>
      <c r="C2446" t="s">
        <v>66</v>
      </c>
      <c r="D2446" t="s">
        <v>20</v>
      </c>
      <c r="E2446" t="s">
        <v>67</v>
      </c>
      <c r="F2446" t="s">
        <v>40</v>
      </c>
      <c r="G2446" t="s">
        <v>164</v>
      </c>
      <c r="H2446" t="s">
        <v>165</v>
      </c>
      <c r="I2446">
        <v>0.05</v>
      </c>
      <c r="J2446">
        <f t="shared" si="114"/>
        <v>32</v>
      </c>
      <c r="K2446">
        <v>2</v>
      </c>
      <c r="L2446">
        <f t="shared" si="115"/>
        <v>30</v>
      </c>
      <c r="M2446" s="4">
        <f t="shared" si="116"/>
        <v>4.2857142857142858E-2</v>
      </c>
      <c r="N2446">
        <v>700</v>
      </c>
      <c r="O2446">
        <v>640</v>
      </c>
      <c r="P2446" t="s">
        <v>25</v>
      </c>
      <c r="Q2446" t="s">
        <v>26</v>
      </c>
      <c r="R2446" t="str">
        <f>IF(COUNTIF(Sheet2!B:B, A2446) &gt; 0, "Yes", "No")</f>
        <v>No</v>
      </c>
    </row>
    <row r="2447" spans="1:18" x14ac:dyDescent="0.25">
      <c r="A2447" s="3">
        <v>45484</v>
      </c>
      <c r="B2447" t="s">
        <v>285</v>
      </c>
      <c r="C2447" t="s">
        <v>66</v>
      </c>
      <c r="D2447" t="s">
        <v>20</v>
      </c>
      <c r="E2447" t="s">
        <v>67</v>
      </c>
      <c r="F2447" t="s">
        <v>43</v>
      </c>
      <c r="G2447" t="s">
        <v>75</v>
      </c>
      <c r="H2447" t="s">
        <v>212</v>
      </c>
      <c r="I2447">
        <v>0.11</v>
      </c>
      <c r="J2447">
        <f t="shared" si="114"/>
        <v>70.400000000000006</v>
      </c>
      <c r="K2447">
        <v>1.5</v>
      </c>
      <c r="L2447">
        <f t="shared" si="115"/>
        <v>68.900000000000006</v>
      </c>
      <c r="M2447" s="4">
        <f t="shared" si="116"/>
        <v>9.8428571428571435E-2</v>
      </c>
      <c r="N2447">
        <v>700</v>
      </c>
      <c r="O2447">
        <v>640</v>
      </c>
      <c r="P2447" t="s">
        <v>25</v>
      </c>
      <c r="Q2447" t="s">
        <v>26</v>
      </c>
      <c r="R2447" t="str">
        <f>IF(COUNTIF(Sheet2!B:B, A2447) &gt; 0, "Yes", "No")</f>
        <v>No</v>
      </c>
    </row>
    <row r="2448" spans="1:18" x14ac:dyDescent="0.25">
      <c r="A2448" s="3">
        <v>45484</v>
      </c>
      <c r="B2448" t="s">
        <v>285</v>
      </c>
      <c r="C2448" t="s">
        <v>66</v>
      </c>
      <c r="D2448" t="s">
        <v>20</v>
      </c>
      <c r="E2448" t="s">
        <v>67</v>
      </c>
      <c r="F2448" t="s">
        <v>46</v>
      </c>
      <c r="G2448" t="s">
        <v>47</v>
      </c>
      <c r="H2448" t="s">
        <v>633</v>
      </c>
      <c r="I2448">
        <v>8.5000000000000006E-2</v>
      </c>
      <c r="J2448">
        <f t="shared" si="114"/>
        <v>54.400000000000006</v>
      </c>
      <c r="K2448">
        <v>2</v>
      </c>
      <c r="L2448">
        <f t="shared" si="115"/>
        <v>52.400000000000006</v>
      </c>
      <c r="M2448" s="4">
        <f t="shared" si="116"/>
        <v>7.4857142857142872E-2</v>
      </c>
      <c r="N2448">
        <v>700</v>
      </c>
      <c r="O2448">
        <v>640</v>
      </c>
      <c r="P2448" t="s">
        <v>25</v>
      </c>
      <c r="Q2448" t="s">
        <v>26</v>
      </c>
      <c r="R2448" t="str">
        <f>IF(COUNTIF(Sheet2!B:B, A2448) &gt; 0, "Yes", "No")</f>
        <v>No</v>
      </c>
    </row>
    <row r="2449" spans="1:18" x14ac:dyDescent="0.25">
      <c r="A2449" s="3">
        <v>45484</v>
      </c>
      <c r="B2449" t="s">
        <v>285</v>
      </c>
      <c r="C2449" t="s">
        <v>66</v>
      </c>
      <c r="D2449" t="s">
        <v>20</v>
      </c>
      <c r="E2449" t="s">
        <v>67</v>
      </c>
      <c r="F2449" t="s">
        <v>49</v>
      </c>
      <c r="G2449" t="s">
        <v>50</v>
      </c>
      <c r="H2449" t="s">
        <v>49</v>
      </c>
      <c r="I2449">
        <v>0.09</v>
      </c>
      <c r="J2449">
        <f t="shared" si="114"/>
        <v>57.599999999999994</v>
      </c>
      <c r="K2449">
        <v>2</v>
      </c>
      <c r="L2449">
        <f t="shared" si="115"/>
        <v>55.599999999999994</v>
      </c>
      <c r="M2449" s="4">
        <f t="shared" si="116"/>
        <v>7.9428571428571418E-2</v>
      </c>
      <c r="N2449">
        <v>700</v>
      </c>
      <c r="O2449">
        <v>640</v>
      </c>
      <c r="P2449" t="s">
        <v>25</v>
      </c>
      <c r="Q2449" t="s">
        <v>26</v>
      </c>
      <c r="R2449" t="str">
        <f>IF(COUNTIF(Sheet2!B:B, A2449) &gt; 0, "Yes", "No")</f>
        <v>No</v>
      </c>
    </row>
    <row r="2450" spans="1:18" x14ac:dyDescent="0.25">
      <c r="A2450" s="3">
        <v>45485</v>
      </c>
      <c r="B2450" t="s">
        <v>285</v>
      </c>
      <c r="C2450" t="s">
        <v>79</v>
      </c>
      <c r="D2450" t="s">
        <v>20</v>
      </c>
      <c r="E2450" t="s">
        <v>21</v>
      </c>
      <c r="F2450" t="s">
        <v>22</v>
      </c>
      <c r="G2450" t="s">
        <v>52</v>
      </c>
      <c r="H2450" t="s">
        <v>148</v>
      </c>
      <c r="I2450" s="5">
        <v>0.06</v>
      </c>
      <c r="J2450">
        <f t="shared" si="114"/>
        <v>36</v>
      </c>
      <c r="K2450">
        <v>3</v>
      </c>
      <c r="L2450">
        <f t="shared" si="115"/>
        <v>33</v>
      </c>
      <c r="M2450" s="4">
        <f t="shared" si="116"/>
        <v>5.0769230769230768E-2</v>
      </c>
      <c r="N2450">
        <v>650</v>
      </c>
      <c r="O2450">
        <v>600</v>
      </c>
      <c r="P2450" t="s">
        <v>25</v>
      </c>
      <c r="Q2450" t="s">
        <v>26</v>
      </c>
      <c r="R2450" t="str">
        <f>IF(COUNTIF(Sheet2!B:B, A2450) &gt; 0, "Yes", "No")</f>
        <v>Yes</v>
      </c>
    </row>
    <row r="2451" spans="1:18" x14ac:dyDescent="0.25">
      <c r="A2451" s="3">
        <v>45485</v>
      </c>
      <c r="B2451" t="s">
        <v>285</v>
      </c>
      <c r="C2451" t="s">
        <v>79</v>
      </c>
      <c r="D2451" t="s">
        <v>20</v>
      </c>
      <c r="E2451" t="s">
        <v>21</v>
      </c>
      <c r="F2451" t="s">
        <v>27</v>
      </c>
      <c r="G2451" t="s">
        <v>81</v>
      </c>
      <c r="H2451" t="s">
        <v>634</v>
      </c>
      <c r="I2451" s="5">
        <v>0.1</v>
      </c>
      <c r="J2451">
        <f t="shared" si="114"/>
        <v>60</v>
      </c>
      <c r="K2451">
        <v>2</v>
      </c>
      <c r="L2451">
        <f t="shared" si="115"/>
        <v>58</v>
      </c>
      <c r="M2451" s="4">
        <f t="shared" si="116"/>
        <v>8.9230769230769225E-2</v>
      </c>
      <c r="N2451">
        <v>650</v>
      </c>
      <c r="O2451">
        <v>600</v>
      </c>
      <c r="P2451" t="s">
        <v>25</v>
      </c>
      <c r="Q2451" t="s">
        <v>26</v>
      </c>
      <c r="R2451" t="str">
        <f>IF(COUNTIF(Sheet2!B:B, A2451) &gt; 0, "Yes", "No")</f>
        <v>Yes</v>
      </c>
    </row>
    <row r="2452" spans="1:18" x14ac:dyDescent="0.25">
      <c r="A2452" s="3">
        <v>45485</v>
      </c>
      <c r="B2452" t="s">
        <v>285</v>
      </c>
      <c r="C2452" t="s">
        <v>79</v>
      </c>
      <c r="D2452" t="s">
        <v>20</v>
      </c>
      <c r="E2452" t="s">
        <v>21</v>
      </c>
      <c r="F2452" t="s">
        <v>30</v>
      </c>
      <c r="G2452" t="s">
        <v>31</v>
      </c>
      <c r="H2452" t="s">
        <v>70</v>
      </c>
      <c r="I2452" s="5">
        <v>0.06</v>
      </c>
      <c r="J2452">
        <f t="shared" si="114"/>
        <v>36</v>
      </c>
      <c r="K2452">
        <v>2</v>
      </c>
      <c r="L2452">
        <f t="shared" si="115"/>
        <v>34</v>
      </c>
      <c r="M2452" s="4">
        <f t="shared" si="116"/>
        <v>5.2307692307692305E-2</v>
      </c>
      <c r="N2452">
        <v>650</v>
      </c>
      <c r="O2452">
        <v>600</v>
      </c>
      <c r="P2452" t="s">
        <v>25</v>
      </c>
      <c r="Q2452" t="s">
        <v>26</v>
      </c>
      <c r="R2452" t="str">
        <f>IF(COUNTIF(Sheet2!B:B, A2452) &gt; 0, "Yes", "No")</f>
        <v>Yes</v>
      </c>
    </row>
    <row r="2453" spans="1:18" x14ac:dyDescent="0.25">
      <c r="A2453" s="3">
        <v>45485</v>
      </c>
      <c r="B2453" t="s">
        <v>285</v>
      </c>
      <c r="C2453" t="s">
        <v>79</v>
      </c>
      <c r="D2453" t="s">
        <v>33</v>
      </c>
      <c r="E2453" t="s">
        <v>21</v>
      </c>
      <c r="F2453" t="s">
        <v>84</v>
      </c>
      <c r="G2453" t="s">
        <v>177</v>
      </c>
      <c r="H2453" t="s">
        <v>635</v>
      </c>
      <c r="I2453" s="5">
        <v>0.3</v>
      </c>
      <c r="J2453">
        <f t="shared" si="114"/>
        <v>144</v>
      </c>
      <c r="K2453">
        <v>0</v>
      </c>
      <c r="L2453">
        <f t="shared" si="115"/>
        <v>144</v>
      </c>
      <c r="M2453" s="4">
        <f t="shared" si="116"/>
        <v>0.27692307692307694</v>
      </c>
      <c r="N2453">
        <v>520</v>
      </c>
      <c r="O2453">
        <v>480</v>
      </c>
      <c r="P2453" t="s">
        <v>25</v>
      </c>
      <c r="Q2453" t="s">
        <v>26</v>
      </c>
      <c r="R2453" t="str">
        <f>IF(COUNTIF(Sheet2!B:B, A2453) &gt; 0, "Yes", "No")</f>
        <v>Yes</v>
      </c>
    </row>
    <row r="2454" spans="1:18" x14ac:dyDescent="0.25">
      <c r="A2454" s="3">
        <v>45485</v>
      </c>
      <c r="B2454" t="s">
        <v>285</v>
      </c>
      <c r="C2454" t="s">
        <v>79</v>
      </c>
      <c r="D2454" t="s">
        <v>20</v>
      </c>
      <c r="E2454" t="s">
        <v>21</v>
      </c>
      <c r="F2454" t="s">
        <v>37</v>
      </c>
      <c r="G2454" t="s">
        <v>108</v>
      </c>
      <c r="H2454" t="s">
        <v>126</v>
      </c>
      <c r="I2454" s="5">
        <v>2.5000000000000001E-2</v>
      </c>
      <c r="J2454">
        <f t="shared" si="114"/>
        <v>15</v>
      </c>
      <c r="K2454">
        <v>2</v>
      </c>
      <c r="L2454">
        <f t="shared" si="115"/>
        <v>13</v>
      </c>
      <c r="M2454" s="4">
        <f t="shared" si="116"/>
        <v>0.02</v>
      </c>
      <c r="N2454">
        <v>650</v>
      </c>
      <c r="O2454">
        <v>600</v>
      </c>
      <c r="P2454" t="s">
        <v>25</v>
      </c>
      <c r="Q2454" t="s">
        <v>26</v>
      </c>
      <c r="R2454" t="str">
        <f>IF(COUNTIF(Sheet2!B:B, A2454) &gt; 0, "Yes", "No")</f>
        <v>Yes</v>
      </c>
    </row>
    <row r="2455" spans="1:18" x14ac:dyDescent="0.25">
      <c r="A2455" s="3">
        <v>45485</v>
      </c>
      <c r="B2455" t="s">
        <v>285</v>
      </c>
      <c r="C2455" t="s">
        <v>79</v>
      </c>
      <c r="D2455" t="s">
        <v>20</v>
      </c>
      <c r="E2455" t="s">
        <v>21</v>
      </c>
      <c r="F2455" t="s">
        <v>40</v>
      </c>
      <c r="G2455" t="s">
        <v>61</v>
      </c>
      <c r="H2455" t="s">
        <v>119</v>
      </c>
      <c r="I2455" s="5">
        <v>0.04</v>
      </c>
      <c r="J2455">
        <f t="shared" si="114"/>
        <v>24</v>
      </c>
      <c r="K2455">
        <v>3</v>
      </c>
      <c r="L2455">
        <f t="shared" si="115"/>
        <v>21</v>
      </c>
      <c r="M2455" s="4">
        <f t="shared" si="116"/>
        <v>3.2307692307692308E-2</v>
      </c>
      <c r="N2455">
        <v>650</v>
      </c>
      <c r="O2455">
        <v>600</v>
      </c>
      <c r="P2455" t="s">
        <v>25</v>
      </c>
      <c r="Q2455" t="s">
        <v>26</v>
      </c>
      <c r="R2455" t="str">
        <f>IF(COUNTIF(Sheet2!B:B, A2455) &gt; 0, "Yes", "No")</f>
        <v>Yes</v>
      </c>
    </row>
    <row r="2456" spans="1:18" x14ac:dyDescent="0.25">
      <c r="A2456" s="3">
        <v>45485</v>
      </c>
      <c r="B2456" t="s">
        <v>285</v>
      </c>
      <c r="C2456" t="s">
        <v>79</v>
      </c>
      <c r="D2456" t="s">
        <v>20</v>
      </c>
      <c r="E2456" t="s">
        <v>21</v>
      </c>
      <c r="F2456" t="s">
        <v>43</v>
      </c>
      <c r="G2456" t="s">
        <v>90</v>
      </c>
      <c r="H2456" t="s">
        <v>174</v>
      </c>
      <c r="I2456" s="5">
        <v>7.0000000000000007E-2</v>
      </c>
      <c r="J2456">
        <f t="shared" si="114"/>
        <v>42.000000000000007</v>
      </c>
      <c r="K2456">
        <v>2</v>
      </c>
      <c r="L2456">
        <f t="shared" si="115"/>
        <v>40.000000000000007</v>
      </c>
      <c r="M2456" s="4">
        <f t="shared" si="116"/>
        <v>6.1538461538461549E-2</v>
      </c>
      <c r="N2456">
        <v>650</v>
      </c>
      <c r="O2456">
        <v>600</v>
      </c>
      <c r="P2456" t="s">
        <v>25</v>
      </c>
      <c r="Q2456" t="s">
        <v>26</v>
      </c>
      <c r="R2456" t="str">
        <f>IF(COUNTIF(Sheet2!B:B, A2456) &gt; 0, "Yes", "No")</f>
        <v>Yes</v>
      </c>
    </row>
    <row r="2457" spans="1:18" x14ac:dyDescent="0.25">
      <c r="A2457" s="3">
        <v>45485</v>
      </c>
      <c r="B2457" t="s">
        <v>285</v>
      </c>
      <c r="C2457" t="s">
        <v>79</v>
      </c>
      <c r="D2457" t="s">
        <v>20</v>
      </c>
      <c r="E2457" t="s">
        <v>21</v>
      </c>
      <c r="F2457" t="s">
        <v>46</v>
      </c>
      <c r="G2457" t="s">
        <v>130</v>
      </c>
      <c r="H2457" t="s">
        <v>367</v>
      </c>
      <c r="I2457" s="5">
        <v>6.5000000000000002E-2</v>
      </c>
      <c r="J2457">
        <f t="shared" si="114"/>
        <v>39</v>
      </c>
      <c r="K2457">
        <v>2</v>
      </c>
      <c r="L2457">
        <f t="shared" si="115"/>
        <v>37</v>
      </c>
      <c r="M2457" s="4">
        <f t="shared" si="116"/>
        <v>5.6923076923076923E-2</v>
      </c>
      <c r="N2457">
        <v>650</v>
      </c>
      <c r="O2457">
        <v>600</v>
      </c>
      <c r="P2457" t="s">
        <v>25</v>
      </c>
      <c r="Q2457" t="s">
        <v>26</v>
      </c>
      <c r="R2457" t="str">
        <f>IF(COUNTIF(Sheet2!B:B, A2457) &gt; 0, "Yes", "No")</f>
        <v>Yes</v>
      </c>
    </row>
    <row r="2458" spans="1:18" x14ac:dyDescent="0.25">
      <c r="A2458" s="3">
        <v>45485</v>
      </c>
      <c r="B2458" t="s">
        <v>285</v>
      </c>
      <c r="C2458" t="s">
        <v>79</v>
      </c>
      <c r="D2458" t="s">
        <v>20</v>
      </c>
      <c r="E2458" t="s">
        <v>21</v>
      </c>
      <c r="F2458" t="s">
        <v>49</v>
      </c>
      <c r="G2458" t="s">
        <v>50</v>
      </c>
      <c r="H2458" t="s">
        <v>49</v>
      </c>
      <c r="I2458" s="5">
        <v>0.04</v>
      </c>
      <c r="J2458">
        <f t="shared" si="114"/>
        <v>24</v>
      </c>
      <c r="K2458">
        <v>3</v>
      </c>
      <c r="L2458">
        <f t="shared" si="115"/>
        <v>21</v>
      </c>
      <c r="M2458" s="4">
        <f t="shared" si="116"/>
        <v>3.2307692307692308E-2</v>
      </c>
      <c r="N2458">
        <v>650</v>
      </c>
      <c r="O2458">
        <v>600</v>
      </c>
      <c r="P2458" t="s">
        <v>25</v>
      </c>
      <c r="Q2458" t="s">
        <v>26</v>
      </c>
      <c r="R2458" t="str">
        <f>IF(COUNTIF(Sheet2!B:B, A2458) &gt; 0, "Yes", "No")</f>
        <v>Yes</v>
      </c>
    </row>
    <row r="2459" spans="1:18" x14ac:dyDescent="0.25">
      <c r="A2459" s="3">
        <v>45488</v>
      </c>
      <c r="B2459" t="s">
        <v>285</v>
      </c>
      <c r="C2459" t="s">
        <v>19</v>
      </c>
      <c r="D2459" t="s">
        <v>20</v>
      </c>
      <c r="E2459" t="s">
        <v>21</v>
      </c>
      <c r="F2459" t="s">
        <v>22</v>
      </c>
      <c r="G2459" t="s">
        <v>94</v>
      </c>
      <c r="H2459" t="s">
        <v>226</v>
      </c>
      <c r="I2459">
        <v>8.5000000000000006E-2</v>
      </c>
      <c r="J2459">
        <f t="shared" si="114"/>
        <v>56.95</v>
      </c>
      <c r="K2459">
        <v>1</v>
      </c>
      <c r="L2459">
        <f t="shared" si="115"/>
        <v>55.95</v>
      </c>
      <c r="M2459" s="4">
        <f t="shared" si="116"/>
        <v>7.46E-2</v>
      </c>
      <c r="N2459">
        <v>750</v>
      </c>
      <c r="O2459">
        <v>670</v>
      </c>
      <c r="P2459" t="s">
        <v>25</v>
      </c>
      <c r="Q2459" t="s">
        <v>26</v>
      </c>
      <c r="R2459" t="str">
        <f>IF(COUNTIF(Sheet2!B:B, A2459) &gt; 0, "Yes", "No")</f>
        <v>No</v>
      </c>
    </row>
    <row r="2460" spans="1:18" x14ac:dyDescent="0.25">
      <c r="A2460" s="3">
        <v>45488</v>
      </c>
      <c r="B2460" t="s">
        <v>285</v>
      </c>
      <c r="C2460" t="s">
        <v>19</v>
      </c>
      <c r="D2460" t="s">
        <v>20</v>
      </c>
      <c r="E2460" t="s">
        <v>21</v>
      </c>
      <c r="F2460" t="s">
        <v>27</v>
      </c>
      <c r="G2460" t="s">
        <v>28</v>
      </c>
      <c r="H2460" t="s">
        <v>156</v>
      </c>
      <c r="I2460">
        <v>0.11</v>
      </c>
      <c r="J2460">
        <f t="shared" si="114"/>
        <v>73.7</v>
      </c>
      <c r="K2460">
        <v>2</v>
      </c>
      <c r="L2460">
        <f t="shared" si="115"/>
        <v>71.7</v>
      </c>
      <c r="M2460" s="4">
        <f t="shared" si="116"/>
        <v>9.5600000000000004E-2</v>
      </c>
      <c r="N2460">
        <v>750</v>
      </c>
      <c r="O2460">
        <v>670</v>
      </c>
      <c r="P2460" t="s">
        <v>25</v>
      </c>
      <c r="Q2460" t="s">
        <v>26</v>
      </c>
      <c r="R2460" t="str">
        <f>IF(COUNTIF(Sheet2!B:B, A2460) &gt; 0, "Yes", "No")</f>
        <v>No</v>
      </c>
    </row>
    <row r="2461" spans="1:18" x14ac:dyDescent="0.25">
      <c r="A2461" s="3">
        <v>45488</v>
      </c>
      <c r="B2461" t="s">
        <v>285</v>
      </c>
      <c r="C2461" t="s">
        <v>19</v>
      </c>
      <c r="D2461" t="s">
        <v>20</v>
      </c>
      <c r="E2461" t="s">
        <v>21</v>
      </c>
      <c r="F2461" t="s">
        <v>30</v>
      </c>
      <c r="G2461" t="s">
        <v>31</v>
      </c>
      <c r="H2461" t="s">
        <v>389</v>
      </c>
      <c r="I2461">
        <v>0.09</v>
      </c>
      <c r="J2461">
        <f t="shared" si="114"/>
        <v>60.3</v>
      </c>
      <c r="K2461">
        <v>2</v>
      </c>
      <c r="L2461">
        <f t="shared" si="115"/>
        <v>58.3</v>
      </c>
      <c r="M2461" s="4">
        <f t="shared" si="116"/>
        <v>7.7733333333333335E-2</v>
      </c>
      <c r="N2461">
        <v>750</v>
      </c>
      <c r="O2461">
        <v>670</v>
      </c>
      <c r="P2461" t="s">
        <v>25</v>
      </c>
      <c r="Q2461" t="s">
        <v>26</v>
      </c>
      <c r="R2461" t="str">
        <f>IF(COUNTIF(Sheet2!B:B, A2461) &gt; 0, "Yes", "No")</f>
        <v>No</v>
      </c>
    </row>
    <row r="2462" spans="1:18" x14ac:dyDescent="0.25">
      <c r="A2462" s="3">
        <v>45488</v>
      </c>
      <c r="B2462" t="s">
        <v>285</v>
      </c>
      <c r="C2462" t="s">
        <v>19</v>
      </c>
      <c r="D2462" t="s">
        <v>33</v>
      </c>
      <c r="E2462" t="s">
        <v>21</v>
      </c>
      <c r="F2462" t="s">
        <v>34</v>
      </c>
      <c r="G2462" t="s">
        <v>57</v>
      </c>
      <c r="H2462" t="s">
        <v>636</v>
      </c>
      <c r="I2462">
        <v>0.15</v>
      </c>
      <c r="J2462">
        <f t="shared" si="114"/>
        <v>63</v>
      </c>
      <c r="K2462">
        <v>3</v>
      </c>
      <c r="L2462">
        <f t="shared" si="115"/>
        <v>60</v>
      </c>
      <c r="M2462" s="4">
        <f t="shared" si="116"/>
        <v>0.11428571428571428</v>
      </c>
      <c r="N2462">
        <v>525</v>
      </c>
      <c r="O2462">
        <v>420</v>
      </c>
      <c r="P2462" t="s">
        <v>25</v>
      </c>
      <c r="Q2462" t="s">
        <v>26</v>
      </c>
      <c r="R2462" t="str">
        <f>IF(COUNTIF(Sheet2!B:B, A2462) &gt; 0, "Yes", "No")</f>
        <v>No</v>
      </c>
    </row>
    <row r="2463" spans="1:18" x14ac:dyDescent="0.25">
      <c r="A2463" s="3">
        <v>45488</v>
      </c>
      <c r="B2463" t="s">
        <v>285</v>
      </c>
      <c r="C2463" t="s">
        <v>19</v>
      </c>
      <c r="D2463" t="s">
        <v>20</v>
      </c>
      <c r="E2463" t="s">
        <v>21</v>
      </c>
      <c r="F2463" t="s">
        <v>37</v>
      </c>
      <c r="G2463" t="s">
        <v>117</v>
      </c>
      <c r="H2463" t="s">
        <v>118</v>
      </c>
      <c r="I2463">
        <v>0.03</v>
      </c>
      <c r="J2463">
        <f t="shared" si="114"/>
        <v>20.099999999999998</v>
      </c>
      <c r="K2463">
        <v>1</v>
      </c>
      <c r="L2463">
        <f t="shared" si="115"/>
        <v>19.099999999999998</v>
      </c>
      <c r="M2463" s="4">
        <f t="shared" si="116"/>
        <v>2.5466666666666665E-2</v>
      </c>
      <c r="N2463">
        <v>750</v>
      </c>
      <c r="O2463">
        <v>670</v>
      </c>
      <c r="P2463" t="s">
        <v>25</v>
      </c>
      <c r="Q2463" t="s">
        <v>26</v>
      </c>
      <c r="R2463" t="str">
        <f>IF(COUNTIF(Sheet2!B:B, A2463) &gt; 0, "Yes", "No")</f>
        <v>No</v>
      </c>
    </row>
    <row r="2464" spans="1:18" x14ac:dyDescent="0.25">
      <c r="A2464" s="3">
        <v>45488</v>
      </c>
      <c r="B2464" t="s">
        <v>285</v>
      </c>
      <c r="C2464" t="s">
        <v>19</v>
      </c>
      <c r="D2464" t="s">
        <v>20</v>
      </c>
      <c r="E2464" t="s">
        <v>21</v>
      </c>
      <c r="F2464" t="s">
        <v>40</v>
      </c>
      <c r="G2464" t="s">
        <v>137</v>
      </c>
      <c r="H2464" t="s">
        <v>637</v>
      </c>
      <c r="I2464">
        <v>4.4999999999999998E-2</v>
      </c>
      <c r="J2464">
        <f t="shared" si="114"/>
        <v>30.15</v>
      </c>
      <c r="K2464">
        <v>2</v>
      </c>
      <c r="L2464">
        <f t="shared" si="115"/>
        <v>28.15</v>
      </c>
      <c r="M2464" s="4">
        <f t="shared" si="116"/>
        <v>3.7533333333333328E-2</v>
      </c>
      <c r="N2464">
        <v>750</v>
      </c>
      <c r="O2464">
        <v>670</v>
      </c>
      <c r="P2464" t="s">
        <v>25</v>
      </c>
      <c r="Q2464" t="s">
        <v>26</v>
      </c>
      <c r="R2464" t="str">
        <f>IF(COUNTIF(Sheet2!B:B, A2464) &gt; 0, "Yes", "No")</f>
        <v>No</v>
      </c>
    </row>
    <row r="2465" spans="1:18" x14ac:dyDescent="0.25">
      <c r="A2465" s="3">
        <v>45488</v>
      </c>
      <c r="B2465" t="s">
        <v>285</v>
      </c>
      <c r="C2465" t="s">
        <v>19</v>
      </c>
      <c r="D2465" t="s">
        <v>20</v>
      </c>
      <c r="E2465" t="s">
        <v>21</v>
      </c>
      <c r="F2465" t="s">
        <v>43</v>
      </c>
      <c r="G2465" t="s">
        <v>44</v>
      </c>
      <c r="H2465" t="s">
        <v>352</v>
      </c>
      <c r="I2465">
        <v>0.11</v>
      </c>
      <c r="J2465">
        <f t="shared" si="114"/>
        <v>73.7</v>
      </c>
      <c r="K2465">
        <v>4</v>
      </c>
      <c r="L2465">
        <f t="shared" si="115"/>
        <v>69.7</v>
      </c>
      <c r="M2465" s="4">
        <f t="shared" si="116"/>
        <v>9.293333333333334E-2</v>
      </c>
      <c r="N2465">
        <v>750</v>
      </c>
      <c r="O2465">
        <v>670</v>
      </c>
      <c r="P2465" t="s">
        <v>25</v>
      </c>
      <c r="Q2465" t="s">
        <v>26</v>
      </c>
      <c r="R2465" t="str">
        <f>IF(COUNTIF(Sheet2!B:B, A2465) &gt; 0, "Yes", "No")</f>
        <v>No</v>
      </c>
    </row>
    <row r="2466" spans="1:18" x14ac:dyDescent="0.25">
      <c r="A2466" s="3">
        <v>45488</v>
      </c>
      <c r="B2466" t="s">
        <v>285</v>
      </c>
      <c r="C2466" t="s">
        <v>19</v>
      </c>
      <c r="D2466" t="s">
        <v>20</v>
      </c>
      <c r="E2466" t="s">
        <v>21</v>
      </c>
      <c r="F2466" t="s">
        <v>46</v>
      </c>
      <c r="G2466" t="s">
        <v>92</v>
      </c>
      <c r="H2466" t="s">
        <v>638</v>
      </c>
      <c r="I2466">
        <v>8.5000000000000006E-2</v>
      </c>
      <c r="J2466">
        <f t="shared" si="114"/>
        <v>56.95</v>
      </c>
      <c r="K2466">
        <v>1</v>
      </c>
      <c r="L2466">
        <f t="shared" si="115"/>
        <v>55.95</v>
      </c>
      <c r="M2466" s="4">
        <f t="shared" si="116"/>
        <v>7.46E-2</v>
      </c>
      <c r="N2466">
        <v>750</v>
      </c>
      <c r="O2466">
        <v>670</v>
      </c>
      <c r="P2466" t="s">
        <v>25</v>
      </c>
      <c r="Q2466" t="s">
        <v>26</v>
      </c>
      <c r="R2466" t="str">
        <f>IF(COUNTIF(Sheet2!B:B, A2466) &gt; 0, "Yes", "No")</f>
        <v>No</v>
      </c>
    </row>
    <row r="2467" spans="1:18" x14ac:dyDescent="0.25">
      <c r="A2467" s="3">
        <v>45488</v>
      </c>
      <c r="B2467" t="s">
        <v>285</v>
      </c>
      <c r="C2467" t="s">
        <v>19</v>
      </c>
      <c r="D2467" t="s">
        <v>20</v>
      </c>
      <c r="E2467" t="s">
        <v>21</v>
      </c>
      <c r="F2467" t="s">
        <v>49</v>
      </c>
      <c r="G2467" t="s">
        <v>50</v>
      </c>
      <c r="H2467" t="s">
        <v>49</v>
      </c>
      <c r="I2467">
        <v>0.09</v>
      </c>
      <c r="J2467">
        <f t="shared" si="114"/>
        <v>60.3</v>
      </c>
      <c r="K2467">
        <v>1</v>
      </c>
      <c r="L2467">
        <f t="shared" si="115"/>
        <v>59.3</v>
      </c>
      <c r="M2467" s="4">
        <f t="shared" si="116"/>
        <v>7.906666666666666E-2</v>
      </c>
      <c r="N2467">
        <v>750</v>
      </c>
      <c r="O2467">
        <v>670</v>
      </c>
      <c r="P2467" t="s">
        <v>25</v>
      </c>
      <c r="Q2467" t="s">
        <v>26</v>
      </c>
      <c r="R2467" t="str">
        <f>IF(COUNTIF(Sheet2!B:B, A2467) &gt; 0, "Yes", "No")</f>
        <v>No</v>
      </c>
    </row>
    <row r="2468" spans="1:18" x14ac:dyDescent="0.25">
      <c r="A2468" s="3">
        <v>45489</v>
      </c>
      <c r="B2468" t="s">
        <v>285</v>
      </c>
      <c r="C2468" t="s">
        <v>105</v>
      </c>
      <c r="D2468" t="s">
        <v>20</v>
      </c>
      <c r="E2468" t="s">
        <v>67</v>
      </c>
      <c r="F2468" t="s">
        <v>22</v>
      </c>
      <c r="G2468" t="s">
        <v>52</v>
      </c>
      <c r="H2468" t="s">
        <v>370</v>
      </c>
      <c r="I2468">
        <v>8.5000000000000006E-2</v>
      </c>
      <c r="J2468">
        <f t="shared" si="114"/>
        <v>54.400000000000006</v>
      </c>
      <c r="K2468">
        <v>0</v>
      </c>
      <c r="L2468">
        <f t="shared" si="115"/>
        <v>54.400000000000006</v>
      </c>
      <c r="M2468" s="4">
        <f t="shared" si="116"/>
        <v>7.7714285714285722E-2</v>
      </c>
      <c r="N2468">
        <v>700</v>
      </c>
      <c r="O2468">
        <v>640</v>
      </c>
      <c r="P2468" t="s">
        <v>283</v>
      </c>
      <c r="Q2468" t="s">
        <v>320</v>
      </c>
      <c r="R2468" t="str">
        <f>IF(COUNTIF(Sheet2!B:B, A2468) &gt; 0, "Yes", "No")</f>
        <v>No</v>
      </c>
    </row>
    <row r="2469" spans="1:18" x14ac:dyDescent="0.25">
      <c r="A2469" s="3">
        <v>45489</v>
      </c>
      <c r="B2469" t="s">
        <v>285</v>
      </c>
      <c r="C2469" t="s">
        <v>105</v>
      </c>
      <c r="D2469" t="s">
        <v>20</v>
      </c>
      <c r="E2469" t="s">
        <v>67</v>
      </c>
      <c r="F2469" t="s">
        <v>27</v>
      </c>
      <c r="G2469" t="s">
        <v>780</v>
      </c>
      <c r="H2469" t="s">
        <v>639</v>
      </c>
      <c r="I2469">
        <v>0.11</v>
      </c>
      <c r="J2469">
        <f t="shared" si="114"/>
        <v>70.400000000000006</v>
      </c>
      <c r="K2469">
        <v>0</v>
      </c>
      <c r="L2469">
        <f t="shared" si="115"/>
        <v>70.400000000000006</v>
      </c>
      <c r="M2469" s="4">
        <f t="shared" si="116"/>
        <v>0.10057142857142858</v>
      </c>
      <c r="N2469">
        <v>700</v>
      </c>
      <c r="O2469">
        <v>640</v>
      </c>
      <c r="P2469" t="s">
        <v>283</v>
      </c>
      <c r="Q2469" t="s">
        <v>320</v>
      </c>
      <c r="R2469" t="str">
        <f>IF(COUNTIF(Sheet2!B:B, A2469) &gt; 0, "Yes", "No")</f>
        <v>No</v>
      </c>
    </row>
    <row r="2470" spans="1:18" x14ac:dyDescent="0.25">
      <c r="A2470" s="3">
        <v>45489</v>
      </c>
      <c r="B2470" t="s">
        <v>285</v>
      </c>
      <c r="C2470" t="s">
        <v>105</v>
      </c>
      <c r="D2470" t="s">
        <v>20</v>
      </c>
      <c r="E2470" t="s">
        <v>67</v>
      </c>
      <c r="F2470" t="s">
        <v>30</v>
      </c>
      <c r="G2470" t="s">
        <v>55</v>
      </c>
      <c r="H2470" t="s">
        <v>125</v>
      </c>
      <c r="I2470">
        <v>0.09</v>
      </c>
      <c r="J2470">
        <f t="shared" si="114"/>
        <v>57.599999999999994</v>
      </c>
      <c r="K2470">
        <v>1</v>
      </c>
      <c r="L2470">
        <f t="shared" si="115"/>
        <v>56.599999999999994</v>
      </c>
      <c r="M2470" s="4">
        <f t="shared" si="116"/>
        <v>8.085714285714285E-2</v>
      </c>
      <c r="N2470">
        <v>700</v>
      </c>
      <c r="O2470">
        <v>640</v>
      </c>
      <c r="P2470" t="s">
        <v>283</v>
      </c>
      <c r="Q2470" t="s">
        <v>320</v>
      </c>
      <c r="R2470" t="str">
        <f>IF(COUNTIF(Sheet2!B:B, A2470) &gt; 0, "Yes", "No")</f>
        <v>No</v>
      </c>
    </row>
    <row r="2471" spans="1:18" x14ac:dyDescent="0.25">
      <c r="A2471" s="3">
        <v>45489</v>
      </c>
      <c r="B2471" t="s">
        <v>285</v>
      </c>
      <c r="C2471" t="s">
        <v>105</v>
      </c>
      <c r="D2471" t="s">
        <v>20</v>
      </c>
      <c r="E2471" t="s">
        <v>67</v>
      </c>
      <c r="F2471" t="s">
        <v>37</v>
      </c>
      <c r="G2471" t="s">
        <v>108</v>
      </c>
      <c r="H2471" t="s">
        <v>266</v>
      </c>
      <c r="I2471">
        <v>3.5000000000000003E-2</v>
      </c>
      <c r="J2471">
        <f t="shared" si="114"/>
        <v>22.400000000000002</v>
      </c>
      <c r="K2471">
        <v>4</v>
      </c>
      <c r="L2471">
        <f t="shared" si="115"/>
        <v>18.400000000000002</v>
      </c>
      <c r="M2471" s="4">
        <f t="shared" si="116"/>
        <v>2.6285714285714287E-2</v>
      </c>
      <c r="N2471">
        <v>700</v>
      </c>
      <c r="O2471">
        <v>640</v>
      </c>
      <c r="P2471" t="s">
        <v>283</v>
      </c>
      <c r="Q2471" t="s">
        <v>320</v>
      </c>
      <c r="R2471" t="str">
        <f>IF(COUNTIF(Sheet2!B:B, A2471) &gt; 0, "Yes", "No")</f>
        <v>No</v>
      </c>
    </row>
    <row r="2472" spans="1:18" x14ac:dyDescent="0.25">
      <c r="A2472" s="3">
        <v>45489</v>
      </c>
      <c r="B2472" t="s">
        <v>285</v>
      </c>
      <c r="C2472" t="s">
        <v>105</v>
      </c>
      <c r="D2472" t="s">
        <v>20</v>
      </c>
      <c r="E2472" t="s">
        <v>67</v>
      </c>
      <c r="F2472" t="s">
        <v>40</v>
      </c>
      <c r="G2472" t="s">
        <v>127</v>
      </c>
      <c r="H2472" t="s">
        <v>358</v>
      </c>
      <c r="I2472">
        <v>0.05</v>
      </c>
      <c r="J2472">
        <f t="shared" si="114"/>
        <v>32</v>
      </c>
      <c r="K2472">
        <v>1</v>
      </c>
      <c r="L2472">
        <f t="shared" si="115"/>
        <v>31</v>
      </c>
      <c r="M2472" s="4">
        <f t="shared" si="116"/>
        <v>4.4285714285714282E-2</v>
      </c>
      <c r="N2472">
        <v>700</v>
      </c>
      <c r="O2472">
        <v>640</v>
      </c>
      <c r="P2472" t="s">
        <v>283</v>
      </c>
      <c r="Q2472" t="s">
        <v>320</v>
      </c>
      <c r="R2472" t="str">
        <f>IF(COUNTIF(Sheet2!B:B, A2472) &gt; 0, "Yes", "No")</f>
        <v>No</v>
      </c>
    </row>
    <row r="2473" spans="1:18" x14ac:dyDescent="0.25">
      <c r="A2473" s="3">
        <v>45489</v>
      </c>
      <c r="B2473" t="s">
        <v>285</v>
      </c>
      <c r="C2473" t="s">
        <v>105</v>
      </c>
      <c r="D2473" t="s">
        <v>20</v>
      </c>
      <c r="E2473" t="s">
        <v>67</v>
      </c>
      <c r="F2473" t="s">
        <v>43</v>
      </c>
      <c r="G2473" t="s">
        <v>159</v>
      </c>
      <c r="H2473" t="s">
        <v>160</v>
      </c>
      <c r="I2473">
        <v>0.11</v>
      </c>
      <c r="J2473">
        <f t="shared" si="114"/>
        <v>70.400000000000006</v>
      </c>
      <c r="K2473">
        <v>0</v>
      </c>
      <c r="L2473">
        <f t="shared" si="115"/>
        <v>70.400000000000006</v>
      </c>
      <c r="M2473" s="4">
        <f t="shared" si="116"/>
        <v>0.10057142857142858</v>
      </c>
      <c r="N2473">
        <v>700</v>
      </c>
      <c r="O2473">
        <v>640</v>
      </c>
      <c r="P2473" t="s">
        <v>283</v>
      </c>
      <c r="Q2473" t="s">
        <v>320</v>
      </c>
      <c r="R2473" t="str">
        <f>IF(COUNTIF(Sheet2!B:B, A2473) &gt; 0, "Yes", "No")</f>
        <v>No</v>
      </c>
    </row>
    <row r="2474" spans="1:18" x14ac:dyDescent="0.25">
      <c r="A2474" s="3">
        <v>45489</v>
      </c>
      <c r="B2474" t="s">
        <v>285</v>
      </c>
      <c r="C2474" t="s">
        <v>105</v>
      </c>
      <c r="D2474" t="s">
        <v>20</v>
      </c>
      <c r="E2474" t="s">
        <v>67</v>
      </c>
      <c r="F2474" t="s">
        <v>46</v>
      </c>
      <c r="G2474" t="s">
        <v>47</v>
      </c>
      <c r="H2474" t="s">
        <v>228</v>
      </c>
      <c r="I2474">
        <v>8.5000000000000006E-2</v>
      </c>
      <c r="J2474">
        <f t="shared" si="114"/>
        <v>54.400000000000006</v>
      </c>
      <c r="K2474">
        <v>0</v>
      </c>
      <c r="L2474">
        <f t="shared" si="115"/>
        <v>54.400000000000006</v>
      </c>
      <c r="M2474" s="4">
        <f t="shared" si="116"/>
        <v>7.7714285714285722E-2</v>
      </c>
      <c r="N2474">
        <v>700</v>
      </c>
      <c r="O2474">
        <v>640</v>
      </c>
      <c r="P2474" t="s">
        <v>283</v>
      </c>
      <c r="Q2474" t="s">
        <v>320</v>
      </c>
      <c r="R2474" t="str">
        <f>IF(COUNTIF(Sheet2!B:B, A2474) &gt; 0, "Yes", "No")</f>
        <v>No</v>
      </c>
    </row>
    <row r="2475" spans="1:18" x14ac:dyDescent="0.25">
      <c r="A2475" s="3">
        <v>45489</v>
      </c>
      <c r="B2475" t="s">
        <v>285</v>
      </c>
      <c r="C2475" t="s">
        <v>105</v>
      </c>
      <c r="D2475" t="s">
        <v>20</v>
      </c>
      <c r="E2475" t="s">
        <v>67</v>
      </c>
      <c r="F2475" t="s">
        <v>49</v>
      </c>
      <c r="G2475" t="s">
        <v>50</v>
      </c>
      <c r="H2475" t="s">
        <v>49</v>
      </c>
      <c r="I2475">
        <v>0.09</v>
      </c>
      <c r="J2475">
        <f t="shared" si="114"/>
        <v>57.599999999999994</v>
      </c>
      <c r="K2475">
        <v>0</v>
      </c>
      <c r="L2475">
        <f t="shared" si="115"/>
        <v>57.599999999999994</v>
      </c>
      <c r="M2475" s="4">
        <f t="shared" si="116"/>
        <v>8.2285714285714281E-2</v>
      </c>
      <c r="N2475">
        <v>700</v>
      </c>
      <c r="O2475">
        <v>640</v>
      </c>
      <c r="P2475" t="s">
        <v>283</v>
      </c>
      <c r="Q2475" t="s">
        <v>320</v>
      </c>
      <c r="R2475" t="str">
        <f>IF(COUNTIF(Sheet2!B:B, A2475) &gt; 0, "Yes", "No")</f>
        <v>No</v>
      </c>
    </row>
    <row r="2476" spans="1:18" x14ac:dyDescent="0.25">
      <c r="A2476" s="3">
        <v>45490</v>
      </c>
      <c r="B2476" t="s">
        <v>285</v>
      </c>
      <c r="C2476" t="s">
        <v>51</v>
      </c>
      <c r="D2476" t="s">
        <v>20</v>
      </c>
      <c r="E2476" t="s">
        <v>21</v>
      </c>
      <c r="F2476" t="s">
        <v>22</v>
      </c>
      <c r="G2476" t="s">
        <v>23</v>
      </c>
      <c r="H2476" t="s">
        <v>24</v>
      </c>
      <c r="I2476">
        <v>8.5000000000000006E-2</v>
      </c>
      <c r="J2476">
        <f t="shared" si="114"/>
        <v>61.2</v>
      </c>
      <c r="K2476">
        <v>1</v>
      </c>
      <c r="L2476">
        <f t="shared" si="115"/>
        <v>60.2</v>
      </c>
      <c r="M2476" s="4">
        <f t="shared" si="116"/>
        <v>7.5249999999999997E-2</v>
      </c>
      <c r="N2476">
        <v>800</v>
      </c>
      <c r="O2476">
        <v>720</v>
      </c>
      <c r="P2476" t="s">
        <v>341</v>
      </c>
      <c r="Q2476" t="s">
        <v>320</v>
      </c>
      <c r="R2476" t="str">
        <f>IF(COUNTIF(Sheet2!B:B, A2476) &gt; 0, "Yes", "No")</f>
        <v>No</v>
      </c>
    </row>
    <row r="2477" spans="1:18" x14ac:dyDescent="0.25">
      <c r="A2477" s="3">
        <v>45490</v>
      </c>
      <c r="B2477" t="s">
        <v>285</v>
      </c>
      <c r="C2477" t="s">
        <v>51</v>
      </c>
      <c r="D2477" t="s">
        <v>20</v>
      </c>
      <c r="E2477" t="s">
        <v>21</v>
      </c>
      <c r="F2477" t="s">
        <v>27</v>
      </c>
      <c r="G2477" t="s">
        <v>235</v>
      </c>
      <c r="H2477" t="s">
        <v>640</v>
      </c>
      <c r="I2477">
        <v>0.12</v>
      </c>
      <c r="J2477">
        <f t="shared" si="114"/>
        <v>86.399999999999991</v>
      </c>
      <c r="K2477">
        <v>0</v>
      </c>
      <c r="L2477">
        <f t="shared" si="115"/>
        <v>86.399999999999991</v>
      </c>
      <c r="M2477" s="4">
        <f t="shared" si="116"/>
        <v>0.10799999999999998</v>
      </c>
      <c r="N2477">
        <v>800</v>
      </c>
      <c r="O2477">
        <v>720</v>
      </c>
      <c r="P2477" t="s">
        <v>341</v>
      </c>
      <c r="Q2477" t="s">
        <v>320</v>
      </c>
      <c r="R2477" t="str">
        <f>IF(COUNTIF(Sheet2!B:B, A2477) &gt; 0, "Yes", "No")</f>
        <v>No</v>
      </c>
    </row>
    <row r="2478" spans="1:18" x14ac:dyDescent="0.25">
      <c r="A2478" s="3">
        <v>45490</v>
      </c>
      <c r="B2478" t="s">
        <v>285</v>
      </c>
      <c r="C2478" t="s">
        <v>51</v>
      </c>
      <c r="D2478" t="s">
        <v>20</v>
      </c>
      <c r="E2478" t="s">
        <v>21</v>
      </c>
      <c r="F2478" t="s">
        <v>30</v>
      </c>
      <c r="G2478" t="s">
        <v>55</v>
      </c>
      <c r="H2478" t="s">
        <v>134</v>
      </c>
      <c r="I2478">
        <v>0.09</v>
      </c>
      <c r="J2478">
        <f t="shared" si="114"/>
        <v>64.8</v>
      </c>
      <c r="K2478">
        <v>1</v>
      </c>
      <c r="L2478">
        <f t="shared" si="115"/>
        <v>63.8</v>
      </c>
      <c r="M2478" s="4">
        <f t="shared" si="116"/>
        <v>7.9750000000000001E-2</v>
      </c>
      <c r="N2478">
        <v>800</v>
      </c>
      <c r="O2478">
        <v>720</v>
      </c>
      <c r="P2478" t="s">
        <v>341</v>
      </c>
      <c r="Q2478" t="s">
        <v>320</v>
      </c>
      <c r="R2478" t="str">
        <f>IF(COUNTIF(Sheet2!B:B, A2478) &gt; 0, "Yes", "No")</f>
        <v>No</v>
      </c>
    </row>
    <row r="2479" spans="1:18" x14ac:dyDescent="0.25">
      <c r="A2479" s="3">
        <v>45490</v>
      </c>
      <c r="B2479" t="s">
        <v>285</v>
      </c>
      <c r="C2479" t="s">
        <v>51</v>
      </c>
      <c r="D2479" t="s">
        <v>33</v>
      </c>
      <c r="E2479" t="s">
        <v>21</v>
      </c>
      <c r="F2479" t="s">
        <v>34</v>
      </c>
      <c r="G2479" t="s">
        <v>57</v>
      </c>
      <c r="H2479" t="s">
        <v>641</v>
      </c>
      <c r="I2479">
        <v>0.15</v>
      </c>
      <c r="J2479">
        <f t="shared" si="114"/>
        <v>75</v>
      </c>
      <c r="K2479">
        <v>0.5</v>
      </c>
      <c r="L2479">
        <f t="shared" si="115"/>
        <v>74.5</v>
      </c>
      <c r="M2479" s="4">
        <f t="shared" si="116"/>
        <v>0.13303571428571428</v>
      </c>
      <c r="N2479">
        <v>560</v>
      </c>
      <c r="O2479">
        <v>500</v>
      </c>
      <c r="P2479" t="s">
        <v>341</v>
      </c>
      <c r="Q2479" t="s">
        <v>320</v>
      </c>
      <c r="R2479" t="str">
        <f>IF(COUNTIF(Sheet2!B:B, A2479) &gt; 0, "Yes", "No")</f>
        <v>No</v>
      </c>
    </row>
    <row r="2480" spans="1:18" x14ac:dyDescent="0.25">
      <c r="A2480" s="3">
        <v>45490</v>
      </c>
      <c r="B2480" t="s">
        <v>285</v>
      </c>
      <c r="C2480" t="s">
        <v>51</v>
      </c>
      <c r="D2480" t="s">
        <v>20</v>
      </c>
      <c r="E2480" t="s">
        <v>21</v>
      </c>
      <c r="F2480" t="s">
        <v>37</v>
      </c>
      <c r="G2480" t="s">
        <v>87</v>
      </c>
      <c r="H2480" t="s">
        <v>99</v>
      </c>
      <c r="I2480">
        <v>0.03</v>
      </c>
      <c r="J2480">
        <f t="shared" si="114"/>
        <v>21.599999999999998</v>
      </c>
      <c r="K2480">
        <v>1</v>
      </c>
      <c r="L2480">
        <f t="shared" si="115"/>
        <v>20.599999999999998</v>
      </c>
      <c r="M2480" s="4">
        <f t="shared" si="116"/>
        <v>2.5749999999999999E-2</v>
      </c>
      <c r="N2480">
        <v>800</v>
      </c>
      <c r="O2480">
        <v>720</v>
      </c>
      <c r="P2480" t="s">
        <v>341</v>
      </c>
      <c r="Q2480" t="s">
        <v>320</v>
      </c>
      <c r="R2480" t="str">
        <f>IF(COUNTIF(Sheet2!B:B, A2480) &gt; 0, "Yes", "No")</f>
        <v>No</v>
      </c>
    </row>
    <row r="2481" spans="1:18" x14ac:dyDescent="0.25">
      <c r="A2481" s="3">
        <v>45490</v>
      </c>
      <c r="B2481" t="s">
        <v>285</v>
      </c>
      <c r="C2481" t="s">
        <v>51</v>
      </c>
      <c r="D2481" t="s">
        <v>20</v>
      </c>
      <c r="E2481" t="s">
        <v>21</v>
      </c>
      <c r="F2481" t="s">
        <v>40</v>
      </c>
      <c r="G2481" t="s">
        <v>61</v>
      </c>
      <c r="H2481" t="s">
        <v>62</v>
      </c>
      <c r="I2481">
        <v>4.4999999999999998E-2</v>
      </c>
      <c r="J2481">
        <f t="shared" si="114"/>
        <v>32.4</v>
      </c>
      <c r="K2481">
        <v>2</v>
      </c>
      <c r="L2481">
        <f t="shared" si="115"/>
        <v>30.4</v>
      </c>
      <c r="M2481" s="4">
        <f t="shared" si="116"/>
        <v>3.7999999999999999E-2</v>
      </c>
      <c r="N2481">
        <v>800</v>
      </c>
      <c r="O2481">
        <v>720</v>
      </c>
      <c r="P2481" t="s">
        <v>341</v>
      </c>
      <c r="Q2481" t="s">
        <v>320</v>
      </c>
      <c r="R2481" t="str">
        <f>IF(COUNTIF(Sheet2!B:B, A2481) &gt; 0, "Yes", "No")</f>
        <v>No</v>
      </c>
    </row>
    <row r="2482" spans="1:18" x14ac:dyDescent="0.25">
      <c r="A2482" s="3">
        <v>45490</v>
      </c>
      <c r="B2482" t="s">
        <v>285</v>
      </c>
      <c r="C2482" t="s">
        <v>51</v>
      </c>
      <c r="D2482" t="s">
        <v>20</v>
      </c>
      <c r="E2482" t="s">
        <v>21</v>
      </c>
      <c r="F2482" t="s">
        <v>43</v>
      </c>
      <c r="G2482" t="s">
        <v>90</v>
      </c>
      <c r="H2482" t="s">
        <v>356</v>
      </c>
      <c r="I2482">
        <v>0.11</v>
      </c>
      <c r="J2482">
        <f t="shared" si="114"/>
        <v>79.2</v>
      </c>
      <c r="K2482">
        <v>2</v>
      </c>
      <c r="L2482">
        <f t="shared" si="115"/>
        <v>77.2</v>
      </c>
      <c r="M2482" s="4">
        <f t="shared" si="116"/>
        <v>9.6500000000000002E-2</v>
      </c>
      <c r="N2482">
        <v>800</v>
      </c>
      <c r="O2482">
        <v>720</v>
      </c>
      <c r="P2482" t="s">
        <v>341</v>
      </c>
      <c r="Q2482" t="s">
        <v>320</v>
      </c>
      <c r="R2482" t="str">
        <f>IF(COUNTIF(Sheet2!B:B, A2482) &gt; 0, "Yes", "No")</f>
        <v>No</v>
      </c>
    </row>
    <row r="2483" spans="1:18" x14ac:dyDescent="0.25">
      <c r="A2483" s="3">
        <v>45490</v>
      </c>
      <c r="B2483" t="s">
        <v>285</v>
      </c>
      <c r="C2483" t="s">
        <v>51</v>
      </c>
      <c r="D2483" t="s">
        <v>20</v>
      </c>
      <c r="E2483" t="s">
        <v>21</v>
      </c>
      <c r="F2483" t="s">
        <v>46</v>
      </c>
      <c r="G2483" t="s">
        <v>92</v>
      </c>
      <c r="H2483" t="s">
        <v>430</v>
      </c>
      <c r="I2483">
        <v>8.5000000000000006E-2</v>
      </c>
      <c r="J2483">
        <f t="shared" si="114"/>
        <v>61.2</v>
      </c>
      <c r="K2483">
        <v>2</v>
      </c>
      <c r="L2483">
        <f t="shared" si="115"/>
        <v>59.2</v>
      </c>
      <c r="M2483" s="4">
        <f t="shared" si="116"/>
        <v>7.400000000000001E-2</v>
      </c>
      <c r="N2483">
        <v>800</v>
      </c>
      <c r="O2483">
        <v>720</v>
      </c>
      <c r="P2483" t="s">
        <v>341</v>
      </c>
      <c r="Q2483" t="s">
        <v>320</v>
      </c>
      <c r="R2483" t="str">
        <f>IF(COUNTIF(Sheet2!B:B, A2483) &gt; 0, "Yes", "No")</f>
        <v>No</v>
      </c>
    </row>
    <row r="2484" spans="1:18" x14ac:dyDescent="0.25">
      <c r="A2484" s="3">
        <v>45490</v>
      </c>
      <c r="B2484" t="s">
        <v>285</v>
      </c>
      <c r="C2484" t="s">
        <v>51</v>
      </c>
      <c r="D2484" t="s">
        <v>20</v>
      </c>
      <c r="E2484" t="s">
        <v>21</v>
      </c>
      <c r="F2484" t="s">
        <v>49</v>
      </c>
      <c r="G2484" t="s">
        <v>50</v>
      </c>
      <c r="H2484" t="s">
        <v>49</v>
      </c>
      <c r="I2484">
        <v>0.09</v>
      </c>
      <c r="J2484">
        <f t="shared" si="114"/>
        <v>64.8</v>
      </c>
      <c r="K2484">
        <v>0</v>
      </c>
      <c r="L2484">
        <f t="shared" si="115"/>
        <v>64.8</v>
      </c>
      <c r="M2484" s="4">
        <f t="shared" si="116"/>
        <v>8.1000000000000003E-2</v>
      </c>
      <c r="N2484">
        <v>800</v>
      </c>
      <c r="O2484">
        <v>720</v>
      </c>
      <c r="P2484" t="s">
        <v>341</v>
      </c>
      <c r="Q2484" t="s">
        <v>320</v>
      </c>
      <c r="R2484" t="str">
        <f>IF(COUNTIF(Sheet2!B:B, A2484) &gt; 0, "Yes", "No")</f>
        <v>No</v>
      </c>
    </row>
    <row r="2485" spans="1:18" x14ac:dyDescent="0.25">
      <c r="A2485" s="3">
        <v>45491</v>
      </c>
      <c r="B2485" t="s">
        <v>285</v>
      </c>
      <c r="C2485" t="s">
        <v>66</v>
      </c>
      <c r="D2485" t="s">
        <v>20</v>
      </c>
      <c r="E2485" t="s">
        <v>67</v>
      </c>
      <c r="F2485" t="s">
        <v>22</v>
      </c>
      <c r="G2485" t="s">
        <v>52</v>
      </c>
      <c r="H2485" t="s">
        <v>246</v>
      </c>
      <c r="I2485">
        <v>8.5000000000000006E-2</v>
      </c>
      <c r="J2485">
        <f t="shared" si="114"/>
        <v>54.400000000000006</v>
      </c>
      <c r="K2485">
        <v>2</v>
      </c>
      <c r="L2485">
        <f t="shared" si="115"/>
        <v>52.400000000000006</v>
      </c>
      <c r="M2485" s="4">
        <f t="shared" si="116"/>
        <v>7.4857142857142872E-2</v>
      </c>
      <c r="N2485">
        <v>700</v>
      </c>
      <c r="O2485">
        <v>640</v>
      </c>
      <c r="P2485" t="s">
        <v>322</v>
      </c>
      <c r="Q2485" t="s">
        <v>320</v>
      </c>
      <c r="R2485" t="str">
        <f>IF(COUNTIF(Sheet2!B:B, A2485) &gt; 0, "Yes", "No")</f>
        <v>No</v>
      </c>
    </row>
    <row r="2486" spans="1:18" x14ac:dyDescent="0.25">
      <c r="A2486" s="3">
        <v>45491</v>
      </c>
      <c r="B2486" t="s">
        <v>285</v>
      </c>
      <c r="C2486" t="s">
        <v>66</v>
      </c>
      <c r="D2486" t="s">
        <v>20</v>
      </c>
      <c r="E2486" t="s">
        <v>67</v>
      </c>
      <c r="F2486" t="s">
        <v>27</v>
      </c>
      <c r="G2486" t="s">
        <v>304</v>
      </c>
      <c r="H2486" t="s">
        <v>601</v>
      </c>
      <c r="I2486">
        <v>0.12</v>
      </c>
      <c r="J2486">
        <f t="shared" si="114"/>
        <v>76.8</v>
      </c>
      <c r="K2486">
        <v>0</v>
      </c>
      <c r="L2486">
        <f t="shared" si="115"/>
        <v>76.8</v>
      </c>
      <c r="M2486" s="4">
        <f t="shared" si="116"/>
        <v>0.10971428571428571</v>
      </c>
      <c r="N2486">
        <v>700</v>
      </c>
      <c r="O2486">
        <v>640</v>
      </c>
      <c r="P2486" t="s">
        <v>322</v>
      </c>
      <c r="Q2486" t="s">
        <v>320</v>
      </c>
      <c r="R2486" t="str">
        <f>IF(COUNTIF(Sheet2!B:B, A2486) &gt; 0, "Yes", "No")</f>
        <v>No</v>
      </c>
    </row>
    <row r="2487" spans="1:18" x14ac:dyDescent="0.25">
      <c r="A2487" s="3">
        <v>45491</v>
      </c>
      <c r="B2487" t="s">
        <v>285</v>
      </c>
      <c r="C2487" t="s">
        <v>66</v>
      </c>
      <c r="D2487" t="s">
        <v>20</v>
      </c>
      <c r="E2487" t="s">
        <v>67</v>
      </c>
      <c r="F2487" t="s">
        <v>30</v>
      </c>
      <c r="G2487" t="s">
        <v>55</v>
      </c>
      <c r="H2487" t="s">
        <v>56</v>
      </c>
      <c r="I2487">
        <v>0.09</v>
      </c>
      <c r="J2487">
        <f t="shared" si="114"/>
        <v>57.599999999999994</v>
      </c>
      <c r="K2487">
        <v>2</v>
      </c>
      <c r="L2487">
        <f t="shared" si="115"/>
        <v>55.599999999999994</v>
      </c>
      <c r="M2487" s="4">
        <f t="shared" si="116"/>
        <v>7.9428571428571418E-2</v>
      </c>
      <c r="N2487">
        <v>700</v>
      </c>
      <c r="O2487">
        <v>640</v>
      </c>
      <c r="P2487" t="s">
        <v>322</v>
      </c>
      <c r="Q2487" t="s">
        <v>320</v>
      </c>
      <c r="R2487" t="str">
        <f>IF(COUNTIF(Sheet2!B:B, A2487) &gt; 0, "Yes", "No")</f>
        <v>No</v>
      </c>
    </row>
    <row r="2488" spans="1:18" x14ac:dyDescent="0.25">
      <c r="A2488" s="3">
        <v>45491</v>
      </c>
      <c r="B2488" t="s">
        <v>285</v>
      </c>
      <c r="C2488" t="s">
        <v>66</v>
      </c>
      <c r="D2488" t="s">
        <v>20</v>
      </c>
      <c r="E2488" t="s">
        <v>67</v>
      </c>
      <c r="F2488" t="s">
        <v>37</v>
      </c>
      <c r="G2488" t="s">
        <v>38</v>
      </c>
      <c r="H2488" t="s">
        <v>39</v>
      </c>
      <c r="I2488">
        <v>3.5000000000000003E-2</v>
      </c>
      <c r="J2488">
        <f t="shared" si="114"/>
        <v>22.400000000000002</v>
      </c>
      <c r="K2488">
        <v>4</v>
      </c>
      <c r="L2488">
        <f t="shared" si="115"/>
        <v>18.400000000000002</v>
      </c>
      <c r="M2488" s="4">
        <f t="shared" si="116"/>
        <v>2.6285714285714287E-2</v>
      </c>
      <c r="N2488">
        <v>700</v>
      </c>
      <c r="O2488">
        <v>640</v>
      </c>
      <c r="P2488" t="s">
        <v>322</v>
      </c>
      <c r="Q2488" t="s">
        <v>320</v>
      </c>
      <c r="R2488" t="str">
        <f>IF(COUNTIF(Sheet2!B:B, A2488) &gt; 0, "Yes", "No")</f>
        <v>No</v>
      </c>
    </row>
    <row r="2489" spans="1:18" x14ac:dyDescent="0.25">
      <c r="A2489" s="3">
        <v>45491</v>
      </c>
      <c r="B2489" t="s">
        <v>285</v>
      </c>
      <c r="C2489" t="s">
        <v>66</v>
      </c>
      <c r="D2489" t="s">
        <v>20</v>
      </c>
      <c r="E2489" t="s">
        <v>67</v>
      </c>
      <c r="F2489" t="s">
        <v>40</v>
      </c>
      <c r="G2489" t="s">
        <v>61</v>
      </c>
      <c r="H2489" t="s">
        <v>62</v>
      </c>
      <c r="I2489">
        <v>0.05</v>
      </c>
      <c r="J2489">
        <f t="shared" si="114"/>
        <v>32</v>
      </c>
      <c r="K2489">
        <v>3</v>
      </c>
      <c r="L2489">
        <f t="shared" si="115"/>
        <v>29</v>
      </c>
      <c r="M2489" s="4">
        <f t="shared" si="116"/>
        <v>4.1428571428571426E-2</v>
      </c>
      <c r="N2489">
        <v>700</v>
      </c>
      <c r="O2489">
        <v>640</v>
      </c>
      <c r="P2489" t="s">
        <v>322</v>
      </c>
      <c r="Q2489" t="s">
        <v>320</v>
      </c>
      <c r="R2489" t="str">
        <f>IF(COUNTIF(Sheet2!B:B, A2489) &gt; 0, "Yes", "No")</f>
        <v>No</v>
      </c>
    </row>
    <row r="2490" spans="1:18" x14ac:dyDescent="0.25">
      <c r="A2490" s="3">
        <v>45491</v>
      </c>
      <c r="B2490" t="s">
        <v>285</v>
      </c>
      <c r="C2490" t="s">
        <v>66</v>
      </c>
      <c r="D2490" t="s">
        <v>20</v>
      </c>
      <c r="E2490" t="s">
        <v>67</v>
      </c>
      <c r="F2490" t="s">
        <v>43</v>
      </c>
      <c r="G2490" t="s">
        <v>90</v>
      </c>
      <c r="H2490" t="s">
        <v>289</v>
      </c>
      <c r="I2490">
        <v>0.11</v>
      </c>
      <c r="J2490">
        <f t="shared" si="114"/>
        <v>70.400000000000006</v>
      </c>
      <c r="K2490">
        <v>2</v>
      </c>
      <c r="L2490">
        <f t="shared" si="115"/>
        <v>68.400000000000006</v>
      </c>
      <c r="M2490" s="4">
        <f t="shared" si="116"/>
        <v>9.7714285714285726E-2</v>
      </c>
      <c r="N2490">
        <v>700</v>
      </c>
      <c r="O2490">
        <v>640</v>
      </c>
      <c r="P2490" t="s">
        <v>322</v>
      </c>
      <c r="Q2490" t="s">
        <v>320</v>
      </c>
      <c r="R2490" t="str">
        <f>IF(COUNTIF(Sheet2!B:B, A2490) &gt; 0, "Yes", "No")</f>
        <v>No</v>
      </c>
    </row>
    <row r="2491" spans="1:18" x14ac:dyDescent="0.25">
      <c r="A2491" s="3">
        <v>45491</v>
      </c>
      <c r="B2491" t="s">
        <v>285</v>
      </c>
      <c r="C2491" t="s">
        <v>66</v>
      </c>
      <c r="D2491" t="s">
        <v>20</v>
      </c>
      <c r="E2491" t="s">
        <v>67</v>
      </c>
      <c r="F2491" t="s">
        <v>46</v>
      </c>
      <c r="G2491" t="s">
        <v>103</v>
      </c>
      <c r="H2491" t="s">
        <v>642</v>
      </c>
      <c r="I2491">
        <v>0.09</v>
      </c>
      <c r="J2491">
        <f t="shared" si="114"/>
        <v>57.599999999999994</v>
      </c>
      <c r="K2491">
        <v>0</v>
      </c>
      <c r="L2491">
        <f t="shared" si="115"/>
        <v>57.599999999999994</v>
      </c>
      <c r="M2491" s="4">
        <f t="shared" si="116"/>
        <v>8.2285714285714281E-2</v>
      </c>
      <c r="N2491">
        <v>700</v>
      </c>
      <c r="O2491">
        <v>640</v>
      </c>
      <c r="P2491" t="s">
        <v>322</v>
      </c>
      <c r="Q2491" t="s">
        <v>320</v>
      </c>
      <c r="R2491" t="str">
        <f>IF(COUNTIF(Sheet2!B:B, A2491) &gt; 0, "Yes", "No")</f>
        <v>No</v>
      </c>
    </row>
    <row r="2492" spans="1:18" x14ac:dyDescent="0.25">
      <c r="A2492" s="3">
        <v>45491</v>
      </c>
      <c r="B2492" t="s">
        <v>285</v>
      </c>
      <c r="C2492" t="s">
        <v>66</v>
      </c>
      <c r="D2492" t="s">
        <v>20</v>
      </c>
      <c r="E2492" t="s">
        <v>67</v>
      </c>
      <c r="F2492" t="s">
        <v>49</v>
      </c>
      <c r="G2492" t="s">
        <v>50</v>
      </c>
      <c r="H2492" t="s">
        <v>49</v>
      </c>
      <c r="I2492">
        <v>0.09</v>
      </c>
      <c r="J2492">
        <f t="shared" si="114"/>
        <v>57.599999999999994</v>
      </c>
      <c r="K2492">
        <v>1</v>
      </c>
      <c r="L2492">
        <f t="shared" si="115"/>
        <v>56.599999999999994</v>
      </c>
      <c r="M2492" s="4">
        <f t="shared" si="116"/>
        <v>8.085714285714285E-2</v>
      </c>
      <c r="N2492">
        <v>700</v>
      </c>
      <c r="O2492">
        <v>640</v>
      </c>
      <c r="P2492" t="s">
        <v>322</v>
      </c>
      <c r="Q2492" t="s">
        <v>320</v>
      </c>
      <c r="R2492" t="str">
        <f>IF(COUNTIF(Sheet2!B:B, A2492) &gt; 0, "Yes", "No")</f>
        <v>No</v>
      </c>
    </row>
    <row r="2493" spans="1:18" x14ac:dyDescent="0.25">
      <c r="A2493" s="3">
        <v>45492</v>
      </c>
      <c r="B2493" t="s">
        <v>285</v>
      </c>
      <c r="C2493" t="s">
        <v>79</v>
      </c>
      <c r="D2493" t="s">
        <v>20</v>
      </c>
      <c r="E2493" t="s">
        <v>21</v>
      </c>
      <c r="F2493" t="s">
        <v>22</v>
      </c>
      <c r="G2493" t="s">
        <v>23</v>
      </c>
      <c r="H2493" t="s">
        <v>196</v>
      </c>
      <c r="I2493" s="5">
        <v>0.06</v>
      </c>
      <c r="J2493">
        <f t="shared" si="114"/>
        <v>38.4</v>
      </c>
      <c r="K2493">
        <v>3.5</v>
      </c>
      <c r="L2493">
        <f t="shared" si="115"/>
        <v>34.9</v>
      </c>
      <c r="M2493" s="4">
        <f t="shared" si="116"/>
        <v>4.9857142857142857E-2</v>
      </c>
      <c r="N2493">
        <v>700</v>
      </c>
      <c r="O2493">
        <v>640</v>
      </c>
      <c r="P2493" t="s">
        <v>25</v>
      </c>
      <c r="Q2493" t="s">
        <v>26</v>
      </c>
      <c r="R2493" t="str">
        <f>IF(COUNTIF(Sheet2!B:B, A2493) &gt; 0, "Yes", "No")</f>
        <v>Yes</v>
      </c>
    </row>
    <row r="2494" spans="1:18" x14ac:dyDescent="0.25">
      <c r="A2494" s="3">
        <v>45492</v>
      </c>
      <c r="B2494" t="s">
        <v>285</v>
      </c>
      <c r="C2494" t="s">
        <v>79</v>
      </c>
      <c r="D2494" t="s">
        <v>20</v>
      </c>
      <c r="E2494" t="s">
        <v>21</v>
      </c>
      <c r="F2494" t="s">
        <v>27</v>
      </c>
      <c r="G2494" t="s">
        <v>81</v>
      </c>
      <c r="H2494" t="s">
        <v>643</v>
      </c>
      <c r="I2494" s="5">
        <v>0.1</v>
      </c>
      <c r="J2494">
        <f t="shared" si="114"/>
        <v>64</v>
      </c>
      <c r="K2494">
        <v>3</v>
      </c>
      <c r="L2494">
        <f t="shared" si="115"/>
        <v>61</v>
      </c>
      <c r="M2494" s="4">
        <f t="shared" si="116"/>
        <v>8.7142857142857147E-2</v>
      </c>
      <c r="N2494">
        <v>700</v>
      </c>
      <c r="O2494">
        <v>640</v>
      </c>
      <c r="P2494" t="s">
        <v>25</v>
      </c>
      <c r="Q2494" t="s">
        <v>26</v>
      </c>
      <c r="R2494" t="str">
        <f>IF(COUNTIF(Sheet2!B:B, A2494) &gt; 0, "Yes", "No")</f>
        <v>Yes</v>
      </c>
    </row>
    <row r="2495" spans="1:18" x14ac:dyDescent="0.25">
      <c r="A2495" s="3">
        <v>45492</v>
      </c>
      <c r="B2495" t="s">
        <v>285</v>
      </c>
      <c r="C2495" t="s">
        <v>79</v>
      </c>
      <c r="D2495" t="s">
        <v>20</v>
      </c>
      <c r="E2495" t="s">
        <v>21</v>
      </c>
      <c r="F2495" t="s">
        <v>30</v>
      </c>
      <c r="G2495" t="s">
        <v>55</v>
      </c>
      <c r="H2495" t="s">
        <v>83</v>
      </c>
      <c r="I2495" s="5">
        <v>0.06</v>
      </c>
      <c r="J2495">
        <f t="shared" si="114"/>
        <v>38.4</v>
      </c>
      <c r="K2495">
        <v>2</v>
      </c>
      <c r="L2495">
        <f t="shared" si="115"/>
        <v>36.4</v>
      </c>
      <c r="M2495" s="4">
        <f t="shared" si="116"/>
        <v>5.1999999999999998E-2</v>
      </c>
      <c r="N2495">
        <v>700</v>
      </c>
      <c r="O2495">
        <v>640</v>
      </c>
      <c r="P2495" t="s">
        <v>25</v>
      </c>
      <c r="Q2495" t="s">
        <v>26</v>
      </c>
      <c r="R2495" t="str">
        <f>IF(COUNTIF(Sheet2!B:B, A2495) &gt; 0, "Yes", "No")</f>
        <v>Yes</v>
      </c>
    </row>
    <row r="2496" spans="1:18" x14ac:dyDescent="0.25">
      <c r="A2496" s="3">
        <v>45492</v>
      </c>
      <c r="B2496" t="s">
        <v>285</v>
      </c>
      <c r="C2496" t="s">
        <v>79</v>
      </c>
      <c r="D2496" t="s">
        <v>33</v>
      </c>
      <c r="E2496" t="s">
        <v>21</v>
      </c>
      <c r="F2496" t="s">
        <v>84</v>
      </c>
      <c r="G2496" t="s">
        <v>177</v>
      </c>
      <c r="H2496" t="s">
        <v>220</v>
      </c>
      <c r="I2496" s="5">
        <v>0.3</v>
      </c>
      <c r="J2496">
        <f t="shared" si="114"/>
        <v>150</v>
      </c>
      <c r="K2496">
        <v>0</v>
      </c>
      <c r="L2496">
        <f t="shared" si="115"/>
        <v>150</v>
      </c>
      <c r="M2496" s="4">
        <f t="shared" si="116"/>
        <v>0.26785714285714285</v>
      </c>
      <c r="N2496">
        <v>560</v>
      </c>
      <c r="O2496">
        <v>500</v>
      </c>
      <c r="P2496" t="s">
        <v>25</v>
      </c>
      <c r="Q2496" t="s">
        <v>26</v>
      </c>
      <c r="R2496" t="str">
        <f>IF(COUNTIF(Sheet2!B:B, A2496) &gt; 0, "Yes", "No")</f>
        <v>Yes</v>
      </c>
    </row>
    <row r="2497" spans="1:18" x14ac:dyDescent="0.25">
      <c r="A2497" s="3">
        <v>45492</v>
      </c>
      <c r="B2497" t="s">
        <v>285</v>
      </c>
      <c r="C2497" t="s">
        <v>79</v>
      </c>
      <c r="D2497" t="s">
        <v>20</v>
      </c>
      <c r="E2497" t="s">
        <v>21</v>
      </c>
      <c r="F2497" t="s">
        <v>37</v>
      </c>
      <c r="G2497" t="s">
        <v>71</v>
      </c>
      <c r="H2497" t="s">
        <v>151</v>
      </c>
      <c r="I2497" s="5">
        <v>2.5000000000000001E-2</v>
      </c>
      <c r="J2497">
        <f t="shared" si="114"/>
        <v>16</v>
      </c>
      <c r="K2497">
        <v>2</v>
      </c>
      <c r="L2497">
        <f t="shared" si="115"/>
        <v>14</v>
      </c>
      <c r="M2497" s="4">
        <f t="shared" si="116"/>
        <v>0.02</v>
      </c>
      <c r="N2497">
        <v>700</v>
      </c>
      <c r="O2497">
        <v>640</v>
      </c>
      <c r="P2497" t="s">
        <v>25</v>
      </c>
      <c r="Q2497" t="s">
        <v>26</v>
      </c>
      <c r="R2497" t="str">
        <f>IF(COUNTIF(Sheet2!B:B, A2497) &gt; 0, "Yes", "No")</f>
        <v>Yes</v>
      </c>
    </row>
    <row r="2498" spans="1:18" x14ac:dyDescent="0.25">
      <c r="A2498" s="3">
        <v>45492</v>
      </c>
      <c r="B2498" t="s">
        <v>285</v>
      </c>
      <c r="C2498" t="s">
        <v>79</v>
      </c>
      <c r="D2498" t="s">
        <v>20</v>
      </c>
      <c r="E2498" t="s">
        <v>21</v>
      </c>
      <c r="F2498" t="s">
        <v>40</v>
      </c>
      <c r="G2498" t="s">
        <v>41</v>
      </c>
      <c r="H2498" t="s">
        <v>42</v>
      </c>
      <c r="I2498" s="5">
        <v>0.04</v>
      </c>
      <c r="J2498">
        <f t="shared" si="114"/>
        <v>25.6</v>
      </c>
      <c r="K2498">
        <v>3</v>
      </c>
      <c r="L2498">
        <f t="shared" si="115"/>
        <v>22.6</v>
      </c>
      <c r="M2498" s="4">
        <f t="shared" si="116"/>
        <v>3.2285714285714286E-2</v>
      </c>
      <c r="N2498">
        <v>700</v>
      </c>
      <c r="O2498">
        <v>640</v>
      </c>
      <c r="P2498" t="s">
        <v>25</v>
      </c>
      <c r="Q2498" t="s">
        <v>26</v>
      </c>
      <c r="R2498" t="str">
        <f>IF(COUNTIF(Sheet2!B:B, A2498) &gt; 0, "Yes", "No")</f>
        <v>Yes</v>
      </c>
    </row>
    <row r="2499" spans="1:18" x14ac:dyDescent="0.25">
      <c r="A2499" s="3">
        <v>45492</v>
      </c>
      <c r="B2499" t="s">
        <v>285</v>
      </c>
      <c r="C2499" t="s">
        <v>79</v>
      </c>
      <c r="D2499" t="s">
        <v>20</v>
      </c>
      <c r="E2499" t="s">
        <v>21</v>
      </c>
      <c r="F2499" t="s">
        <v>43</v>
      </c>
      <c r="G2499" t="s">
        <v>44</v>
      </c>
      <c r="H2499" t="s">
        <v>644</v>
      </c>
      <c r="I2499" s="5">
        <v>7.4999999999999997E-2</v>
      </c>
      <c r="J2499">
        <f t="shared" ref="J2499:J2562" si="117">I2499*O2499</f>
        <v>48</v>
      </c>
      <c r="K2499">
        <v>4</v>
      </c>
      <c r="L2499">
        <f t="shared" ref="L2499:L2562" si="118">J2499-K2499</f>
        <v>44</v>
      </c>
      <c r="M2499" s="4">
        <f t="shared" ref="M2499:M2562" si="119">((I2499*O2499)-K2499)/N2499</f>
        <v>6.2857142857142861E-2</v>
      </c>
      <c r="N2499">
        <v>700</v>
      </c>
      <c r="O2499">
        <v>640</v>
      </c>
      <c r="P2499" t="s">
        <v>25</v>
      </c>
      <c r="Q2499" t="s">
        <v>26</v>
      </c>
      <c r="R2499" t="str">
        <f>IF(COUNTIF(Sheet2!B:B, A2499) &gt; 0, "Yes", "No")</f>
        <v>Yes</v>
      </c>
    </row>
    <row r="2500" spans="1:18" x14ac:dyDescent="0.25">
      <c r="A2500" s="3">
        <v>45492</v>
      </c>
      <c r="B2500" t="s">
        <v>285</v>
      </c>
      <c r="C2500" t="s">
        <v>79</v>
      </c>
      <c r="D2500" t="s">
        <v>20</v>
      </c>
      <c r="E2500" t="s">
        <v>21</v>
      </c>
      <c r="F2500" t="s">
        <v>46</v>
      </c>
      <c r="G2500" t="s">
        <v>169</v>
      </c>
      <c r="H2500" t="s">
        <v>170</v>
      </c>
      <c r="I2500" s="5">
        <v>0.06</v>
      </c>
      <c r="J2500">
        <f t="shared" si="117"/>
        <v>38.4</v>
      </c>
      <c r="K2500">
        <v>2</v>
      </c>
      <c r="L2500">
        <f t="shared" si="118"/>
        <v>36.4</v>
      </c>
      <c r="M2500" s="4">
        <f t="shared" si="119"/>
        <v>5.1999999999999998E-2</v>
      </c>
      <c r="N2500">
        <v>700</v>
      </c>
      <c r="O2500">
        <v>640</v>
      </c>
      <c r="P2500" t="s">
        <v>25</v>
      </c>
      <c r="Q2500" t="s">
        <v>26</v>
      </c>
      <c r="R2500" t="str">
        <f>IF(COUNTIF(Sheet2!B:B, A2500) &gt; 0, "Yes", "No")</f>
        <v>Yes</v>
      </c>
    </row>
    <row r="2501" spans="1:18" x14ac:dyDescent="0.25">
      <c r="A2501" s="3">
        <v>45492</v>
      </c>
      <c r="B2501" t="s">
        <v>285</v>
      </c>
      <c r="C2501" t="s">
        <v>79</v>
      </c>
      <c r="D2501" t="s">
        <v>20</v>
      </c>
      <c r="E2501" t="s">
        <v>21</v>
      </c>
      <c r="F2501" t="s">
        <v>49</v>
      </c>
      <c r="G2501" t="s">
        <v>50</v>
      </c>
      <c r="H2501" t="s">
        <v>49</v>
      </c>
      <c r="I2501" s="5">
        <v>0.04</v>
      </c>
      <c r="J2501">
        <f t="shared" si="117"/>
        <v>25.6</v>
      </c>
      <c r="K2501">
        <v>0.5</v>
      </c>
      <c r="L2501">
        <f t="shared" si="118"/>
        <v>25.1</v>
      </c>
      <c r="M2501" s="4">
        <f t="shared" si="119"/>
        <v>3.5857142857142858E-2</v>
      </c>
      <c r="N2501">
        <v>700</v>
      </c>
      <c r="O2501">
        <v>640</v>
      </c>
      <c r="P2501" t="s">
        <v>25</v>
      </c>
      <c r="Q2501" t="s">
        <v>26</v>
      </c>
      <c r="R2501" t="str">
        <f>IF(COUNTIF(Sheet2!B:B, A2501) &gt; 0, "Yes", "No")</f>
        <v>Yes</v>
      </c>
    </row>
    <row r="2502" spans="1:18" x14ac:dyDescent="0.25">
      <c r="A2502" s="3">
        <v>45495</v>
      </c>
      <c r="B2502" t="s">
        <v>285</v>
      </c>
      <c r="C2502" t="s">
        <v>19</v>
      </c>
      <c r="D2502" t="s">
        <v>20</v>
      </c>
      <c r="E2502" t="s">
        <v>21</v>
      </c>
      <c r="F2502" t="s">
        <v>22</v>
      </c>
      <c r="G2502" t="s">
        <v>52</v>
      </c>
      <c r="H2502" t="s">
        <v>370</v>
      </c>
      <c r="I2502">
        <v>8.5000000000000006E-2</v>
      </c>
      <c r="J2502">
        <f t="shared" si="117"/>
        <v>56.95</v>
      </c>
      <c r="K2502">
        <v>1</v>
      </c>
      <c r="L2502">
        <f t="shared" si="118"/>
        <v>55.95</v>
      </c>
      <c r="M2502" s="4">
        <f t="shared" si="119"/>
        <v>7.46E-2</v>
      </c>
      <c r="N2502">
        <v>750</v>
      </c>
      <c r="O2502">
        <v>670</v>
      </c>
      <c r="P2502" t="s">
        <v>25</v>
      </c>
      <c r="Q2502" t="s">
        <v>26</v>
      </c>
      <c r="R2502" t="str">
        <f>IF(COUNTIF(Sheet2!B:B, A2502) &gt; 0, "Yes", "No")</f>
        <v>No</v>
      </c>
    </row>
    <row r="2503" spans="1:18" x14ac:dyDescent="0.25">
      <c r="A2503" s="3">
        <v>45495</v>
      </c>
      <c r="B2503" t="s">
        <v>285</v>
      </c>
      <c r="C2503" t="s">
        <v>19</v>
      </c>
      <c r="D2503" t="s">
        <v>20</v>
      </c>
      <c r="E2503" t="s">
        <v>21</v>
      </c>
      <c r="F2503" t="s">
        <v>27</v>
      </c>
      <c r="G2503" t="s">
        <v>190</v>
      </c>
      <c r="H2503" t="s">
        <v>384</v>
      </c>
      <c r="I2503">
        <v>0.11</v>
      </c>
      <c r="J2503">
        <f t="shared" si="117"/>
        <v>73.7</v>
      </c>
      <c r="K2503">
        <v>4</v>
      </c>
      <c r="L2503">
        <f t="shared" si="118"/>
        <v>69.7</v>
      </c>
      <c r="M2503" s="4">
        <f t="shared" si="119"/>
        <v>9.293333333333334E-2</v>
      </c>
      <c r="N2503">
        <v>750</v>
      </c>
      <c r="O2503">
        <v>670</v>
      </c>
      <c r="P2503" t="s">
        <v>25</v>
      </c>
      <c r="Q2503" t="s">
        <v>26</v>
      </c>
      <c r="R2503" t="str">
        <f>IF(COUNTIF(Sheet2!B:B, A2503) &gt; 0, "Yes", "No")</f>
        <v>No</v>
      </c>
    </row>
    <row r="2504" spans="1:18" x14ac:dyDescent="0.25">
      <c r="A2504" s="3">
        <v>45495</v>
      </c>
      <c r="B2504" t="s">
        <v>285</v>
      </c>
      <c r="C2504" t="s">
        <v>19</v>
      </c>
      <c r="D2504" t="s">
        <v>20</v>
      </c>
      <c r="E2504" t="s">
        <v>21</v>
      </c>
      <c r="F2504" t="s">
        <v>30</v>
      </c>
      <c r="G2504" t="s">
        <v>55</v>
      </c>
      <c r="H2504" t="s">
        <v>56</v>
      </c>
      <c r="I2504">
        <v>0.09</v>
      </c>
      <c r="J2504">
        <f t="shared" si="117"/>
        <v>60.3</v>
      </c>
      <c r="K2504">
        <v>1</v>
      </c>
      <c r="L2504">
        <f t="shared" si="118"/>
        <v>59.3</v>
      </c>
      <c r="M2504" s="4">
        <f t="shared" si="119"/>
        <v>7.906666666666666E-2</v>
      </c>
      <c r="N2504">
        <v>750</v>
      </c>
      <c r="O2504">
        <v>670</v>
      </c>
      <c r="P2504" t="s">
        <v>25</v>
      </c>
      <c r="Q2504" t="s">
        <v>26</v>
      </c>
      <c r="R2504" t="str">
        <f>IF(COUNTIF(Sheet2!B:B, A2504) &gt; 0, "Yes", "No")</f>
        <v>No</v>
      </c>
    </row>
    <row r="2505" spans="1:18" x14ac:dyDescent="0.25">
      <c r="A2505" s="3">
        <v>45495</v>
      </c>
      <c r="B2505" t="s">
        <v>285</v>
      </c>
      <c r="C2505" t="s">
        <v>19</v>
      </c>
      <c r="D2505" t="s">
        <v>33</v>
      </c>
      <c r="E2505" t="s">
        <v>21</v>
      </c>
      <c r="F2505" t="s">
        <v>34</v>
      </c>
      <c r="G2505" t="s">
        <v>35</v>
      </c>
      <c r="H2505" t="s">
        <v>287</v>
      </c>
      <c r="I2505">
        <v>0.15</v>
      </c>
      <c r="J2505">
        <f t="shared" si="117"/>
        <v>63</v>
      </c>
      <c r="K2505">
        <v>2</v>
      </c>
      <c r="L2505">
        <f t="shared" si="118"/>
        <v>61</v>
      </c>
      <c r="M2505" s="4">
        <f t="shared" si="119"/>
        <v>0.11619047619047619</v>
      </c>
      <c r="N2505">
        <v>525</v>
      </c>
      <c r="O2505">
        <v>420</v>
      </c>
      <c r="P2505" t="s">
        <v>25</v>
      </c>
      <c r="Q2505" t="s">
        <v>26</v>
      </c>
      <c r="R2505" t="str">
        <f>IF(COUNTIF(Sheet2!B:B, A2505) &gt; 0, "Yes", "No")</f>
        <v>No</v>
      </c>
    </row>
    <row r="2506" spans="1:18" x14ac:dyDescent="0.25">
      <c r="A2506" s="3">
        <v>45495</v>
      </c>
      <c r="B2506" t="s">
        <v>285</v>
      </c>
      <c r="C2506" t="s">
        <v>19</v>
      </c>
      <c r="D2506" t="s">
        <v>20</v>
      </c>
      <c r="E2506" t="s">
        <v>21</v>
      </c>
      <c r="F2506" t="s">
        <v>37</v>
      </c>
      <c r="G2506" t="s">
        <v>71</v>
      </c>
      <c r="H2506" t="s">
        <v>151</v>
      </c>
      <c r="I2506">
        <v>0.03</v>
      </c>
      <c r="J2506">
        <f t="shared" si="117"/>
        <v>20.099999999999998</v>
      </c>
      <c r="K2506">
        <v>2</v>
      </c>
      <c r="L2506">
        <f t="shared" si="118"/>
        <v>18.099999999999998</v>
      </c>
      <c r="M2506" s="4">
        <f t="shared" si="119"/>
        <v>2.413333333333333E-2</v>
      </c>
      <c r="N2506">
        <v>750</v>
      </c>
      <c r="O2506">
        <v>670</v>
      </c>
      <c r="P2506" t="s">
        <v>25</v>
      </c>
      <c r="Q2506" t="s">
        <v>26</v>
      </c>
      <c r="R2506" t="str">
        <f>IF(COUNTIF(Sheet2!B:B, A2506) &gt; 0, "Yes", "No")</f>
        <v>No</v>
      </c>
    </row>
    <row r="2507" spans="1:18" x14ac:dyDescent="0.25">
      <c r="A2507" s="3">
        <v>45495</v>
      </c>
      <c r="B2507" t="s">
        <v>285</v>
      </c>
      <c r="C2507" t="s">
        <v>19</v>
      </c>
      <c r="D2507" t="s">
        <v>20</v>
      </c>
      <c r="E2507" t="s">
        <v>21</v>
      </c>
      <c r="F2507" t="s">
        <v>40</v>
      </c>
      <c r="G2507" t="s">
        <v>164</v>
      </c>
      <c r="H2507" t="s">
        <v>202</v>
      </c>
      <c r="I2507">
        <v>4.4999999999999998E-2</v>
      </c>
      <c r="J2507">
        <f t="shared" si="117"/>
        <v>30.15</v>
      </c>
      <c r="K2507">
        <v>3</v>
      </c>
      <c r="L2507">
        <f t="shared" si="118"/>
        <v>27.15</v>
      </c>
      <c r="M2507" s="4">
        <f t="shared" si="119"/>
        <v>3.6199999999999996E-2</v>
      </c>
      <c r="N2507">
        <v>750</v>
      </c>
      <c r="O2507">
        <v>670</v>
      </c>
      <c r="P2507" t="s">
        <v>25</v>
      </c>
      <c r="Q2507" t="s">
        <v>26</v>
      </c>
      <c r="R2507" t="str">
        <f>IF(COUNTIF(Sheet2!B:B, A2507) &gt; 0, "Yes", "No")</f>
        <v>No</v>
      </c>
    </row>
    <row r="2508" spans="1:18" x14ac:dyDescent="0.25">
      <c r="A2508" s="3">
        <v>45495</v>
      </c>
      <c r="B2508" t="s">
        <v>285</v>
      </c>
      <c r="C2508" t="s">
        <v>19</v>
      </c>
      <c r="D2508" t="s">
        <v>20</v>
      </c>
      <c r="E2508" t="s">
        <v>21</v>
      </c>
      <c r="F2508" t="s">
        <v>43</v>
      </c>
      <c r="G2508" t="s">
        <v>90</v>
      </c>
      <c r="H2508" t="s">
        <v>645</v>
      </c>
      <c r="I2508">
        <v>0.11</v>
      </c>
      <c r="J2508">
        <f t="shared" si="117"/>
        <v>73.7</v>
      </c>
      <c r="K2508">
        <v>3</v>
      </c>
      <c r="L2508">
        <f t="shared" si="118"/>
        <v>70.7</v>
      </c>
      <c r="M2508" s="4">
        <f t="shared" si="119"/>
        <v>9.4266666666666665E-2</v>
      </c>
      <c r="N2508">
        <v>750</v>
      </c>
      <c r="O2508">
        <v>670</v>
      </c>
      <c r="P2508" t="s">
        <v>25</v>
      </c>
      <c r="Q2508" t="s">
        <v>26</v>
      </c>
      <c r="R2508" t="str">
        <f>IF(COUNTIF(Sheet2!B:B, A2508) &gt; 0, "Yes", "No")</f>
        <v>No</v>
      </c>
    </row>
    <row r="2509" spans="1:18" x14ac:dyDescent="0.25">
      <c r="A2509" s="3">
        <v>45495</v>
      </c>
      <c r="B2509" t="s">
        <v>285</v>
      </c>
      <c r="C2509" t="s">
        <v>19</v>
      </c>
      <c r="D2509" t="s">
        <v>20</v>
      </c>
      <c r="E2509" t="s">
        <v>21</v>
      </c>
      <c r="F2509" t="s">
        <v>46</v>
      </c>
      <c r="G2509" t="s">
        <v>92</v>
      </c>
      <c r="H2509" t="s">
        <v>646</v>
      </c>
      <c r="I2509">
        <v>8.5000000000000006E-2</v>
      </c>
      <c r="J2509">
        <f t="shared" si="117"/>
        <v>56.95</v>
      </c>
      <c r="K2509">
        <v>4</v>
      </c>
      <c r="L2509">
        <f t="shared" si="118"/>
        <v>52.95</v>
      </c>
      <c r="M2509" s="4">
        <f t="shared" si="119"/>
        <v>7.060000000000001E-2</v>
      </c>
      <c r="N2509">
        <v>750</v>
      </c>
      <c r="O2509">
        <v>670</v>
      </c>
      <c r="P2509" t="s">
        <v>25</v>
      </c>
      <c r="Q2509" t="s">
        <v>26</v>
      </c>
      <c r="R2509" t="str">
        <f>IF(COUNTIF(Sheet2!B:B, A2509) &gt; 0, "Yes", "No")</f>
        <v>No</v>
      </c>
    </row>
    <row r="2510" spans="1:18" x14ac:dyDescent="0.25">
      <c r="A2510" s="3">
        <v>45495</v>
      </c>
      <c r="B2510" t="s">
        <v>285</v>
      </c>
      <c r="C2510" t="s">
        <v>19</v>
      </c>
      <c r="D2510" t="s">
        <v>20</v>
      </c>
      <c r="E2510" t="s">
        <v>21</v>
      </c>
      <c r="F2510" t="s">
        <v>49</v>
      </c>
      <c r="G2510" t="s">
        <v>50</v>
      </c>
      <c r="H2510" t="s">
        <v>49</v>
      </c>
      <c r="I2510">
        <v>0.09</v>
      </c>
      <c r="J2510">
        <f t="shared" si="117"/>
        <v>60.3</v>
      </c>
      <c r="K2510">
        <v>3</v>
      </c>
      <c r="L2510">
        <f t="shared" si="118"/>
        <v>57.3</v>
      </c>
      <c r="M2510" s="4">
        <f t="shared" si="119"/>
        <v>7.6399999999999996E-2</v>
      </c>
      <c r="N2510">
        <v>750</v>
      </c>
      <c r="O2510">
        <v>670</v>
      </c>
      <c r="P2510" t="s">
        <v>25</v>
      </c>
      <c r="Q2510" t="s">
        <v>26</v>
      </c>
      <c r="R2510" t="str">
        <f>IF(COUNTIF(Sheet2!B:B, A2510) &gt; 0, "Yes", "No")</f>
        <v>No</v>
      </c>
    </row>
    <row r="2511" spans="1:18" x14ac:dyDescent="0.25">
      <c r="A2511" s="3">
        <v>45496</v>
      </c>
      <c r="B2511" t="s">
        <v>285</v>
      </c>
      <c r="C2511" t="s">
        <v>105</v>
      </c>
      <c r="D2511" t="s">
        <v>20</v>
      </c>
      <c r="E2511" t="s">
        <v>67</v>
      </c>
      <c r="F2511" t="s">
        <v>22</v>
      </c>
      <c r="G2511" t="s">
        <v>94</v>
      </c>
      <c r="H2511" t="s">
        <v>647</v>
      </c>
      <c r="I2511">
        <v>8.5000000000000006E-2</v>
      </c>
      <c r="J2511">
        <f t="shared" si="117"/>
        <v>53.550000000000004</v>
      </c>
      <c r="K2511">
        <v>0</v>
      </c>
      <c r="L2511">
        <f t="shared" si="118"/>
        <v>53.550000000000004</v>
      </c>
      <c r="M2511" s="4">
        <f t="shared" si="119"/>
        <v>7.6500000000000012E-2</v>
      </c>
      <c r="N2511">
        <v>700</v>
      </c>
      <c r="O2511">
        <v>630</v>
      </c>
      <c r="P2511" t="s">
        <v>25</v>
      </c>
      <c r="Q2511" t="s">
        <v>26</v>
      </c>
      <c r="R2511" t="str">
        <f>IF(COUNTIF(Sheet2!B:B, A2511) &gt; 0, "Yes", "No")</f>
        <v>No</v>
      </c>
    </row>
    <row r="2512" spans="1:18" x14ac:dyDescent="0.25">
      <c r="A2512" s="3">
        <v>45496</v>
      </c>
      <c r="B2512" t="s">
        <v>285</v>
      </c>
      <c r="C2512" t="s">
        <v>105</v>
      </c>
      <c r="D2512" t="s">
        <v>20</v>
      </c>
      <c r="E2512" t="s">
        <v>67</v>
      </c>
      <c r="F2512" t="s">
        <v>27</v>
      </c>
      <c r="G2512" t="s">
        <v>28</v>
      </c>
      <c r="H2512" t="s">
        <v>648</v>
      </c>
      <c r="I2512">
        <v>0.11</v>
      </c>
      <c r="J2512">
        <f t="shared" si="117"/>
        <v>69.3</v>
      </c>
      <c r="K2512">
        <v>2</v>
      </c>
      <c r="L2512">
        <f t="shared" si="118"/>
        <v>67.3</v>
      </c>
      <c r="M2512" s="4">
        <f t="shared" si="119"/>
        <v>9.6142857142857141E-2</v>
      </c>
      <c r="N2512">
        <v>700</v>
      </c>
      <c r="O2512">
        <v>630</v>
      </c>
      <c r="P2512" t="s">
        <v>25</v>
      </c>
      <c r="Q2512" t="s">
        <v>26</v>
      </c>
      <c r="R2512" t="str">
        <f>IF(COUNTIF(Sheet2!B:B, A2512) &gt; 0, "Yes", "No")</f>
        <v>No</v>
      </c>
    </row>
    <row r="2513" spans="1:18" x14ac:dyDescent="0.25">
      <c r="A2513" s="3">
        <v>45496</v>
      </c>
      <c r="B2513" t="s">
        <v>285</v>
      </c>
      <c r="C2513" t="s">
        <v>105</v>
      </c>
      <c r="D2513" t="s">
        <v>20</v>
      </c>
      <c r="E2513" t="s">
        <v>67</v>
      </c>
      <c r="F2513" t="s">
        <v>30</v>
      </c>
      <c r="G2513" t="s">
        <v>31</v>
      </c>
      <c r="H2513" t="s">
        <v>31</v>
      </c>
      <c r="I2513">
        <v>0.09</v>
      </c>
      <c r="J2513">
        <f t="shared" si="117"/>
        <v>56.699999999999996</v>
      </c>
      <c r="K2513">
        <v>2</v>
      </c>
      <c r="L2513">
        <f t="shared" si="118"/>
        <v>54.699999999999996</v>
      </c>
      <c r="M2513" s="4">
        <f t="shared" si="119"/>
        <v>7.8142857142857139E-2</v>
      </c>
      <c r="N2513">
        <v>700</v>
      </c>
      <c r="O2513">
        <v>630</v>
      </c>
      <c r="P2513" t="s">
        <v>25</v>
      </c>
      <c r="Q2513" t="s">
        <v>26</v>
      </c>
      <c r="R2513" t="str">
        <f>IF(COUNTIF(Sheet2!B:B, A2513) &gt; 0, "Yes", "No")</f>
        <v>No</v>
      </c>
    </row>
    <row r="2514" spans="1:18" x14ac:dyDescent="0.25">
      <c r="A2514" s="3">
        <v>45496</v>
      </c>
      <c r="B2514" t="s">
        <v>285</v>
      </c>
      <c r="C2514" t="s">
        <v>105</v>
      </c>
      <c r="D2514" t="s">
        <v>20</v>
      </c>
      <c r="E2514" t="s">
        <v>67</v>
      </c>
      <c r="F2514" t="s">
        <v>37</v>
      </c>
      <c r="G2514" t="s">
        <v>117</v>
      </c>
      <c r="H2514" t="s">
        <v>421</v>
      </c>
      <c r="I2514">
        <v>3.5000000000000003E-2</v>
      </c>
      <c r="J2514">
        <f t="shared" si="117"/>
        <v>22.05</v>
      </c>
      <c r="K2514">
        <v>1</v>
      </c>
      <c r="L2514">
        <f t="shared" si="118"/>
        <v>21.05</v>
      </c>
      <c r="M2514" s="4">
        <f t="shared" si="119"/>
        <v>3.0071428571428572E-2</v>
      </c>
      <c r="N2514">
        <v>700</v>
      </c>
      <c r="O2514">
        <v>630</v>
      </c>
      <c r="P2514" t="s">
        <v>25</v>
      </c>
      <c r="Q2514" t="s">
        <v>26</v>
      </c>
      <c r="R2514" t="str">
        <f>IF(COUNTIF(Sheet2!B:B, A2514) &gt; 0, "Yes", "No")</f>
        <v>No</v>
      </c>
    </row>
    <row r="2515" spans="1:18" x14ac:dyDescent="0.25">
      <c r="A2515" s="3">
        <v>45496</v>
      </c>
      <c r="B2515" t="s">
        <v>285</v>
      </c>
      <c r="C2515" t="s">
        <v>105</v>
      </c>
      <c r="D2515" t="s">
        <v>20</v>
      </c>
      <c r="E2515" t="s">
        <v>67</v>
      </c>
      <c r="F2515" t="s">
        <v>40</v>
      </c>
      <c r="G2515" t="s">
        <v>127</v>
      </c>
      <c r="H2515" t="s">
        <v>127</v>
      </c>
      <c r="I2515">
        <v>0.05</v>
      </c>
      <c r="J2515">
        <f t="shared" si="117"/>
        <v>31.5</v>
      </c>
      <c r="K2515">
        <v>2</v>
      </c>
      <c r="L2515">
        <f t="shared" si="118"/>
        <v>29.5</v>
      </c>
      <c r="M2515" s="4">
        <f t="shared" si="119"/>
        <v>4.2142857142857142E-2</v>
      </c>
      <c r="N2515">
        <v>700</v>
      </c>
      <c r="O2515">
        <v>630</v>
      </c>
      <c r="P2515" t="s">
        <v>25</v>
      </c>
      <c r="Q2515" t="s">
        <v>26</v>
      </c>
      <c r="R2515" t="str">
        <f>IF(COUNTIF(Sheet2!B:B, A2515) &gt; 0, "Yes", "No")</f>
        <v>No</v>
      </c>
    </row>
    <row r="2516" spans="1:18" x14ac:dyDescent="0.25">
      <c r="A2516" s="3">
        <v>45496</v>
      </c>
      <c r="B2516" t="s">
        <v>285</v>
      </c>
      <c r="C2516" t="s">
        <v>105</v>
      </c>
      <c r="D2516" t="s">
        <v>20</v>
      </c>
      <c r="E2516" t="s">
        <v>67</v>
      </c>
      <c r="F2516" t="s">
        <v>43</v>
      </c>
      <c r="G2516" t="s">
        <v>44</v>
      </c>
      <c r="H2516" t="s">
        <v>649</v>
      </c>
      <c r="I2516">
        <v>0.11</v>
      </c>
      <c r="J2516">
        <f t="shared" si="117"/>
        <v>69.3</v>
      </c>
      <c r="K2516">
        <v>0</v>
      </c>
      <c r="L2516">
        <f t="shared" si="118"/>
        <v>69.3</v>
      </c>
      <c r="M2516" s="4">
        <f t="shared" si="119"/>
        <v>9.8999999999999991E-2</v>
      </c>
      <c r="N2516">
        <v>700</v>
      </c>
      <c r="O2516">
        <v>630</v>
      </c>
      <c r="P2516" t="s">
        <v>25</v>
      </c>
      <c r="Q2516" t="s">
        <v>26</v>
      </c>
      <c r="R2516" t="str">
        <f>IF(COUNTIF(Sheet2!B:B, A2516) &gt; 0, "Yes", "No")</f>
        <v>No</v>
      </c>
    </row>
    <row r="2517" spans="1:18" x14ac:dyDescent="0.25">
      <c r="A2517" s="3">
        <v>45496</v>
      </c>
      <c r="B2517" t="s">
        <v>285</v>
      </c>
      <c r="C2517" t="s">
        <v>105</v>
      </c>
      <c r="D2517" t="s">
        <v>20</v>
      </c>
      <c r="E2517" t="s">
        <v>67</v>
      </c>
      <c r="F2517" t="s">
        <v>46</v>
      </c>
      <c r="G2517" t="s">
        <v>47</v>
      </c>
      <c r="H2517" t="s">
        <v>141</v>
      </c>
      <c r="I2517">
        <v>8.5000000000000006E-2</v>
      </c>
      <c r="J2517">
        <f t="shared" si="117"/>
        <v>53.550000000000004</v>
      </c>
      <c r="K2517">
        <v>1</v>
      </c>
      <c r="L2517">
        <f t="shared" si="118"/>
        <v>52.550000000000004</v>
      </c>
      <c r="M2517" s="4">
        <f t="shared" si="119"/>
        <v>7.5071428571428581E-2</v>
      </c>
      <c r="N2517">
        <v>700</v>
      </c>
      <c r="O2517">
        <v>630</v>
      </c>
      <c r="P2517" t="s">
        <v>25</v>
      </c>
      <c r="Q2517" t="s">
        <v>26</v>
      </c>
      <c r="R2517" t="str">
        <f>IF(COUNTIF(Sheet2!B:B, A2517) &gt; 0, "Yes", "No")</f>
        <v>No</v>
      </c>
    </row>
    <row r="2518" spans="1:18" x14ac:dyDescent="0.25">
      <c r="A2518" s="3">
        <v>45496</v>
      </c>
      <c r="B2518" t="s">
        <v>285</v>
      </c>
      <c r="C2518" t="s">
        <v>105</v>
      </c>
      <c r="D2518" t="s">
        <v>20</v>
      </c>
      <c r="E2518" t="s">
        <v>67</v>
      </c>
      <c r="F2518" t="s">
        <v>49</v>
      </c>
      <c r="G2518" t="s">
        <v>50</v>
      </c>
      <c r="H2518" t="s">
        <v>49</v>
      </c>
      <c r="I2518">
        <v>0.09</v>
      </c>
      <c r="J2518">
        <f t="shared" si="117"/>
        <v>56.699999999999996</v>
      </c>
      <c r="K2518">
        <v>2</v>
      </c>
      <c r="L2518">
        <f t="shared" si="118"/>
        <v>54.699999999999996</v>
      </c>
      <c r="M2518" s="4">
        <f t="shared" si="119"/>
        <v>7.8142857142857139E-2</v>
      </c>
      <c r="N2518">
        <v>700</v>
      </c>
      <c r="O2518">
        <v>630</v>
      </c>
      <c r="P2518" t="s">
        <v>25</v>
      </c>
      <c r="Q2518" t="s">
        <v>26</v>
      </c>
      <c r="R2518" t="str">
        <f>IF(COUNTIF(Sheet2!B:B, A2518) &gt; 0, "Yes", "No")</f>
        <v>No</v>
      </c>
    </row>
    <row r="2519" spans="1:18" x14ac:dyDescent="0.25">
      <c r="A2519" s="3">
        <v>45497</v>
      </c>
      <c r="B2519" t="s">
        <v>285</v>
      </c>
      <c r="C2519" t="s">
        <v>51</v>
      </c>
      <c r="D2519" t="s">
        <v>20</v>
      </c>
      <c r="E2519" t="s">
        <v>21</v>
      </c>
      <c r="F2519" t="s">
        <v>22</v>
      </c>
      <c r="G2519" t="s">
        <v>94</v>
      </c>
      <c r="H2519" t="s">
        <v>650</v>
      </c>
      <c r="I2519">
        <v>8.5000000000000006E-2</v>
      </c>
      <c r="J2519">
        <f t="shared" si="117"/>
        <v>57.800000000000004</v>
      </c>
      <c r="K2519">
        <v>2</v>
      </c>
      <c r="L2519">
        <f t="shared" si="118"/>
        <v>55.800000000000004</v>
      </c>
      <c r="M2519" s="4">
        <f t="shared" si="119"/>
        <v>7.4400000000000008E-2</v>
      </c>
      <c r="N2519">
        <v>750</v>
      </c>
      <c r="O2519">
        <v>680</v>
      </c>
      <c r="P2519" t="s">
        <v>25</v>
      </c>
      <c r="Q2519" t="s">
        <v>26</v>
      </c>
      <c r="R2519" t="str">
        <f>IF(COUNTIF(Sheet2!B:B, A2519) &gt; 0, "Yes", "No")</f>
        <v>No</v>
      </c>
    </row>
    <row r="2520" spans="1:18" x14ac:dyDescent="0.25">
      <c r="A2520" s="3">
        <v>45497</v>
      </c>
      <c r="B2520" t="s">
        <v>285</v>
      </c>
      <c r="C2520" t="s">
        <v>51</v>
      </c>
      <c r="D2520" t="s">
        <v>20</v>
      </c>
      <c r="E2520" t="s">
        <v>21</v>
      </c>
      <c r="F2520" t="s">
        <v>27</v>
      </c>
      <c r="G2520" t="s">
        <v>304</v>
      </c>
      <c r="H2520" t="s">
        <v>651</v>
      </c>
      <c r="I2520">
        <v>0.12</v>
      </c>
      <c r="J2520">
        <f t="shared" si="117"/>
        <v>81.599999999999994</v>
      </c>
      <c r="K2520">
        <v>0</v>
      </c>
      <c r="L2520">
        <f t="shared" si="118"/>
        <v>81.599999999999994</v>
      </c>
      <c r="M2520" s="4">
        <f t="shared" si="119"/>
        <v>0.10879999999999999</v>
      </c>
      <c r="N2520">
        <v>750</v>
      </c>
      <c r="O2520">
        <v>680</v>
      </c>
      <c r="P2520" t="s">
        <v>25</v>
      </c>
      <c r="Q2520" t="s">
        <v>26</v>
      </c>
      <c r="R2520" t="str">
        <f>IF(COUNTIF(Sheet2!B:B, A2520) &gt; 0, "Yes", "No")</f>
        <v>No</v>
      </c>
    </row>
    <row r="2521" spans="1:18" x14ac:dyDescent="0.25">
      <c r="A2521" s="3">
        <v>45497</v>
      </c>
      <c r="B2521" t="s">
        <v>285</v>
      </c>
      <c r="C2521" t="s">
        <v>51</v>
      </c>
      <c r="D2521" t="s">
        <v>20</v>
      </c>
      <c r="E2521" t="s">
        <v>21</v>
      </c>
      <c r="F2521" t="s">
        <v>30</v>
      </c>
      <c r="G2521" t="s">
        <v>55</v>
      </c>
      <c r="H2521" t="s">
        <v>183</v>
      </c>
      <c r="I2521">
        <v>0.09</v>
      </c>
      <c r="J2521">
        <f t="shared" si="117"/>
        <v>61.199999999999996</v>
      </c>
      <c r="K2521">
        <v>2</v>
      </c>
      <c r="L2521">
        <f t="shared" si="118"/>
        <v>59.199999999999996</v>
      </c>
      <c r="M2521" s="4">
        <f t="shared" si="119"/>
        <v>7.8933333333333328E-2</v>
      </c>
      <c r="N2521">
        <v>750</v>
      </c>
      <c r="O2521">
        <v>680</v>
      </c>
      <c r="P2521" t="s">
        <v>25</v>
      </c>
      <c r="Q2521" t="s">
        <v>26</v>
      </c>
      <c r="R2521" t="str">
        <f>IF(COUNTIF(Sheet2!B:B, A2521) &gt; 0, "Yes", "No")</f>
        <v>No</v>
      </c>
    </row>
    <row r="2522" spans="1:18" x14ac:dyDescent="0.25">
      <c r="A2522" s="3">
        <v>45497</v>
      </c>
      <c r="B2522" t="s">
        <v>285</v>
      </c>
      <c r="C2522" t="s">
        <v>51</v>
      </c>
      <c r="D2522" t="s">
        <v>33</v>
      </c>
      <c r="E2522" t="s">
        <v>21</v>
      </c>
      <c r="F2522" t="s">
        <v>34</v>
      </c>
      <c r="G2522" t="s">
        <v>306</v>
      </c>
      <c r="H2522" t="s">
        <v>652</v>
      </c>
      <c r="I2522">
        <v>0.15</v>
      </c>
      <c r="J2522">
        <f t="shared" si="117"/>
        <v>63</v>
      </c>
      <c r="K2522">
        <v>1</v>
      </c>
      <c r="L2522">
        <f t="shared" si="118"/>
        <v>62</v>
      </c>
      <c r="M2522" s="4">
        <f t="shared" si="119"/>
        <v>0.1180952380952381</v>
      </c>
      <c r="N2522">
        <v>525</v>
      </c>
      <c r="O2522">
        <v>420</v>
      </c>
      <c r="P2522" t="s">
        <v>25</v>
      </c>
      <c r="Q2522" t="s">
        <v>26</v>
      </c>
      <c r="R2522" t="str">
        <f>IF(COUNTIF(Sheet2!B:B, A2522) &gt; 0, "Yes", "No")</f>
        <v>No</v>
      </c>
    </row>
    <row r="2523" spans="1:18" x14ac:dyDescent="0.25">
      <c r="A2523" s="3">
        <v>45497</v>
      </c>
      <c r="B2523" t="s">
        <v>285</v>
      </c>
      <c r="C2523" t="s">
        <v>51</v>
      </c>
      <c r="D2523" t="s">
        <v>20</v>
      </c>
      <c r="E2523" t="s">
        <v>21</v>
      </c>
      <c r="F2523" t="s">
        <v>37</v>
      </c>
      <c r="G2523" t="s">
        <v>87</v>
      </c>
      <c r="H2523" t="s">
        <v>88</v>
      </c>
      <c r="I2523">
        <v>0.03</v>
      </c>
      <c r="J2523">
        <f t="shared" si="117"/>
        <v>20.399999999999999</v>
      </c>
      <c r="K2523">
        <v>2</v>
      </c>
      <c r="L2523">
        <f t="shared" si="118"/>
        <v>18.399999999999999</v>
      </c>
      <c r="M2523" s="4">
        <f t="shared" si="119"/>
        <v>2.4533333333333331E-2</v>
      </c>
      <c r="N2523">
        <v>750</v>
      </c>
      <c r="O2523">
        <v>680</v>
      </c>
      <c r="P2523" t="s">
        <v>25</v>
      </c>
      <c r="Q2523" t="s">
        <v>26</v>
      </c>
      <c r="R2523" t="str">
        <f>IF(COUNTIF(Sheet2!B:B, A2523) &gt; 0, "Yes", "No")</f>
        <v>No</v>
      </c>
    </row>
    <row r="2524" spans="1:18" x14ac:dyDescent="0.25">
      <c r="A2524" s="3">
        <v>45497</v>
      </c>
      <c r="B2524" t="s">
        <v>285</v>
      </c>
      <c r="C2524" t="s">
        <v>51</v>
      </c>
      <c r="D2524" t="s">
        <v>20</v>
      </c>
      <c r="E2524" t="s">
        <v>21</v>
      </c>
      <c r="F2524" t="s">
        <v>40</v>
      </c>
      <c r="G2524" t="s">
        <v>61</v>
      </c>
      <c r="H2524" t="s">
        <v>119</v>
      </c>
      <c r="I2524">
        <v>4.4999999999999998E-2</v>
      </c>
      <c r="J2524">
        <f t="shared" si="117"/>
        <v>30.599999999999998</v>
      </c>
      <c r="K2524">
        <v>2</v>
      </c>
      <c r="L2524">
        <f t="shared" si="118"/>
        <v>28.599999999999998</v>
      </c>
      <c r="M2524" s="4">
        <f t="shared" si="119"/>
        <v>3.8133333333333332E-2</v>
      </c>
      <c r="N2524">
        <v>750</v>
      </c>
      <c r="O2524">
        <v>680</v>
      </c>
      <c r="P2524" t="s">
        <v>25</v>
      </c>
      <c r="Q2524" t="s">
        <v>26</v>
      </c>
      <c r="R2524" t="str">
        <f>IF(COUNTIF(Sheet2!B:B, A2524) &gt; 0, "Yes", "No")</f>
        <v>No</v>
      </c>
    </row>
    <row r="2525" spans="1:18" x14ac:dyDescent="0.25">
      <c r="A2525" s="3">
        <v>45497</v>
      </c>
      <c r="B2525" t="s">
        <v>285</v>
      </c>
      <c r="C2525" t="s">
        <v>51</v>
      </c>
      <c r="D2525" t="s">
        <v>20</v>
      </c>
      <c r="E2525" t="s">
        <v>21</v>
      </c>
      <c r="F2525" t="s">
        <v>43</v>
      </c>
      <c r="G2525" t="s">
        <v>111</v>
      </c>
      <c r="H2525" t="s">
        <v>325</v>
      </c>
      <c r="I2525">
        <v>0.11</v>
      </c>
      <c r="J2525">
        <f t="shared" si="117"/>
        <v>74.8</v>
      </c>
      <c r="K2525">
        <v>2</v>
      </c>
      <c r="L2525">
        <f t="shared" si="118"/>
        <v>72.8</v>
      </c>
      <c r="M2525" s="4">
        <f t="shared" si="119"/>
        <v>9.7066666666666662E-2</v>
      </c>
      <c r="N2525">
        <v>750</v>
      </c>
      <c r="O2525">
        <v>680</v>
      </c>
      <c r="P2525" t="s">
        <v>25</v>
      </c>
      <c r="Q2525" t="s">
        <v>26</v>
      </c>
      <c r="R2525" t="str">
        <f>IF(COUNTIF(Sheet2!B:B, A2525) &gt; 0, "Yes", "No")</f>
        <v>No</v>
      </c>
    </row>
    <row r="2526" spans="1:18" x14ac:dyDescent="0.25">
      <c r="A2526" s="3">
        <v>45497</v>
      </c>
      <c r="B2526" t="s">
        <v>285</v>
      </c>
      <c r="C2526" t="s">
        <v>51</v>
      </c>
      <c r="D2526" t="s">
        <v>20</v>
      </c>
      <c r="E2526" t="s">
        <v>21</v>
      </c>
      <c r="F2526" t="s">
        <v>46</v>
      </c>
      <c r="G2526" t="s">
        <v>103</v>
      </c>
      <c r="H2526" t="s">
        <v>180</v>
      </c>
      <c r="I2526">
        <v>0.09</v>
      </c>
      <c r="J2526">
        <f t="shared" si="117"/>
        <v>61.199999999999996</v>
      </c>
      <c r="K2526">
        <v>0</v>
      </c>
      <c r="L2526">
        <f t="shared" si="118"/>
        <v>61.199999999999996</v>
      </c>
      <c r="M2526" s="4">
        <f t="shared" si="119"/>
        <v>8.1599999999999992E-2</v>
      </c>
      <c r="N2526">
        <v>750</v>
      </c>
      <c r="O2526">
        <v>680</v>
      </c>
      <c r="P2526" t="s">
        <v>25</v>
      </c>
      <c r="Q2526" t="s">
        <v>26</v>
      </c>
      <c r="R2526" t="str">
        <f>IF(COUNTIF(Sheet2!B:B, A2526) &gt; 0, "Yes", "No")</f>
        <v>No</v>
      </c>
    </row>
    <row r="2527" spans="1:18" x14ac:dyDescent="0.25">
      <c r="A2527" s="3">
        <v>45497</v>
      </c>
      <c r="B2527" t="s">
        <v>285</v>
      </c>
      <c r="C2527" t="s">
        <v>51</v>
      </c>
      <c r="D2527" t="s">
        <v>20</v>
      </c>
      <c r="E2527" t="s">
        <v>21</v>
      </c>
      <c r="F2527" t="s">
        <v>49</v>
      </c>
      <c r="G2527" t="s">
        <v>50</v>
      </c>
      <c r="H2527" t="s">
        <v>49</v>
      </c>
      <c r="I2527">
        <v>0.09</v>
      </c>
      <c r="J2527">
        <f t="shared" si="117"/>
        <v>61.199999999999996</v>
      </c>
      <c r="K2527">
        <v>2</v>
      </c>
      <c r="L2527">
        <f t="shared" si="118"/>
        <v>59.199999999999996</v>
      </c>
      <c r="M2527" s="4">
        <f t="shared" si="119"/>
        <v>7.8933333333333328E-2</v>
      </c>
      <c r="N2527">
        <v>750</v>
      </c>
      <c r="O2527">
        <v>680</v>
      </c>
      <c r="P2527" t="s">
        <v>25</v>
      </c>
      <c r="Q2527" t="s">
        <v>26</v>
      </c>
      <c r="R2527" t="str">
        <f>IF(COUNTIF(Sheet2!B:B, A2527) &gt; 0, "Yes", "No")</f>
        <v>No</v>
      </c>
    </row>
    <row r="2528" spans="1:18" x14ac:dyDescent="0.25">
      <c r="A2528" s="3">
        <v>45498</v>
      </c>
      <c r="B2528" t="s">
        <v>285</v>
      </c>
      <c r="C2528" t="s">
        <v>66</v>
      </c>
      <c r="D2528" t="s">
        <v>20</v>
      </c>
      <c r="E2528" t="s">
        <v>67</v>
      </c>
      <c r="F2528" t="s">
        <v>22</v>
      </c>
      <c r="G2528" t="s">
        <v>52</v>
      </c>
      <c r="H2528" t="s">
        <v>653</v>
      </c>
      <c r="I2528">
        <v>8.5000000000000006E-2</v>
      </c>
      <c r="J2528">
        <f t="shared" si="117"/>
        <v>56.95</v>
      </c>
      <c r="K2528">
        <v>1</v>
      </c>
      <c r="L2528">
        <f t="shared" si="118"/>
        <v>55.95</v>
      </c>
      <c r="M2528" s="4">
        <f t="shared" si="119"/>
        <v>7.46E-2</v>
      </c>
      <c r="N2528">
        <v>750</v>
      </c>
      <c r="O2528">
        <v>670</v>
      </c>
      <c r="P2528" t="s">
        <v>25</v>
      </c>
      <c r="Q2528" t="s">
        <v>26</v>
      </c>
      <c r="R2528" t="str">
        <f>IF(COUNTIF(Sheet2!B:B, A2528) &gt; 0, "Yes", "No")</f>
        <v>No</v>
      </c>
    </row>
    <row r="2529" spans="1:18" x14ac:dyDescent="0.25">
      <c r="A2529" s="3">
        <v>45498</v>
      </c>
      <c r="B2529" t="s">
        <v>285</v>
      </c>
      <c r="C2529" t="s">
        <v>66</v>
      </c>
      <c r="D2529" t="s">
        <v>20</v>
      </c>
      <c r="E2529" t="s">
        <v>67</v>
      </c>
      <c r="F2529" t="s">
        <v>27</v>
      </c>
      <c r="G2529" t="s">
        <v>235</v>
      </c>
      <c r="H2529" t="s">
        <v>581</v>
      </c>
      <c r="I2529">
        <v>0.12</v>
      </c>
      <c r="J2529">
        <f t="shared" si="117"/>
        <v>80.399999999999991</v>
      </c>
      <c r="K2529">
        <v>0</v>
      </c>
      <c r="L2529">
        <f t="shared" si="118"/>
        <v>80.399999999999991</v>
      </c>
      <c r="M2529" s="4">
        <f t="shared" si="119"/>
        <v>0.10719999999999999</v>
      </c>
      <c r="N2529">
        <v>750</v>
      </c>
      <c r="O2529">
        <v>670</v>
      </c>
      <c r="P2529" t="s">
        <v>25</v>
      </c>
      <c r="Q2529" t="s">
        <v>26</v>
      </c>
      <c r="R2529" t="str">
        <f>IF(COUNTIF(Sheet2!B:B, A2529) &gt; 0, "Yes", "No")</f>
        <v>No</v>
      </c>
    </row>
    <row r="2530" spans="1:18" x14ac:dyDescent="0.25">
      <c r="A2530" s="3">
        <v>45498</v>
      </c>
      <c r="B2530" t="s">
        <v>285</v>
      </c>
      <c r="C2530" t="s">
        <v>66</v>
      </c>
      <c r="D2530" t="s">
        <v>20</v>
      </c>
      <c r="E2530" t="s">
        <v>67</v>
      </c>
      <c r="F2530" t="s">
        <v>30</v>
      </c>
      <c r="G2530" t="s">
        <v>55</v>
      </c>
      <c r="H2530" t="s">
        <v>134</v>
      </c>
      <c r="I2530">
        <v>0.09</v>
      </c>
      <c r="J2530">
        <f t="shared" si="117"/>
        <v>60.3</v>
      </c>
      <c r="K2530">
        <v>1</v>
      </c>
      <c r="L2530">
        <f t="shared" si="118"/>
        <v>59.3</v>
      </c>
      <c r="M2530" s="4">
        <f t="shared" si="119"/>
        <v>7.906666666666666E-2</v>
      </c>
      <c r="N2530">
        <v>750</v>
      </c>
      <c r="O2530">
        <v>670</v>
      </c>
      <c r="P2530" t="s">
        <v>25</v>
      </c>
      <c r="Q2530" t="s">
        <v>26</v>
      </c>
      <c r="R2530" t="str">
        <f>IF(COUNTIF(Sheet2!B:B, A2530) &gt; 0, "Yes", "No")</f>
        <v>No</v>
      </c>
    </row>
    <row r="2531" spans="1:18" x14ac:dyDescent="0.25">
      <c r="A2531" s="3">
        <v>45498</v>
      </c>
      <c r="B2531" t="s">
        <v>285</v>
      </c>
      <c r="C2531" t="s">
        <v>66</v>
      </c>
      <c r="D2531" t="s">
        <v>20</v>
      </c>
      <c r="E2531" t="s">
        <v>67</v>
      </c>
      <c r="F2531" t="s">
        <v>37</v>
      </c>
      <c r="G2531" t="s">
        <v>117</v>
      </c>
      <c r="H2531" t="s">
        <v>118</v>
      </c>
      <c r="I2531">
        <v>3.5000000000000003E-2</v>
      </c>
      <c r="J2531">
        <f t="shared" si="117"/>
        <v>23.450000000000003</v>
      </c>
      <c r="K2531">
        <v>1</v>
      </c>
      <c r="L2531">
        <f t="shared" si="118"/>
        <v>22.450000000000003</v>
      </c>
      <c r="M2531" s="4">
        <f t="shared" si="119"/>
        <v>2.9933333333333336E-2</v>
      </c>
      <c r="N2531">
        <v>750</v>
      </c>
      <c r="O2531">
        <v>670</v>
      </c>
      <c r="P2531" t="s">
        <v>25</v>
      </c>
      <c r="Q2531" t="s">
        <v>26</v>
      </c>
      <c r="R2531" t="str">
        <f>IF(COUNTIF(Sheet2!B:B, A2531) &gt; 0, "Yes", "No")</f>
        <v>No</v>
      </c>
    </row>
    <row r="2532" spans="1:18" x14ac:dyDescent="0.25">
      <c r="A2532" s="3">
        <v>45498</v>
      </c>
      <c r="B2532" t="s">
        <v>285</v>
      </c>
      <c r="C2532" t="s">
        <v>66</v>
      </c>
      <c r="D2532" t="s">
        <v>20</v>
      </c>
      <c r="E2532" t="s">
        <v>67</v>
      </c>
      <c r="F2532" t="s">
        <v>40</v>
      </c>
      <c r="G2532" t="s">
        <v>41</v>
      </c>
      <c r="H2532" t="s">
        <v>42</v>
      </c>
      <c r="I2532">
        <v>0.05</v>
      </c>
      <c r="J2532">
        <f t="shared" si="117"/>
        <v>33.5</v>
      </c>
      <c r="K2532">
        <v>2</v>
      </c>
      <c r="L2532">
        <f t="shared" si="118"/>
        <v>31.5</v>
      </c>
      <c r="M2532" s="4">
        <f t="shared" si="119"/>
        <v>4.2000000000000003E-2</v>
      </c>
      <c r="N2532">
        <v>750</v>
      </c>
      <c r="O2532">
        <v>670</v>
      </c>
      <c r="P2532" t="s">
        <v>25</v>
      </c>
      <c r="Q2532" t="s">
        <v>26</v>
      </c>
      <c r="R2532" t="str">
        <f>IF(COUNTIF(Sheet2!B:B, A2532) &gt; 0, "Yes", "No")</f>
        <v>No</v>
      </c>
    </row>
    <row r="2533" spans="1:18" x14ac:dyDescent="0.25">
      <c r="A2533" s="3">
        <v>45498</v>
      </c>
      <c r="B2533" t="s">
        <v>285</v>
      </c>
      <c r="C2533" t="s">
        <v>66</v>
      </c>
      <c r="D2533" t="s">
        <v>20</v>
      </c>
      <c r="E2533" t="s">
        <v>67</v>
      </c>
      <c r="F2533" t="s">
        <v>43</v>
      </c>
      <c r="G2533" t="s">
        <v>252</v>
      </c>
      <c r="H2533" t="s">
        <v>654</v>
      </c>
      <c r="I2533">
        <v>0.11</v>
      </c>
      <c r="J2533">
        <f t="shared" si="117"/>
        <v>73.7</v>
      </c>
      <c r="K2533">
        <v>2</v>
      </c>
      <c r="L2533">
        <f t="shared" si="118"/>
        <v>71.7</v>
      </c>
      <c r="M2533" s="4">
        <f t="shared" si="119"/>
        <v>9.5600000000000004E-2</v>
      </c>
      <c r="N2533">
        <v>750</v>
      </c>
      <c r="O2533">
        <v>670</v>
      </c>
      <c r="P2533" t="s">
        <v>25</v>
      </c>
      <c r="Q2533" t="s">
        <v>26</v>
      </c>
      <c r="R2533" t="str">
        <f>IF(COUNTIF(Sheet2!B:B, A2533) &gt; 0, "Yes", "No")</f>
        <v>No</v>
      </c>
    </row>
    <row r="2534" spans="1:18" x14ac:dyDescent="0.25">
      <c r="A2534" s="3">
        <v>45498</v>
      </c>
      <c r="B2534" t="s">
        <v>285</v>
      </c>
      <c r="C2534" t="s">
        <v>66</v>
      </c>
      <c r="D2534" t="s">
        <v>20</v>
      </c>
      <c r="E2534" t="s">
        <v>67</v>
      </c>
      <c r="F2534" t="s">
        <v>46</v>
      </c>
      <c r="G2534" t="s">
        <v>331</v>
      </c>
      <c r="H2534" t="s">
        <v>332</v>
      </c>
      <c r="I2534">
        <v>8.5000000000000006E-2</v>
      </c>
      <c r="J2534">
        <f t="shared" si="117"/>
        <v>56.95</v>
      </c>
      <c r="K2534">
        <v>1</v>
      </c>
      <c r="L2534">
        <f t="shared" si="118"/>
        <v>55.95</v>
      </c>
      <c r="M2534" s="4">
        <f t="shared" si="119"/>
        <v>7.46E-2</v>
      </c>
      <c r="N2534">
        <v>750</v>
      </c>
      <c r="O2534">
        <v>670</v>
      </c>
      <c r="P2534" t="s">
        <v>25</v>
      </c>
      <c r="Q2534" t="s">
        <v>26</v>
      </c>
      <c r="R2534" t="str">
        <f>IF(COUNTIF(Sheet2!B:B, A2534) &gt; 0, "Yes", "No")</f>
        <v>No</v>
      </c>
    </row>
    <row r="2535" spans="1:18" x14ac:dyDescent="0.25">
      <c r="A2535" s="3">
        <v>45498</v>
      </c>
      <c r="B2535" t="s">
        <v>285</v>
      </c>
      <c r="C2535" t="s">
        <v>66</v>
      </c>
      <c r="D2535" t="s">
        <v>20</v>
      </c>
      <c r="E2535" t="s">
        <v>67</v>
      </c>
      <c r="F2535" t="s">
        <v>49</v>
      </c>
      <c r="G2535" t="s">
        <v>50</v>
      </c>
      <c r="H2535" t="s">
        <v>49</v>
      </c>
      <c r="I2535">
        <v>0.09</v>
      </c>
      <c r="J2535">
        <f t="shared" si="117"/>
        <v>60.3</v>
      </c>
      <c r="K2535">
        <v>2</v>
      </c>
      <c r="L2535">
        <f t="shared" si="118"/>
        <v>58.3</v>
      </c>
      <c r="M2535" s="4">
        <f t="shared" si="119"/>
        <v>7.7733333333333335E-2</v>
      </c>
      <c r="N2535">
        <v>750</v>
      </c>
      <c r="O2535">
        <v>670</v>
      </c>
      <c r="P2535" t="s">
        <v>25</v>
      </c>
      <c r="Q2535" t="s">
        <v>26</v>
      </c>
      <c r="R2535" t="str">
        <f>IF(COUNTIF(Sheet2!B:B, A2535) &gt; 0, "Yes", "No")</f>
        <v>No</v>
      </c>
    </row>
    <row r="2536" spans="1:18" x14ac:dyDescent="0.25">
      <c r="A2536" s="3">
        <v>45499</v>
      </c>
      <c r="B2536" t="s">
        <v>285</v>
      </c>
      <c r="C2536" t="s">
        <v>79</v>
      </c>
      <c r="D2536" t="s">
        <v>20</v>
      </c>
      <c r="E2536" t="s">
        <v>21</v>
      </c>
      <c r="F2536" t="s">
        <v>22</v>
      </c>
      <c r="G2536" t="s">
        <v>122</v>
      </c>
      <c r="H2536" t="s">
        <v>655</v>
      </c>
      <c r="I2536" s="5">
        <v>0.06</v>
      </c>
      <c r="J2536">
        <f t="shared" si="117"/>
        <v>36</v>
      </c>
      <c r="K2536">
        <v>1</v>
      </c>
      <c r="L2536">
        <f t="shared" si="118"/>
        <v>35</v>
      </c>
      <c r="M2536" s="4">
        <f t="shared" si="119"/>
        <v>5.3846153846153849E-2</v>
      </c>
      <c r="N2536">
        <v>650</v>
      </c>
      <c r="O2536">
        <v>600</v>
      </c>
      <c r="P2536" t="s">
        <v>25</v>
      </c>
      <c r="Q2536" t="s">
        <v>26</v>
      </c>
      <c r="R2536" t="str">
        <f>IF(COUNTIF(Sheet2!B:B, A2536) &gt; 0, "Yes", "No")</f>
        <v>Yes</v>
      </c>
    </row>
    <row r="2537" spans="1:18" x14ac:dyDescent="0.25">
      <c r="A2537" s="3">
        <v>45499</v>
      </c>
      <c r="B2537" t="s">
        <v>285</v>
      </c>
      <c r="C2537" t="s">
        <v>79</v>
      </c>
      <c r="D2537" t="s">
        <v>20</v>
      </c>
      <c r="E2537" t="s">
        <v>21</v>
      </c>
      <c r="F2537" t="s">
        <v>27</v>
      </c>
      <c r="G2537" t="s">
        <v>81</v>
      </c>
      <c r="H2537" t="s">
        <v>335</v>
      </c>
      <c r="I2537" s="5">
        <v>0.1</v>
      </c>
      <c r="J2537">
        <f t="shared" si="117"/>
        <v>60</v>
      </c>
      <c r="K2537">
        <v>2</v>
      </c>
      <c r="L2537">
        <f t="shared" si="118"/>
        <v>58</v>
      </c>
      <c r="M2537" s="4">
        <f t="shared" si="119"/>
        <v>8.9230769230769225E-2</v>
      </c>
      <c r="N2537">
        <v>650</v>
      </c>
      <c r="O2537">
        <v>600</v>
      </c>
      <c r="P2537" t="s">
        <v>25</v>
      </c>
      <c r="Q2537" t="s">
        <v>26</v>
      </c>
      <c r="R2537" t="str">
        <f>IF(COUNTIF(Sheet2!B:B, A2537) &gt; 0, "Yes", "No")</f>
        <v>Yes</v>
      </c>
    </row>
    <row r="2538" spans="1:18" x14ac:dyDescent="0.25">
      <c r="A2538" s="3">
        <v>45499</v>
      </c>
      <c r="B2538" t="s">
        <v>285</v>
      </c>
      <c r="C2538" t="s">
        <v>79</v>
      </c>
      <c r="D2538" t="s">
        <v>20</v>
      </c>
      <c r="E2538" t="s">
        <v>21</v>
      </c>
      <c r="F2538" t="s">
        <v>30</v>
      </c>
      <c r="G2538" t="s">
        <v>31</v>
      </c>
      <c r="H2538" t="s">
        <v>70</v>
      </c>
      <c r="I2538" s="5">
        <v>0.06</v>
      </c>
      <c r="J2538">
        <f t="shared" si="117"/>
        <v>36</v>
      </c>
      <c r="K2538">
        <v>2</v>
      </c>
      <c r="L2538">
        <f t="shared" si="118"/>
        <v>34</v>
      </c>
      <c r="M2538" s="4">
        <f t="shared" si="119"/>
        <v>5.2307692307692305E-2</v>
      </c>
      <c r="N2538">
        <v>650</v>
      </c>
      <c r="O2538">
        <v>600</v>
      </c>
      <c r="P2538" t="s">
        <v>25</v>
      </c>
      <c r="Q2538" t="s">
        <v>26</v>
      </c>
      <c r="R2538" t="str">
        <f>IF(COUNTIF(Sheet2!B:B, A2538) &gt; 0, "Yes", "No")</f>
        <v>Yes</v>
      </c>
    </row>
    <row r="2539" spans="1:18" x14ac:dyDescent="0.25">
      <c r="A2539" s="3">
        <v>45499</v>
      </c>
      <c r="B2539" t="s">
        <v>285</v>
      </c>
      <c r="C2539" t="s">
        <v>79</v>
      </c>
      <c r="D2539" t="s">
        <v>33</v>
      </c>
      <c r="E2539" t="s">
        <v>21</v>
      </c>
      <c r="F2539" t="s">
        <v>84</v>
      </c>
      <c r="G2539" t="s">
        <v>85</v>
      </c>
      <c r="H2539" t="s">
        <v>135</v>
      </c>
      <c r="I2539" s="5">
        <v>0.3</v>
      </c>
      <c r="J2539">
        <f t="shared" si="117"/>
        <v>144</v>
      </c>
      <c r="K2539">
        <v>2</v>
      </c>
      <c r="L2539">
        <f t="shared" si="118"/>
        <v>142</v>
      </c>
      <c r="M2539" s="4">
        <f t="shared" si="119"/>
        <v>0.27307692307692305</v>
      </c>
      <c r="N2539">
        <v>520</v>
      </c>
      <c r="O2539">
        <v>480</v>
      </c>
      <c r="P2539" t="s">
        <v>25</v>
      </c>
      <c r="Q2539" t="s">
        <v>26</v>
      </c>
      <c r="R2539" t="str">
        <f>IF(COUNTIF(Sheet2!B:B, A2539) &gt; 0, "Yes", "No")</f>
        <v>Yes</v>
      </c>
    </row>
    <row r="2540" spans="1:18" x14ac:dyDescent="0.25">
      <c r="A2540" s="3">
        <v>45499</v>
      </c>
      <c r="B2540" t="s">
        <v>285</v>
      </c>
      <c r="C2540" t="s">
        <v>79</v>
      </c>
      <c r="D2540" t="s">
        <v>20</v>
      </c>
      <c r="E2540" t="s">
        <v>21</v>
      </c>
      <c r="F2540" t="s">
        <v>37</v>
      </c>
      <c r="G2540" t="s">
        <v>117</v>
      </c>
      <c r="H2540" t="s">
        <v>407</v>
      </c>
      <c r="I2540" s="5">
        <v>2.5000000000000001E-2</v>
      </c>
      <c r="J2540">
        <f t="shared" si="117"/>
        <v>15</v>
      </c>
      <c r="K2540">
        <v>2</v>
      </c>
      <c r="L2540">
        <f t="shared" si="118"/>
        <v>13</v>
      </c>
      <c r="M2540" s="4">
        <f t="shared" si="119"/>
        <v>0.02</v>
      </c>
      <c r="N2540">
        <v>650</v>
      </c>
      <c r="O2540">
        <v>600</v>
      </c>
      <c r="P2540" t="s">
        <v>25</v>
      </c>
      <c r="Q2540" t="s">
        <v>26</v>
      </c>
      <c r="R2540" t="str">
        <f>IF(COUNTIF(Sheet2!B:B, A2540) &gt; 0, "Yes", "No")</f>
        <v>Yes</v>
      </c>
    </row>
    <row r="2541" spans="1:18" x14ac:dyDescent="0.25">
      <c r="A2541" s="3">
        <v>45499</v>
      </c>
      <c r="B2541" t="s">
        <v>285</v>
      </c>
      <c r="C2541" t="s">
        <v>79</v>
      </c>
      <c r="D2541" t="s">
        <v>20</v>
      </c>
      <c r="E2541" t="s">
        <v>21</v>
      </c>
      <c r="F2541" t="s">
        <v>40</v>
      </c>
      <c r="G2541" t="s">
        <v>61</v>
      </c>
      <c r="H2541" t="s">
        <v>62</v>
      </c>
      <c r="I2541" s="5">
        <v>0.04</v>
      </c>
      <c r="J2541">
        <f t="shared" si="117"/>
        <v>24</v>
      </c>
      <c r="K2541">
        <v>1</v>
      </c>
      <c r="L2541">
        <f t="shared" si="118"/>
        <v>23</v>
      </c>
      <c r="M2541" s="4">
        <f t="shared" si="119"/>
        <v>3.5384615384615382E-2</v>
      </c>
      <c r="N2541">
        <v>650</v>
      </c>
      <c r="O2541">
        <v>600</v>
      </c>
      <c r="P2541" t="s">
        <v>25</v>
      </c>
      <c r="Q2541" t="s">
        <v>26</v>
      </c>
      <c r="R2541" t="str">
        <f>IF(COUNTIF(Sheet2!B:B, A2541) &gt; 0, "Yes", "No")</f>
        <v>Yes</v>
      </c>
    </row>
    <row r="2542" spans="1:18" x14ac:dyDescent="0.25">
      <c r="A2542" s="3">
        <v>45499</v>
      </c>
      <c r="B2542" t="s">
        <v>285</v>
      </c>
      <c r="C2542" t="s">
        <v>79</v>
      </c>
      <c r="D2542" t="s">
        <v>20</v>
      </c>
      <c r="E2542" t="s">
        <v>21</v>
      </c>
      <c r="F2542" t="s">
        <v>43</v>
      </c>
      <c r="G2542" t="s">
        <v>90</v>
      </c>
      <c r="H2542" t="s">
        <v>194</v>
      </c>
      <c r="I2542" s="5">
        <v>7.0000000000000007E-2</v>
      </c>
      <c r="J2542">
        <f t="shared" si="117"/>
        <v>42.000000000000007</v>
      </c>
      <c r="K2542">
        <v>2</v>
      </c>
      <c r="L2542">
        <f t="shared" si="118"/>
        <v>40.000000000000007</v>
      </c>
      <c r="M2542" s="4">
        <f t="shared" si="119"/>
        <v>6.1538461538461549E-2</v>
      </c>
      <c r="N2542">
        <v>650</v>
      </c>
      <c r="O2542">
        <v>600</v>
      </c>
      <c r="P2542" t="s">
        <v>25</v>
      </c>
      <c r="Q2542" t="s">
        <v>26</v>
      </c>
      <c r="R2542" t="str">
        <f>IF(COUNTIF(Sheet2!B:B, A2542) &gt; 0, "Yes", "No")</f>
        <v>Yes</v>
      </c>
    </row>
    <row r="2543" spans="1:18" x14ac:dyDescent="0.25">
      <c r="A2543" s="3">
        <v>45499</v>
      </c>
      <c r="B2543" t="s">
        <v>285</v>
      </c>
      <c r="C2543" t="s">
        <v>79</v>
      </c>
      <c r="D2543" t="s">
        <v>20</v>
      </c>
      <c r="E2543" t="s">
        <v>21</v>
      </c>
      <c r="F2543" t="s">
        <v>46</v>
      </c>
      <c r="G2543" t="s">
        <v>47</v>
      </c>
      <c r="H2543" t="s">
        <v>656</v>
      </c>
      <c r="I2543" s="5">
        <v>5.5E-2</v>
      </c>
      <c r="J2543">
        <f t="shared" si="117"/>
        <v>33</v>
      </c>
      <c r="K2543">
        <v>2</v>
      </c>
      <c r="L2543">
        <f t="shared" si="118"/>
        <v>31</v>
      </c>
      <c r="M2543" s="4">
        <f t="shared" si="119"/>
        <v>4.7692307692307694E-2</v>
      </c>
      <c r="N2543">
        <v>650</v>
      </c>
      <c r="O2543">
        <v>600</v>
      </c>
      <c r="P2543" t="s">
        <v>25</v>
      </c>
      <c r="Q2543" t="s">
        <v>26</v>
      </c>
      <c r="R2543" t="str">
        <f>IF(COUNTIF(Sheet2!B:B, A2543) &gt; 0, "Yes", "No")</f>
        <v>Yes</v>
      </c>
    </row>
    <row r="2544" spans="1:18" x14ac:dyDescent="0.25">
      <c r="A2544" s="3">
        <v>45499</v>
      </c>
      <c r="B2544" t="s">
        <v>285</v>
      </c>
      <c r="C2544" t="s">
        <v>79</v>
      </c>
      <c r="D2544" t="s">
        <v>20</v>
      </c>
      <c r="E2544" t="s">
        <v>21</v>
      </c>
      <c r="F2544" t="s">
        <v>49</v>
      </c>
      <c r="G2544" t="s">
        <v>50</v>
      </c>
      <c r="H2544" t="s">
        <v>49</v>
      </c>
      <c r="I2544" s="5">
        <v>0.04</v>
      </c>
      <c r="J2544">
        <f t="shared" si="117"/>
        <v>24</v>
      </c>
      <c r="K2544">
        <v>3</v>
      </c>
      <c r="L2544">
        <f t="shared" si="118"/>
        <v>21</v>
      </c>
      <c r="M2544" s="4">
        <f t="shared" si="119"/>
        <v>3.2307692307692308E-2</v>
      </c>
      <c r="N2544">
        <v>650</v>
      </c>
      <c r="O2544">
        <v>600</v>
      </c>
      <c r="P2544" t="s">
        <v>25</v>
      </c>
      <c r="Q2544" t="s">
        <v>26</v>
      </c>
      <c r="R2544" t="str">
        <f>IF(COUNTIF(Sheet2!B:B, A2544) &gt; 0, "Yes", "No")</f>
        <v>Yes</v>
      </c>
    </row>
    <row r="2545" spans="1:18" x14ac:dyDescent="0.25">
      <c r="A2545" s="3">
        <v>45502</v>
      </c>
      <c r="B2545" t="s">
        <v>285</v>
      </c>
      <c r="C2545" t="s">
        <v>19</v>
      </c>
      <c r="D2545" t="s">
        <v>20</v>
      </c>
      <c r="E2545" t="s">
        <v>21</v>
      </c>
      <c r="F2545" t="s">
        <v>22</v>
      </c>
      <c r="G2545" t="s">
        <v>122</v>
      </c>
      <c r="H2545" t="s">
        <v>260</v>
      </c>
      <c r="I2545">
        <v>8.5000000000000006E-2</v>
      </c>
      <c r="J2545">
        <f t="shared" si="117"/>
        <v>56.95</v>
      </c>
      <c r="K2545">
        <v>2</v>
      </c>
      <c r="L2545">
        <f t="shared" si="118"/>
        <v>54.95</v>
      </c>
      <c r="M2545" s="4">
        <f t="shared" si="119"/>
        <v>7.3266666666666674E-2</v>
      </c>
      <c r="N2545">
        <v>750</v>
      </c>
      <c r="O2545">
        <v>670</v>
      </c>
      <c r="P2545" t="s">
        <v>25</v>
      </c>
      <c r="Q2545" t="s">
        <v>26</v>
      </c>
      <c r="R2545" t="str">
        <f>IF(COUNTIF(Sheet2!B:B, A2545) &gt; 0, "Yes", "No")</f>
        <v>No</v>
      </c>
    </row>
    <row r="2546" spans="1:18" x14ac:dyDescent="0.25">
      <c r="A2546" s="3">
        <v>45502</v>
      </c>
      <c r="B2546" t="s">
        <v>285</v>
      </c>
      <c r="C2546" t="s">
        <v>19</v>
      </c>
      <c r="D2546" t="s">
        <v>20</v>
      </c>
      <c r="E2546" t="s">
        <v>21</v>
      </c>
      <c r="F2546" t="s">
        <v>27</v>
      </c>
      <c r="G2546" t="s">
        <v>28</v>
      </c>
      <c r="H2546" t="s">
        <v>171</v>
      </c>
      <c r="I2546">
        <v>0.11</v>
      </c>
      <c r="J2546">
        <f t="shared" si="117"/>
        <v>73.7</v>
      </c>
      <c r="K2546">
        <v>3</v>
      </c>
      <c r="L2546">
        <f t="shared" si="118"/>
        <v>70.7</v>
      </c>
      <c r="M2546" s="4">
        <f t="shared" si="119"/>
        <v>9.4266666666666665E-2</v>
      </c>
      <c r="N2546">
        <v>750</v>
      </c>
      <c r="O2546">
        <v>670</v>
      </c>
      <c r="P2546" t="s">
        <v>25</v>
      </c>
      <c r="Q2546" t="s">
        <v>26</v>
      </c>
      <c r="R2546" t="str">
        <f>IF(COUNTIF(Sheet2!B:B, A2546) &gt; 0, "Yes", "No")</f>
        <v>No</v>
      </c>
    </row>
    <row r="2547" spans="1:18" x14ac:dyDescent="0.25">
      <c r="A2547" s="3">
        <v>45502</v>
      </c>
      <c r="B2547" t="s">
        <v>285</v>
      </c>
      <c r="C2547" t="s">
        <v>19</v>
      </c>
      <c r="D2547" t="s">
        <v>20</v>
      </c>
      <c r="E2547" t="s">
        <v>21</v>
      </c>
      <c r="F2547" t="s">
        <v>30</v>
      </c>
      <c r="G2547" t="s">
        <v>31</v>
      </c>
      <c r="H2547" t="s">
        <v>70</v>
      </c>
      <c r="I2547">
        <v>0.09</v>
      </c>
      <c r="J2547">
        <f t="shared" si="117"/>
        <v>60.3</v>
      </c>
      <c r="K2547">
        <v>2</v>
      </c>
      <c r="L2547">
        <f t="shared" si="118"/>
        <v>58.3</v>
      </c>
      <c r="M2547" s="4">
        <f t="shared" si="119"/>
        <v>7.7733333333333335E-2</v>
      </c>
      <c r="N2547">
        <v>750</v>
      </c>
      <c r="O2547">
        <v>670</v>
      </c>
      <c r="P2547" t="s">
        <v>25</v>
      </c>
      <c r="Q2547" t="s">
        <v>26</v>
      </c>
      <c r="R2547" t="str">
        <f>IF(COUNTIF(Sheet2!B:B, A2547) &gt; 0, "Yes", "No")</f>
        <v>No</v>
      </c>
    </row>
    <row r="2548" spans="1:18" x14ac:dyDescent="0.25">
      <c r="A2548" s="3">
        <v>45502</v>
      </c>
      <c r="B2548" t="s">
        <v>285</v>
      </c>
      <c r="C2548" t="s">
        <v>19</v>
      </c>
      <c r="D2548" t="s">
        <v>33</v>
      </c>
      <c r="E2548" t="s">
        <v>21</v>
      </c>
      <c r="F2548" t="s">
        <v>34</v>
      </c>
      <c r="G2548" t="s">
        <v>57</v>
      </c>
      <c r="H2548" t="s">
        <v>192</v>
      </c>
      <c r="I2548">
        <v>0.15</v>
      </c>
      <c r="J2548">
        <f t="shared" si="117"/>
        <v>60</v>
      </c>
      <c r="K2548">
        <v>1</v>
      </c>
      <c r="L2548">
        <f t="shared" si="118"/>
        <v>59</v>
      </c>
      <c r="M2548" s="4">
        <f t="shared" si="119"/>
        <v>0.11238095238095239</v>
      </c>
      <c r="N2548">
        <v>525</v>
      </c>
      <c r="O2548">
        <v>400</v>
      </c>
      <c r="P2548" t="s">
        <v>25</v>
      </c>
      <c r="Q2548" t="s">
        <v>26</v>
      </c>
      <c r="R2548" t="str">
        <f>IF(COUNTIF(Sheet2!B:B, A2548) &gt; 0, "Yes", "No")</f>
        <v>No</v>
      </c>
    </row>
    <row r="2549" spans="1:18" x14ac:dyDescent="0.25">
      <c r="A2549" s="3">
        <v>45502</v>
      </c>
      <c r="B2549" t="s">
        <v>285</v>
      </c>
      <c r="C2549" t="s">
        <v>19</v>
      </c>
      <c r="D2549" t="s">
        <v>20</v>
      </c>
      <c r="E2549" t="s">
        <v>21</v>
      </c>
      <c r="F2549" t="s">
        <v>37</v>
      </c>
      <c r="G2549" t="s">
        <v>117</v>
      </c>
      <c r="H2549" t="s">
        <v>421</v>
      </c>
      <c r="I2549">
        <v>0.03</v>
      </c>
      <c r="J2549">
        <f t="shared" si="117"/>
        <v>20.099999999999998</v>
      </c>
      <c r="K2549">
        <v>2</v>
      </c>
      <c r="L2549">
        <f t="shared" si="118"/>
        <v>18.099999999999998</v>
      </c>
      <c r="M2549" s="4">
        <f t="shared" si="119"/>
        <v>2.413333333333333E-2</v>
      </c>
      <c r="N2549">
        <v>750</v>
      </c>
      <c r="O2549">
        <v>670</v>
      </c>
      <c r="P2549" t="s">
        <v>25</v>
      </c>
      <c r="Q2549" t="s">
        <v>26</v>
      </c>
      <c r="R2549" t="str">
        <f>IF(COUNTIF(Sheet2!B:B, A2549) &gt; 0, "Yes", "No")</f>
        <v>No</v>
      </c>
    </row>
    <row r="2550" spans="1:18" x14ac:dyDescent="0.25">
      <c r="A2550" s="3">
        <v>45502</v>
      </c>
      <c r="B2550" t="s">
        <v>285</v>
      </c>
      <c r="C2550" t="s">
        <v>19</v>
      </c>
      <c r="D2550" t="s">
        <v>20</v>
      </c>
      <c r="E2550" t="s">
        <v>21</v>
      </c>
      <c r="F2550" t="s">
        <v>40</v>
      </c>
      <c r="G2550" t="s">
        <v>41</v>
      </c>
      <c r="H2550" t="s">
        <v>534</v>
      </c>
      <c r="I2550">
        <v>4.4999999999999998E-2</v>
      </c>
      <c r="J2550">
        <f t="shared" si="117"/>
        <v>30.15</v>
      </c>
      <c r="K2550">
        <v>1</v>
      </c>
      <c r="L2550">
        <f t="shared" si="118"/>
        <v>29.15</v>
      </c>
      <c r="M2550" s="4">
        <f t="shared" si="119"/>
        <v>3.8866666666666667E-2</v>
      </c>
      <c r="N2550">
        <v>750</v>
      </c>
      <c r="O2550">
        <v>670</v>
      </c>
      <c r="P2550" t="s">
        <v>25</v>
      </c>
      <c r="Q2550" t="s">
        <v>26</v>
      </c>
      <c r="R2550" t="str">
        <f>IF(COUNTIF(Sheet2!B:B, A2550) &gt; 0, "Yes", "No")</f>
        <v>No</v>
      </c>
    </row>
    <row r="2551" spans="1:18" x14ac:dyDescent="0.25">
      <c r="A2551" s="3">
        <v>45502</v>
      </c>
      <c r="B2551" t="s">
        <v>285</v>
      </c>
      <c r="C2551" t="s">
        <v>19</v>
      </c>
      <c r="D2551" t="s">
        <v>20</v>
      </c>
      <c r="E2551" t="s">
        <v>21</v>
      </c>
      <c r="F2551" t="s">
        <v>43</v>
      </c>
      <c r="G2551" t="s">
        <v>44</v>
      </c>
      <c r="H2551" t="s">
        <v>153</v>
      </c>
      <c r="I2551">
        <v>0.11</v>
      </c>
      <c r="J2551">
        <f t="shared" si="117"/>
        <v>73.7</v>
      </c>
      <c r="K2551">
        <v>2</v>
      </c>
      <c r="L2551">
        <f t="shared" si="118"/>
        <v>71.7</v>
      </c>
      <c r="M2551" s="4">
        <f t="shared" si="119"/>
        <v>9.5600000000000004E-2</v>
      </c>
      <c r="N2551">
        <v>750</v>
      </c>
      <c r="O2551">
        <v>670</v>
      </c>
      <c r="P2551" t="s">
        <v>25</v>
      </c>
      <c r="Q2551" t="s">
        <v>26</v>
      </c>
      <c r="R2551" t="str">
        <f>IF(COUNTIF(Sheet2!B:B, A2551) &gt; 0, "Yes", "No")</f>
        <v>No</v>
      </c>
    </row>
    <row r="2552" spans="1:18" x14ac:dyDescent="0.25">
      <c r="A2552" s="3">
        <v>45502</v>
      </c>
      <c r="B2552" t="s">
        <v>285</v>
      </c>
      <c r="C2552" t="s">
        <v>19</v>
      </c>
      <c r="D2552" t="s">
        <v>20</v>
      </c>
      <c r="E2552" t="s">
        <v>21</v>
      </c>
      <c r="F2552" t="s">
        <v>46</v>
      </c>
      <c r="G2552" t="s">
        <v>92</v>
      </c>
      <c r="H2552" t="s">
        <v>657</v>
      </c>
      <c r="I2552">
        <v>8.5000000000000006E-2</v>
      </c>
      <c r="J2552">
        <f t="shared" si="117"/>
        <v>56.95</v>
      </c>
      <c r="K2552">
        <v>2</v>
      </c>
      <c r="L2552">
        <f t="shared" si="118"/>
        <v>54.95</v>
      </c>
      <c r="M2552" s="4">
        <f t="shared" si="119"/>
        <v>7.3266666666666674E-2</v>
      </c>
      <c r="N2552">
        <v>750</v>
      </c>
      <c r="O2552">
        <v>670</v>
      </c>
      <c r="P2552" t="s">
        <v>25</v>
      </c>
      <c r="Q2552" t="s">
        <v>26</v>
      </c>
      <c r="R2552" t="str">
        <f>IF(COUNTIF(Sheet2!B:B, A2552) &gt; 0, "Yes", "No")</f>
        <v>No</v>
      </c>
    </row>
    <row r="2553" spans="1:18" x14ac:dyDescent="0.25">
      <c r="A2553" s="3">
        <v>45502</v>
      </c>
      <c r="B2553" t="s">
        <v>285</v>
      </c>
      <c r="C2553" t="s">
        <v>19</v>
      </c>
      <c r="D2553" t="s">
        <v>20</v>
      </c>
      <c r="E2553" t="s">
        <v>21</v>
      </c>
      <c r="F2553" t="s">
        <v>49</v>
      </c>
      <c r="G2553" t="s">
        <v>50</v>
      </c>
      <c r="H2553" t="s">
        <v>49</v>
      </c>
      <c r="I2553">
        <v>0.09</v>
      </c>
      <c r="J2553">
        <f t="shared" si="117"/>
        <v>60.3</v>
      </c>
      <c r="K2553">
        <v>3</v>
      </c>
      <c r="L2553">
        <f t="shared" si="118"/>
        <v>57.3</v>
      </c>
      <c r="M2553" s="4">
        <f t="shared" si="119"/>
        <v>7.6399999999999996E-2</v>
      </c>
      <c r="N2553">
        <v>750</v>
      </c>
      <c r="O2553">
        <v>670</v>
      </c>
      <c r="P2553" t="s">
        <v>25</v>
      </c>
      <c r="Q2553" t="s">
        <v>26</v>
      </c>
      <c r="R2553" t="str">
        <f>IF(COUNTIF(Sheet2!B:B, A2553) &gt; 0, "Yes", "No")</f>
        <v>No</v>
      </c>
    </row>
    <row r="2554" spans="1:18" x14ac:dyDescent="0.25">
      <c r="A2554" s="3">
        <v>45503</v>
      </c>
      <c r="B2554" t="s">
        <v>285</v>
      </c>
      <c r="C2554" t="s">
        <v>105</v>
      </c>
      <c r="D2554" t="s">
        <v>20</v>
      </c>
      <c r="E2554" t="s">
        <v>67</v>
      </c>
      <c r="F2554" t="s">
        <v>22</v>
      </c>
      <c r="G2554" t="s">
        <v>52</v>
      </c>
      <c r="H2554" t="s">
        <v>658</v>
      </c>
      <c r="I2554">
        <v>8.5000000000000006E-2</v>
      </c>
      <c r="J2554">
        <f t="shared" si="117"/>
        <v>54.400000000000006</v>
      </c>
      <c r="K2554">
        <v>1</v>
      </c>
      <c r="L2554">
        <f t="shared" si="118"/>
        <v>53.400000000000006</v>
      </c>
      <c r="M2554" s="4">
        <f t="shared" si="119"/>
        <v>7.628571428571429E-2</v>
      </c>
      <c r="N2554">
        <v>700</v>
      </c>
      <c r="O2554">
        <v>640</v>
      </c>
      <c r="P2554" t="s">
        <v>25</v>
      </c>
      <c r="Q2554" t="s">
        <v>26</v>
      </c>
      <c r="R2554" t="str">
        <f>IF(COUNTIF(Sheet2!B:B, A2554) &gt; 0, "Yes", "No")</f>
        <v>No</v>
      </c>
    </row>
    <row r="2555" spans="1:18" x14ac:dyDescent="0.25">
      <c r="A2555" s="3">
        <v>45503</v>
      </c>
      <c r="B2555" t="s">
        <v>285</v>
      </c>
      <c r="C2555" t="s">
        <v>105</v>
      </c>
      <c r="D2555" t="s">
        <v>20</v>
      </c>
      <c r="E2555" t="s">
        <v>67</v>
      </c>
      <c r="F2555" t="s">
        <v>27</v>
      </c>
      <c r="G2555" t="s">
        <v>144</v>
      </c>
      <c r="H2555" t="s">
        <v>145</v>
      </c>
      <c r="I2555">
        <v>0.11</v>
      </c>
      <c r="J2555">
        <f t="shared" si="117"/>
        <v>70.400000000000006</v>
      </c>
      <c r="K2555">
        <v>1</v>
      </c>
      <c r="L2555">
        <f t="shared" si="118"/>
        <v>69.400000000000006</v>
      </c>
      <c r="M2555" s="4">
        <f t="shared" si="119"/>
        <v>9.9142857142857158E-2</v>
      </c>
      <c r="N2555">
        <v>700</v>
      </c>
      <c r="O2555">
        <v>640</v>
      </c>
      <c r="P2555" t="s">
        <v>25</v>
      </c>
      <c r="Q2555" t="s">
        <v>26</v>
      </c>
      <c r="R2555" t="str">
        <f>IF(COUNTIF(Sheet2!B:B, A2555) &gt; 0, "Yes", "No")</f>
        <v>No</v>
      </c>
    </row>
    <row r="2556" spans="1:18" x14ac:dyDescent="0.25">
      <c r="A2556" s="3">
        <v>45503</v>
      </c>
      <c r="B2556" t="s">
        <v>285</v>
      </c>
      <c r="C2556" t="s">
        <v>105</v>
      </c>
      <c r="D2556" t="s">
        <v>20</v>
      </c>
      <c r="E2556" t="s">
        <v>67</v>
      </c>
      <c r="F2556" t="s">
        <v>30</v>
      </c>
      <c r="G2556" t="s">
        <v>55</v>
      </c>
      <c r="H2556" t="s">
        <v>183</v>
      </c>
      <c r="I2556">
        <v>0.09</v>
      </c>
      <c r="J2556">
        <f t="shared" si="117"/>
        <v>57.599999999999994</v>
      </c>
      <c r="K2556">
        <v>0</v>
      </c>
      <c r="L2556">
        <f t="shared" si="118"/>
        <v>57.599999999999994</v>
      </c>
      <c r="M2556" s="4">
        <f t="shared" si="119"/>
        <v>8.2285714285714281E-2</v>
      </c>
      <c r="N2556">
        <v>700</v>
      </c>
      <c r="O2556">
        <v>640</v>
      </c>
      <c r="P2556" t="s">
        <v>25</v>
      </c>
      <c r="Q2556" t="s">
        <v>26</v>
      </c>
      <c r="R2556" t="str">
        <f>IF(COUNTIF(Sheet2!B:B, A2556) &gt; 0, "Yes", "No")</f>
        <v>No</v>
      </c>
    </row>
    <row r="2557" spans="1:18" x14ac:dyDescent="0.25">
      <c r="A2557" s="3">
        <v>45503</v>
      </c>
      <c r="B2557" t="s">
        <v>285</v>
      </c>
      <c r="C2557" t="s">
        <v>105</v>
      </c>
      <c r="D2557" t="s">
        <v>20</v>
      </c>
      <c r="E2557" t="s">
        <v>67</v>
      </c>
      <c r="F2557" t="s">
        <v>37</v>
      </c>
      <c r="G2557" t="s">
        <v>59</v>
      </c>
      <c r="H2557" t="s">
        <v>60</v>
      </c>
      <c r="I2557">
        <v>3.5000000000000003E-2</v>
      </c>
      <c r="J2557">
        <f t="shared" si="117"/>
        <v>22.400000000000002</v>
      </c>
      <c r="K2557">
        <v>2</v>
      </c>
      <c r="L2557">
        <f t="shared" si="118"/>
        <v>20.400000000000002</v>
      </c>
      <c r="M2557" s="4">
        <f t="shared" si="119"/>
        <v>2.9142857142857147E-2</v>
      </c>
      <c r="N2557">
        <v>700</v>
      </c>
      <c r="O2557">
        <v>640</v>
      </c>
      <c r="P2557" t="s">
        <v>25</v>
      </c>
      <c r="Q2557" t="s">
        <v>26</v>
      </c>
      <c r="R2557" t="str">
        <f>IF(COUNTIF(Sheet2!B:B, A2557) &gt; 0, "Yes", "No")</f>
        <v>No</v>
      </c>
    </row>
    <row r="2558" spans="1:18" x14ac:dyDescent="0.25">
      <c r="A2558" s="3">
        <v>45503</v>
      </c>
      <c r="B2558" t="s">
        <v>285</v>
      </c>
      <c r="C2558" t="s">
        <v>105</v>
      </c>
      <c r="D2558" t="s">
        <v>20</v>
      </c>
      <c r="E2558" t="s">
        <v>67</v>
      </c>
      <c r="F2558" t="s">
        <v>40</v>
      </c>
      <c r="G2558" t="s">
        <v>137</v>
      </c>
      <c r="H2558" t="s">
        <v>567</v>
      </c>
      <c r="I2558">
        <v>0.05</v>
      </c>
      <c r="J2558">
        <f t="shared" si="117"/>
        <v>32</v>
      </c>
      <c r="K2558">
        <v>2</v>
      </c>
      <c r="L2558">
        <f t="shared" si="118"/>
        <v>30</v>
      </c>
      <c r="M2558" s="4">
        <f t="shared" si="119"/>
        <v>4.2857142857142858E-2</v>
      </c>
      <c r="N2558">
        <v>700</v>
      </c>
      <c r="O2558">
        <v>640</v>
      </c>
      <c r="P2558" t="s">
        <v>25</v>
      </c>
      <c r="Q2558" t="s">
        <v>26</v>
      </c>
      <c r="R2558" t="str">
        <f>IF(COUNTIF(Sheet2!B:B, A2558) &gt; 0, "Yes", "No")</f>
        <v>No</v>
      </c>
    </row>
    <row r="2559" spans="1:18" x14ac:dyDescent="0.25">
      <c r="A2559" s="3">
        <v>45503</v>
      </c>
      <c r="B2559" t="s">
        <v>285</v>
      </c>
      <c r="C2559" t="s">
        <v>105</v>
      </c>
      <c r="D2559" t="s">
        <v>20</v>
      </c>
      <c r="E2559" t="s">
        <v>67</v>
      </c>
      <c r="F2559" t="s">
        <v>43</v>
      </c>
      <c r="G2559" t="s">
        <v>159</v>
      </c>
      <c r="H2559" t="s">
        <v>493</v>
      </c>
      <c r="I2559">
        <v>0.11</v>
      </c>
      <c r="J2559">
        <f t="shared" si="117"/>
        <v>70.400000000000006</v>
      </c>
      <c r="K2559">
        <v>0</v>
      </c>
      <c r="L2559">
        <f t="shared" si="118"/>
        <v>70.400000000000006</v>
      </c>
      <c r="M2559" s="4">
        <f t="shared" si="119"/>
        <v>0.10057142857142858</v>
      </c>
      <c r="N2559">
        <v>700</v>
      </c>
      <c r="O2559">
        <v>640</v>
      </c>
      <c r="P2559" t="s">
        <v>25</v>
      </c>
      <c r="Q2559" t="s">
        <v>26</v>
      </c>
      <c r="R2559" t="str">
        <f>IF(COUNTIF(Sheet2!B:B, A2559) &gt; 0, "Yes", "No")</f>
        <v>No</v>
      </c>
    </row>
    <row r="2560" spans="1:18" x14ac:dyDescent="0.25">
      <c r="A2560" s="3">
        <v>45503</v>
      </c>
      <c r="B2560" t="s">
        <v>285</v>
      </c>
      <c r="C2560" t="s">
        <v>105</v>
      </c>
      <c r="D2560" t="s">
        <v>20</v>
      </c>
      <c r="E2560" t="s">
        <v>67</v>
      </c>
      <c r="F2560" t="s">
        <v>46</v>
      </c>
      <c r="G2560" t="s">
        <v>47</v>
      </c>
      <c r="H2560" t="s">
        <v>659</v>
      </c>
      <c r="I2560">
        <v>8.5000000000000006E-2</v>
      </c>
      <c r="J2560">
        <f t="shared" si="117"/>
        <v>54.400000000000006</v>
      </c>
      <c r="K2560">
        <v>2</v>
      </c>
      <c r="L2560">
        <f t="shared" si="118"/>
        <v>52.400000000000006</v>
      </c>
      <c r="M2560" s="4">
        <f t="shared" si="119"/>
        <v>7.4857142857142872E-2</v>
      </c>
      <c r="N2560">
        <v>700</v>
      </c>
      <c r="O2560">
        <v>640</v>
      </c>
      <c r="P2560" t="s">
        <v>25</v>
      </c>
      <c r="Q2560" t="s">
        <v>26</v>
      </c>
      <c r="R2560" t="str">
        <f>IF(COUNTIF(Sheet2!B:B, A2560) &gt; 0, "Yes", "No")</f>
        <v>No</v>
      </c>
    </row>
    <row r="2561" spans="1:18" x14ac:dyDescent="0.25">
      <c r="A2561" s="3">
        <v>45503</v>
      </c>
      <c r="B2561" t="s">
        <v>285</v>
      </c>
      <c r="C2561" t="s">
        <v>105</v>
      </c>
      <c r="D2561" t="s">
        <v>20</v>
      </c>
      <c r="E2561" t="s">
        <v>67</v>
      </c>
      <c r="F2561" t="s">
        <v>49</v>
      </c>
      <c r="G2561" t="s">
        <v>50</v>
      </c>
      <c r="H2561" t="s">
        <v>49</v>
      </c>
      <c r="I2561">
        <v>0.09</v>
      </c>
      <c r="J2561">
        <f t="shared" si="117"/>
        <v>57.599999999999994</v>
      </c>
      <c r="K2561">
        <v>2</v>
      </c>
      <c r="L2561">
        <f t="shared" si="118"/>
        <v>55.599999999999994</v>
      </c>
      <c r="M2561" s="4">
        <f t="shared" si="119"/>
        <v>7.9428571428571418E-2</v>
      </c>
      <c r="N2561">
        <v>700</v>
      </c>
      <c r="O2561">
        <v>640</v>
      </c>
      <c r="P2561" t="s">
        <v>25</v>
      </c>
      <c r="Q2561" t="s">
        <v>26</v>
      </c>
      <c r="R2561" t="str">
        <f>IF(COUNTIF(Sheet2!B:B, A2561) &gt; 0, "Yes", "No")</f>
        <v>No</v>
      </c>
    </row>
    <row r="2562" spans="1:18" x14ac:dyDescent="0.25">
      <c r="A2562" s="3">
        <v>45504</v>
      </c>
      <c r="B2562" t="s">
        <v>285</v>
      </c>
      <c r="C2562" t="s">
        <v>51</v>
      </c>
      <c r="D2562" t="s">
        <v>20</v>
      </c>
      <c r="E2562" t="s">
        <v>21</v>
      </c>
      <c r="F2562" t="s">
        <v>22</v>
      </c>
      <c r="G2562" t="s">
        <v>52</v>
      </c>
      <c r="H2562" t="s">
        <v>660</v>
      </c>
      <c r="I2562">
        <v>8.5000000000000006E-2</v>
      </c>
      <c r="J2562">
        <f t="shared" si="117"/>
        <v>61.2</v>
      </c>
      <c r="K2562">
        <v>2</v>
      </c>
      <c r="L2562">
        <f t="shared" si="118"/>
        <v>59.2</v>
      </c>
      <c r="M2562" s="4">
        <f t="shared" si="119"/>
        <v>7.400000000000001E-2</v>
      </c>
      <c r="N2562">
        <v>800</v>
      </c>
      <c r="O2562">
        <v>720</v>
      </c>
      <c r="P2562" t="s">
        <v>25</v>
      </c>
      <c r="Q2562" t="s">
        <v>26</v>
      </c>
      <c r="R2562" t="str">
        <f>IF(COUNTIF(Sheet2!B:B, A2562) &gt; 0, "Yes", "No")</f>
        <v>No</v>
      </c>
    </row>
    <row r="2563" spans="1:18" x14ac:dyDescent="0.25">
      <c r="A2563" s="3">
        <v>45504</v>
      </c>
      <c r="B2563" t="s">
        <v>285</v>
      </c>
      <c r="C2563" t="s">
        <v>51</v>
      </c>
      <c r="D2563" t="s">
        <v>20</v>
      </c>
      <c r="E2563" t="s">
        <v>21</v>
      </c>
      <c r="F2563" t="s">
        <v>27</v>
      </c>
      <c r="G2563" t="s">
        <v>304</v>
      </c>
      <c r="H2563" t="s">
        <v>419</v>
      </c>
      <c r="I2563">
        <v>0.12</v>
      </c>
      <c r="J2563">
        <f t="shared" ref="J2563:J2626" si="120">I2563*O2563</f>
        <v>86.399999999999991</v>
      </c>
      <c r="K2563">
        <v>1</v>
      </c>
      <c r="L2563">
        <f t="shared" ref="L2563:L2626" si="121">J2563-K2563</f>
        <v>85.399999999999991</v>
      </c>
      <c r="M2563" s="4">
        <f t="shared" ref="M2563:M2626" si="122">((I2563*O2563)-K2563)/N2563</f>
        <v>0.10674999999999998</v>
      </c>
      <c r="N2563">
        <v>800</v>
      </c>
      <c r="O2563">
        <v>720</v>
      </c>
      <c r="P2563" t="s">
        <v>25</v>
      </c>
      <c r="Q2563" t="s">
        <v>26</v>
      </c>
      <c r="R2563" t="str">
        <f>IF(COUNTIF(Sheet2!B:B, A2563) &gt; 0, "Yes", "No")</f>
        <v>No</v>
      </c>
    </row>
    <row r="2564" spans="1:18" x14ac:dyDescent="0.25">
      <c r="A2564" s="3">
        <v>45504</v>
      </c>
      <c r="B2564" t="s">
        <v>285</v>
      </c>
      <c r="C2564" t="s">
        <v>51</v>
      </c>
      <c r="D2564" t="s">
        <v>20</v>
      </c>
      <c r="E2564" t="s">
        <v>21</v>
      </c>
      <c r="F2564" t="s">
        <v>30</v>
      </c>
      <c r="G2564" t="s">
        <v>55</v>
      </c>
      <c r="H2564" t="s">
        <v>125</v>
      </c>
      <c r="I2564">
        <v>0.09</v>
      </c>
      <c r="J2564">
        <f t="shared" si="120"/>
        <v>64.8</v>
      </c>
      <c r="K2564">
        <v>2</v>
      </c>
      <c r="L2564">
        <f t="shared" si="121"/>
        <v>62.8</v>
      </c>
      <c r="M2564" s="4">
        <f t="shared" si="122"/>
        <v>7.85E-2</v>
      </c>
      <c r="N2564">
        <v>800</v>
      </c>
      <c r="O2564">
        <v>720</v>
      </c>
      <c r="P2564" t="s">
        <v>25</v>
      </c>
      <c r="Q2564" t="s">
        <v>26</v>
      </c>
      <c r="R2564" t="str">
        <f>IF(COUNTIF(Sheet2!B:B, A2564) &gt; 0, "Yes", "No")</f>
        <v>No</v>
      </c>
    </row>
    <row r="2565" spans="1:18" x14ac:dyDescent="0.25">
      <c r="A2565" s="3">
        <v>45504</v>
      </c>
      <c r="B2565" t="s">
        <v>285</v>
      </c>
      <c r="C2565" t="s">
        <v>51</v>
      </c>
      <c r="D2565" t="s">
        <v>33</v>
      </c>
      <c r="E2565" t="s">
        <v>21</v>
      </c>
      <c r="F2565" t="s">
        <v>34</v>
      </c>
      <c r="G2565" t="s">
        <v>306</v>
      </c>
      <c r="H2565" t="s">
        <v>661</v>
      </c>
      <c r="I2565">
        <v>0.15</v>
      </c>
      <c r="J2565">
        <f t="shared" si="120"/>
        <v>72</v>
      </c>
      <c r="K2565">
        <v>2</v>
      </c>
      <c r="L2565">
        <f t="shared" si="121"/>
        <v>70</v>
      </c>
      <c r="M2565" s="4">
        <f t="shared" si="122"/>
        <v>0.125</v>
      </c>
      <c r="N2565">
        <v>560</v>
      </c>
      <c r="O2565">
        <v>480</v>
      </c>
      <c r="P2565" t="s">
        <v>25</v>
      </c>
      <c r="Q2565" t="s">
        <v>26</v>
      </c>
      <c r="R2565" t="str">
        <f>IF(COUNTIF(Sheet2!B:B, A2565) &gt; 0, "Yes", "No")</f>
        <v>No</v>
      </c>
    </row>
    <row r="2566" spans="1:18" x14ac:dyDescent="0.25">
      <c r="A2566" s="3">
        <v>45504</v>
      </c>
      <c r="B2566" t="s">
        <v>285</v>
      </c>
      <c r="C2566" t="s">
        <v>51</v>
      </c>
      <c r="D2566" t="s">
        <v>20</v>
      </c>
      <c r="E2566" t="s">
        <v>21</v>
      </c>
      <c r="F2566" t="s">
        <v>37</v>
      </c>
      <c r="G2566" t="s">
        <v>71</v>
      </c>
      <c r="H2566" t="s">
        <v>151</v>
      </c>
      <c r="I2566">
        <v>0.03</v>
      </c>
      <c r="J2566">
        <f t="shared" si="120"/>
        <v>21.599999999999998</v>
      </c>
      <c r="K2566">
        <v>3</v>
      </c>
      <c r="L2566">
        <f t="shared" si="121"/>
        <v>18.599999999999998</v>
      </c>
      <c r="M2566" s="4">
        <f t="shared" si="122"/>
        <v>2.3249999999999996E-2</v>
      </c>
      <c r="N2566">
        <v>800</v>
      </c>
      <c r="O2566">
        <v>720</v>
      </c>
      <c r="P2566" t="s">
        <v>25</v>
      </c>
      <c r="Q2566" t="s">
        <v>26</v>
      </c>
      <c r="R2566" t="str">
        <f>IF(COUNTIF(Sheet2!B:B, A2566) &gt; 0, "Yes", "No")</f>
        <v>No</v>
      </c>
    </row>
    <row r="2567" spans="1:18" x14ac:dyDescent="0.25">
      <c r="A2567" s="3">
        <v>45504</v>
      </c>
      <c r="B2567" t="s">
        <v>285</v>
      </c>
      <c r="C2567" t="s">
        <v>51</v>
      </c>
      <c r="D2567" t="s">
        <v>20</v>
      </c>
      <c r="E2567" t="s">
        <v>21</v>
      </c>
      <c r="F2567" t="s">
        <v>40</v>
      </c>
      <c r="G2567" t="s">
        <v>137</v>
      </c>
      <c r="H2567" t="s">
        <v>152</v>
      </c>
      <c r="I2567">
        <v>4.4999999999999998E-2</v>
      </c>
      <c r="J2567">
        <f t="shared" si="120"/>
        <v>32.4</v>
      </c>
      <c r="K2567">
        <v>3</v>
      </c>
      <c r="L2567">
        <f t="shared" si="121"/>
        <v>29.4</v>
      </c>
      <c r="M2567" s="4">
        <f t="shared" si="122"/>
        <v>3.6749999999999998E-2</v>
      </c>
      <c r="N2567">
        <v>800</v>
      </c>
      <c r="O2567">
        <v>720</v>
      </c>
      <c r="P2567" t="s">
        <v>25</v>
      </c>
      <c r="Q2567" t="s">
        <v>26</v>
      </c>
      <c r="R2567" t="str">
        <f>IF(COUNTIF(Sheet2!B:B, A2567) &gt; 0, "Yes", "No")</f>
        <v>No</v>
      </c>
    </row>
    <row r="2568" spans="1:18" x14ac:dyDescent="0.25">
      <c r="A2568" s="3">
        <v>45504</v>
      </c>
      <c r="B2568" t="s">
        <v>285</v>
      </c>
      <c r="C2568" t="s">
        <v>51</v>
      </c>
      <c r="D2568" t="s">
        <v>20</v>
      </c>
      <c r="E2568" t="s">
        <v>21</v>
      </c>
      <c r="F2568" t="s">
        <v>43</v>
      </c>
      <c r="G2568" t="s">
        <v>301</v>
      </c>
      <c r="H2568" t="s">
        <v>302</v>
      </c>
      <c r="I2568">
        <v>0.11</v>
      </c>
      <c r="J2568">
        <f t="shared" si="120"/>
        <v>79.2</v>
      </c>
      <c r="K2568">
        <v>3</v>
      </c>
      <c r="L2568">
        <f t="shared" si="121"/>
        <v>76.2</v>
      </c>
      <c r="M2568" s="4">
        <f t="shared" si="122"/>
        <v>9.5250000000000001E-2</v>
      </c>
      <c r="N2568">
        <v>800</v>
      </c>
      <c r="O2568">
        <v>720</v>
      </c>
      <c r="P2568" t="s">
        <v>25</v>
      </c>
      <c r="Q2568" t="s">
        <v>26</v>
      </c>
      <c r="R2568" t="str">
        <f>IF(COUNTIF(Sheet2!B:B, A2568) &gt; 0, "Yes", "No")</f>
        <v>No</v>
      </c>
    </row>
    <row r="2569" spans="1:18" x14ac:dyDescent="0.25">
      <c r="A2569" s="3">
        <v>45504</v>
      </c>
      <c r="B2569" t="s">
        <v>285</v>
      </c>
      <c r="C2569" t="s">
        <v>51</v>
      </c>
      <c r="D2569" t="s">
        <v>20</v>
      </c>
      <c r="E2569" t="s">
        <v>21</v>
      </c>
      <c r="F2569" t="s">
        <v>46</v>
      </c>
      <c r="G2569" t="s">
        <v>103</v>
      </c>
      <c r="H2569" t="s">
        <v>631</v>
      </c>
      <c r="I2569">
        <v>0.09</v>
      </c>
      <c r="J2569">
        <f t="shared" si="120"/>
        <v>64.8</v>
      </c>
      <c r="K2569">
        <v>3</v>
      </c>
      <c r="L2569">
        <f t="shared" si="121"/>
        <v>61.8</v>
      </c>
      <c r="M2569" s="4">
        <f t="shared" si="122"/>
        <v>7.7249999999999999E-2</v>
      </c>
      <c r="N2569">
        <v>800</v>
      </c>
      <c r="O2569">
        <v>720</v>
      </c>
      <c r="P2569" t="s">
        <v>25</v>
      </c>
      <c r="Q2569" t="s">
        <v>26</v>
      </c>
      <c r="R2569" t="str">
        <f>IF(COUNTIF(Sheet2!B:B, A2569) &gt; 0, "Yes", "No")</f>
        <v>No</v>
      </c>
    </row>
    <row r="2570" spans="1:18" x14ac:dyDescent="0.25">
      <c r="A2570" s="3">
        <v>45504</v>
      </c>
      <c r="B2570" t="s">
        <v>285</v>
      </c>
      <c r="C2570" t="s">
        <v>51</v>
      </c>
      <c r="D2570" t="s">
        <v>20</v>
      </c>
      <c r="E2570" t="s">
        <v>21</v>
      </c>
      <c r="F2570" t="s">
        <v>49</v>
      </c>
      <c r="G2570" t="s">
        <v>50</v>
      </c>
      <c r="H2570" t="s">
        <v>49</v>
      </c>
      <c r="I2570">
        <v>0.09</v>
      </c>
      <c r="J2570">
        <f t="shared" si="120"/>
        <v>64.8</v>
      </c>
      <c r="K2570">
        <v>4</v>
      </c>
      <c r="L2570">
        <f t="shared" si="121"/>
        <v>60.8</v>
      </c>
      <c r="M2570" s="4">
        <f t="shared" si="122"/>
        <v>7.5999999999999998E-2</v>
      </c>
      <c r="N2570">
        <v>800</v>
      </c>
      <c r="O2570">
        <v>720</v>
      </c>
      <c r="P2570" t="s">
        <v>25</v>
      </c>
      <c r="Q2570" t="s">
        <v>26</v>
      </c>
      <c r="R2570" t="str">
        <f>IF(COUNTIF(Sheet2!B:B, A2570) &gt; 0, "Yes", "No")</f>
        <v>No</v>
      </c>
    </row>
    <row r="2571" spans="1:18" x14ac:dyDescent="0.25">
      <c r="A2571" s="3">
        <v>45505</v>
      </c>
      <c r="B2571" t="s">
        <v>323</v>
      </c>
      <c r="C2571" t="s">
        <v>66</v>
      </c>
      <c r="D2571" t="s">
        <v>20</v>
      </c>
      <c r="E2571" t="s">
        <v>67</v>
      </c>
      <c r="F2571" t="s">
        <v>22</v>
      </c>
      <c r="G2571" t="s">
        <v>94</v>
      </c>
      <c r="H2571" t="s">
        <v>95</v>
      </c>
      <c r="I2571">
        <v>8.5000000000000006E-2</v>
      </c>
      <c r="J2571">
        <f t="shared" si="120"/>
        <v>54.400000000000006</v>
      </c>
      <c r="K2571">
        <v>2</v>
      </c>
      <c r="L2571">
        <f t="shared" si="121"/>
        <v>52.400000000000006</v>
      </c>
      <c r="M2571" s="4">
        <f t="shared" si="122"/>
        <v>7.4857142857142872E-2</v>
      </c>
      <c r="N2571">
        <v>700</v>
      </c>
      <c r="O2571">
        <v>640</v>
      </c>
      <c r="P2571" t="s">
        <v>25</v>
      </c>
      <c r="Q2571" t="s">
        <v>26</v>
      </c>
      <c r="R2571" t="str">
        <f>IF(COUNTIF(Sheet2!B:B, A2571) &gt; 0, "Yes", "No")</f>
        <v>No</v>
      </c>
    </row>
    <row r="2572" spans="1:18" x14ac:dyDescent="0.25">
      <c r="A2572" s="3">
        <v>45505</v>
      </c>
      <c r="B2572" t="s">
        <v>323</v>
      </c>
      <c r="C2572" t="s">
        <v>66</v>
      </c>
      <c r="D2572" t="s">
        <v>20</v>
      </c>
      <c r="E2572" t="s">
        <v>67</v>
      </c>
      <c r="F2572" t="s">
        <v>27</v>
      </c>
      <c r="G2572" t="s">
        <v>235</v>
      </c>
      <c r="H2572" t="s">
        <v>662</v>
      </c>
      <c r="I2572">
        <v>0.12</v>
      </c>
      <c r="J2572">
        <f t="shared" si="120"/>
        <v>76.8</v>
      </c>
      <c r="K2572">
        <v>0</v>
      </c>
      <c r="L2572">
        <f t="shared" si="121"/>
        <v>76.8</v>
      </c>
      <c r="M2572" s="4">
        <f t="shared" si="122"/>
        <v>0.10971428571428571</v>
      </c>
      <c r="N2572">
        <v>700</v>
      </c>
      <c r="O2572">
        <v>640</v>
      </c>
      <c r="P2572" t="s">
        <v>25</v>
      </c>
      <c r="Q2572" t="s">
        <v>26</v>
      </c>
      <c r="R2572" t="str">
        <f>IF(COUNTIF(Sheet2!B:B, A2572) &gt; 0, "Yes", "No")</f>
        <v>No</v>
      </c>
    </row>
    <row r="2573" spans="1:18" x14ac:dyDescent="0.25">
      <c r="A2573" s="3">
        <v>45505</v>
      </c>
      <c r="B2573" t="s">
        <v>323</v>
      </c>
      <c r="C2573" t="s">
        <v>66</v>
      </c>
      <c r="D2573" t="s">
        <v>20</v>
      </c>
      <c r="E2573" t="s">
        <v>67</v>
      </c>
      <c r="F2573" t="s">
        <v>30</v>
      </c>
      <c r="G2573" t="s">
        <v>55</v>
      </c>
      <c r="H2573" t="s">
        <v>56</v>
      </c>
      <c r="I2573">
        <v>0.09</v>
      </c>
      <c r="J2573">
        <f t="shared" si="120"/>
        <v>57.599999999999994</v>
      </c>
      <c r="K2573">
        <v>0.5</v>
      </c>
      <c r="L2573">
        <f t="shared" si="121"/>
        <v>57.099999999999994</v>
      </c>
      <c r="M2573" s="4">
        <f t="shared" si="122"/>
        <v>8.1571428571428559E-2</v>
      </c>
      <c r="N2573">
        <v>700</v>
      </c>
      <c r="O2573">
        <v>640</v>
      </c>
      <c r="P2573" t="s">
        <v>25</v>
      </c>
      <c r="Q2573" t="s">
        <v>26</v>
      </c>
      <c r="R2573" t="str">
        <f>IF(COUNTIF(Sheet2!B:B, A2573) &gt; 0, "Yes", "No")</f>
        <v>No</v>
      </c>
    </row>
    <row r="2574" spans="1:18" x14ac:dyDescent="0.25">
      <c r="A2574" s="3">
        <v>45505</v>
      </c>
      <c r="B2574" t="s">
        <v>323</v>
      </c>
      <c r="C2574" t="s">
        <v>66</v>
      </c>
      <c r="D2574" t="s">
        <v>20</v>
      </c>
      <c r="E2574" t="s">
        <v>67</v>
      </c>
      <c r="F2574" t="s">
        <v>37</v>
      </c>
      <c r="G2574" t="s">
        <v>108</v>
      </c>
      <c r="H2574" t="s">
        <v>109</v>
      </c>
      <c r="I2574">
        <v>3.5000000000000003E-2</v>
      </c>
      <c r="J2574">
        <f t="shared" si="120"/>
        <v>22.400000000000002</v>
      </c>
      <c r="K2574">
        <v>2</v>
      </c>
      <c r="L2574">
        <f t="shared" si="121"/>
        <v>20.400000000000002</v>
      </c>
      <c r="M2574" s="4">
        <f t="shared" si="122"/>
        <v>2.9142857142857147E-2</v>
      </c>
      <c r="N2574">
        <v>700</v>
      </c>
      <c r="O2574">
        <v>640</v>
      </c>
      <c r="P2574" t="s">
        <v>25</v>
      </c>
      <c r="Q2574" t="s">
        <v>26</v>
      </c>
      <c r="R2574" t="str">
        <f>IF(COUNTIF(Sheet2!B:B, A2574) &gt; 0, "Yes", "No")</f>
        <v>No</v>
      </c>
    </row>
    <row r="2575" spans="1:18" x14ac:dyDescent="0.25">
      <c r="A2575" s="3">
        <v>45505</v>
      </c>
      <c r="B2575" t="s">
        <v>323</v>
      </c>
      <c r="C2575" t="s">
        <v>66</v>
      </c>
      <c r="D2575" t="s">
        <v>20</v>
      </c>
      <c r="E2575" t="s">
        <v>67</v>
      </c>
      <c r="F2575" t="s">
        <v>40</v>
      </c>
      <c r="G2575" t="s">
        <v>157</v>
      </c>
      <c r="H2575" t="s">
        <v>158</v>
      </c>
      <c r="I2575">
        <v>0.05</v>
      </c>
      <c r="J2575">
        <f t="shared" si="120"/>
        <v>32</v>
      </c>
      <c r="K2575">
        <v>2</v>
      </c>
      <c r="L2575">
        <f t="shared" si="121"/>
        <v>30</v>
      </c>
      <c r="M2575" s="4">
        <f t="shared" si="122"/>
        <v>4.2857142857142858E-2</v>
      </c>
      <c r="N2575">
        <v>700</v>
      </c>
      <c r="O2575">
        <v>640</v>
      </c>
      <c r="P2575" t="s">
        <v>25</v>
      </c>
      <c r="Q2575" t="s">
        <v>26</v>
      </c>
      <c r="R2575" t="str">
        <f>IF(COUNTIF(Sheet2!B:B, A2575) &gt; 0, "Yes", "No")</f>
        <v>No</v>
      </c>
    </row>
    <row r="2576" spans="1:18" x14ac:dyDescent="0.25">
      <c r="A2576" s="3">
        <v>45505</v>
      </c>
      <c r="B2576" t="s">
        <v>323</v>
      </c>
      <c r="C2576" t="s">
        <v>66</v>
      </c>
      <c r="D2576" t="s">
        <v>20</v>
      </c>
      <c r="E2576" t="s">
        <v>67</v>
      </c>
      <c r="F2576" t="s">
        <v>43</v>
      </c>
      <c r="G2576" t="s">
        <v>90</v>
      </c>
      <c r="H2576" t="s">
        <v>174</v>
      </c>
      <c r="I2576">
        <v>0.11</v>
      </c>
      <c r="J2576">
        <f t="shared" si="120"/>
        <v>70.400000000000006</v>
      </c>
      <c r="K2576">
        <v>3</v>
      </c>
      <c r="L2576">
        <f t="shared" si="121"/>
        <v>67.400000000000006</v>
      </c>
      <c r="M2576" s="4">
        <f t="shared" si="122"/>
        <v>9.6285714285714294E-2</v>
      </c>
      <c r="N2576">
        <v>700</v>
      </c>
      <c r="O2576">
        <v>640</v>
      </c>
      <c r="P2576" t="s">
        <v>25</v>
      </c>
      <c r="Q2576" t="s">
        <v>26</v>
      </c>
      <c r="R2576" t="str">
        <f>IF(COUNTIF(Sheet2!B:B, A2576) &gt; 0, "Yes", "No")</f>
        <v>No</v>
      </c>
    </row>
    <row r="2577" spans="1:18" x14ac:dyDescent="0.25">
      <c r="A2577" s="3">
        <v>45505</v>
      </c>
      <c r="B2577" t="s">
        <v>323</v>
      </c>
      <c r="C2577" t="s">
        <v>66</v>
      </c>
      <c r="D2577" t="s">
        <v>20</v>
      </c>
      <c r="E2577" t="s">
        <v>67</v>
      </c>
      <c r="F2577" t="s">
        <v>46</v>
      </c>
      <c r="G2577" t="s">
        <v>92</v>
      </c>
      <c r="H2577" t="s">
        <v>469</v>
      </c>
      <c r="I2577">
        <v>8.5000000000000006E-2</v>
      </c>
      <c r="J2577">
        <f t="shared" si="120"/>
        <v>54.400000000000006</v>
      </c>
      <c r="K2577">
        <v>3</v>
      </c>
      <c r="L2577">
        <f t="shared" si="121"/>
        <v>51.400000000000006</v>
      </c>
      <c r="M2577" s="4">
        <f t="shared" si="122"/>
        <v>7.342857142857144E-2</v>
      </c>
      <c r="N2577">
        <v>700</v>
      </c>
      <c r="O2577">
        <v>640</v>
      </c>
      <c r="P2577" t="s">
        <v>25</v>
      </c>
      <c r="Q2577" t="s">
        <v>26</v>
      </c>
      <c r="R2577" t="str">
        <f>IF(COUNTIF(Sheet2!B:B, A2577) &gt; 0, "Yes", "No")</f>
        <v>No</v>
      </c>
    </row>
    <row r="2578" spans="1:18" x14ac:dyDescent="0.25">
      <c r="A2578" s="3">
        <v>45505</v>
      </c>
      <c r="B2578" t="s">
        <v>323</v>
      </c>
      <c r="C2578" t="s">
        <v>66</v>
      </c>
      <c r="D2578" t="s">
        <v>20</v>
      </c>
      <c r="E2578" t="s">
        <v>67</v>
      </c>
      <c r="F2578" t="s">
        <v>49</v>
      </c>
      <c r="G2578" t="s">
        <v>50</v>
      </c>
      <c r="H2578" t="s">
        <v>49</v>
      </c>
      <c r="I2578">
        <v>0.09</v>
      </c>
      <c r="J2578">
        <f t="shared" si="120"/>
        <v>57.599999999999994</v>
      </c>
      <c r="K2578">
        <v>0</v>
      </c>
      <c r="L2578">
        <f t="shared" si="121"/>
        <v>57.599999999999994</v>
      </c>
      <c r="M2578" s="4">
        <f t="shared" si="122"/>
        <v>8.2285714285714281E-2</v>
      </c>
      <c r="N2578">
        <v>700</v>
      </c>
      <c r="O2578">
        <v>640</v>
      </c>
      <c r="P2578" t="s">
        <v>25</v>
      </c>
      <c r="Q2578" t="s">
        <v>26</v>
      </c>
      <c r="R2578" t="str">
        <f>IF(COUNTIF(Sheet2!B:B, A2578) &gt; 0, "Yes", "No")</f>
        <v>No</v>
      </c>
    </row>
    <row r="2579" spans="1:18" x14ac:dyDescent="0.25">
      <c r="A2579" s="3">
        <v>45506</v>
      </c>
      <c r="B2579" t="s">
        <v>323</v>
      </c>
      <c r="C2579" t="s">
        <v>79</v>
      </c>
      <c r="D2579" t="s">
        <v>20</v>
      </c>
      <c r="E2579" t="s">
        <v>21</v>
      </c>
      <c r="F2579" t="s">
        <v>22</v>
      </c>
      <c r="G2579" t="s">
        <v>23</v>
      </c>
      <c r="H2579" t="s">
        <v>80</v>
      </c>
      <c r="I2579" s="5">
        <v>0.06</v>
      </c>
      <c r="J2579">
        <f t="shared" si="120"/>
        <v>36</v>
      </c>
      <c r="K2579">
        <v>2</v>
      </c>
      <c r="L2579">
        <f t="shared" si="121"/>
        <v>34</v>
      </c>
      <c r="M2579" s="4">
        <f t="shared" si="122"/>
        <v>5.2307692307692305E-2</v>
      </c>
      <c r="N2579">
        <v>650</v>
      </c>
      <c r="O2579">
        <v>600</v>
      </c>
      <c r="P2579" t="s">
        <v>25</v>
      </c>
      <c r="Q2579" t="s">
        <v>26</v>
      </c>
      <c r="R2579" t="str">
        <f>IF(COUNTIF(Sheet2!B:B, A2579) &gt; 0, "Yes", "No")</f>
        <v>Yes</v>
      </c>
    </row>
    <row r="2580" spans="1:18" x14ac:dyDescent="0.25">
      <c r="A2580" s="3">
        <v>45506</v>
      </c>
      <c r="B2580" t="s">
        <v>323</v>
      </c>
      <c r="C2580" t="s">
        <v>79</v>
      </c>
      <c r="D2580" t="s">
        <v>20</v>
      </c>
      <c r="E2580" t="s">
        <v>21</v>
      </c>
      <c r="F2580" t="s">
        <v>27</v>
      </c>
      <c r="G2580" t="s">
        <v>81</v>
      </c>
      <c r="H2580" t="s">
        <v>378</v>
      </c>
      <c r="I2580" s="5">
        <v>0.1</v>
      </c>
      <c r="J2580">
        <f t="shared" si="120"/>
        <v>60</v>
      </c>
      <c r="K2580">
        <v>2</v>
      </c>
      <c r="L2580">
        <f t="shared" si="121"/>
        <v>58</v>
      </c>
      <c r="M2580" s="4">
        <f t="shared" si="122"/>
        <v>8.9230769230769225E-2</v>
      </c>
      <c r="N2580">
        <v>650</v>
      </c>
      <c r="O2580">
        <v>600</v>
      </c>
      <c r="P2580" t="s">
        <v>25</v>
      </c>
      <c r="Q2580" t="s">
        <v>26</v>
      </c>
      <c r="R2580" t="str">
        <f>IF(COUNTIF(Sheet2!B:B, A2580) &gt; 0, "Yes", "No")</f>
        <v>Yes</v>
      </c>
    </row>
    <row r="2581" spans="1:18" x14ac:dyDescent="0.25">
      <c r="A2581" s="3">
        <v>45506</v>
      </c>
      <c r="B2581" t="s">
        <v>323</v>
      </c>
      <c r="C2581" t="s">
        <v>79</v>
      </c>
      <c r="D2581" t="s">
        <v>20</v>
      </c>
      <c r="E2581" t="s">
        <v>21</v>
      </c>
      <c r="F2581" t="s">
        <v>30</v>
      </c>
      <c r="G2581" t="s">
        <v>55</v>
      </c>
      <c r="H2581" t="s">
        <v>97</v>
      </c>
      <c r="I2581" s="5">
        <v>0.06</v>
      </c>
      <c r="J2581">
        <f t="shared" si="120"/>
        <v>36</v>
      </c>
      <c r="K2581">
        <v>1</v>
      </c>
      <c r="L2581">
        <f t="shared" si="121"/>
        <v>35</v>
      </c>
      <c r="M2581" s="4">
        <f t="shared" si="122"/>
        <v>5.3846153846153849E-2</v>
      </c>
      <c r="N2581">
        <v>650</v>
      </c>
      <c r="O2581">
        <v>600</v>
      </c>
      <c r="P2581" t="s">
        <v>25</v>
      </c>
      <c r="Q2581" t="s">
        <v>26</v>
      </c>
      <c r="R2581" t="str">
        <f>IF(COUNTIF(Sheet2!B:B, A2581) &gt; 0, "Yes", "No")</f>
        <v>Yes</v>
      </c>
    </row>
    <row r="2582" spans="1:18" x14ac:dyDescent="0.25">
      <c r="A2582" s="3">
        <v>45506</v>
      </c>
      <c r="B2582" t="s">
        <v>323</v>
      </c>
      <c r="C2582" t="s">
        <v>79</v>
      </c>
      <c r="D2582" t="s">
        <v>33</v>
      </c>
      <c r="E2582" t="s">
        <v>21</v>
      </c>
      <c r="F2582" t="s">
        <v>84</v>
      </c>
      <c r="G2582" t="s">
        <v>85</v>
      </c>
      <c r="H2582" t="s">
        <v>86</v>
      </c>
      <c r="I2582" s="5">
        <v>0.3</v>
      </c>
      <c r="J2582">
        <f t="shared" si="120"/>
        <v>144</v>
      </c>
      <c r="K2582">
        <v>2</v>
      </c>
      <c r="L2582">
        <f t="shared" si="121"/>
        <v>142</v>
      </c>
      <c r="M2582" s="4">
        <f t="shared" si="122"/>
        <v>0.27307692307692305</v>
      </c>
      <c r="N2582">
        <v>520</v>
      </c>
      <c r="O2582">
        <v>480</v>
      </c>
      <c r="P2582" t="s">
        <v>25</v>
      </c>
      <c r="Q2582" t="s">
        <v>26</v>
      </c>
      <c r="R2582" t="str">
        <f>IF(COUNTIF(Sheet2!B:B, A2582) &gt; 0, "Yes", "No")</f>
        <v>Yes</v>
      </c>
    </row>
    <row r="2583" spans="1:18" x14ac:dyDescent="0.25">
      <c r="A2583" s="3">
        <v>45506</v>
      </c>
      <c r="B2583" t="s">
        <v>323</v>
      </c>
      <c r="C2583" t="s">
        <v>79</v>
      </c>
      <c r="D2583" t="s">
        <v>20</v>
      </c>
      <c r="E2583" t="s">
        <v>21</v>
      </c>
      <c r="F2583" t="s">
        <v>37</v>
      </c>
      <c r="G2583" t="s">
        <v>87</v>
      </c>
      <c r="H2583" t="s">
        <v>99</v>
      </c>
      <c r="I2583" s="5">
        <v>2.5000000000000001E-2</v>
      </c>
      <c r="J2583">
        <f t="shared" si="120"/>
        <v>15</v>
      </c>
      <c r="K2583">
        <v>2</v>
      </c>
      <c r="L2583">
        <f t="shared" si="121"/>
        <v>13</v>
      </c>
      <c r="M2583" s="4">
        <f t="shared" si="122"/>
        <v>0.02</v>
      </c>
      <c r="N2583">
        <v>650</v>
      </c>
      <c r="O2583">
        <v>600</v>
      </c>
      <c r="P2583" t="s">
        <v>25</v>
      </c>
      <c r="Q2583" t="s">
        <v>26</v>
      </c>
      <c r="R2583" t="str">
        <f>IF(COUNTIF(Sheet2!B:B, A2583) &gt; 0, "Yes", "No")</f>
        <v>Yes</v>
      </c>
    </row>
    <row r="2584" spans="1:18" x14ac:dyDescent="0.25">
      <c r="A2584" s="3">
        <v>45506</v>
      </c>
      <c r="B2584" t="s">
        <v>323</v>
      </c>
      <c r="C2584" t="s">
        <v>79</v>
      </c>
      <c r="D2584" t="s">
        <v>20</v>
      </c>
      <c r="E2584" t="s">
        <v>21</v>
      </c>
      <c r="F2584" t="s">
        <v>40</v>
      </c>
      <c r="G2584" t="s">
        <v>164</v>
      </c>
      <c r="H2584" t="s">
        <v>165</v>
      </c>
      <c r="I2584" s="5">
        <v>0.04</v>
      </c>
      <c r="J2584">
        <f t="shared" si="120"/>
        <v>24</v>
      </c>
      <c r="K2584">
        <v>2</v>
      </c>
      <c r="L2584">
        <f t="shared" si="121"/>
        <v>22</v>
      </c>
      <c r="M2584" s="4">
        <f t="shared" si="122"/>
        <v>3.3846153846153845E-2</v>
      </c>
      <c r="N2584">
        <v>650</v>
      </c>
      <c r="O2584">
        <v>600</v>
      </c>
      <c r="P2584" t="s">
        <v>25</v>
      </c>
      <c r="Q2584" t="s">
        <v>26</v>
      </c>
      <c r="R2584" t="str">
        <f>IF(COUNTIF(Sheet2!B:B, A2584) &gt; 0, "Yes", "No")</f>
        <v>Yes</v>
      </c>
    </row>
    <row r="2585" spans="1:18" x14ac:dyDescent="0.25">
      <c r="A2585" s="3">
        <v>45506</v>
      </c>
      <c r="B2585" t="s">
        <v>323</v>
      </c>
      <c r="C2585" t="s">
        <v>79</v>
      </c>
      <c r="D2585" t="s">
        <v>20</v>
      </c>
      <c r="E2585" t="s">
        <v>21</v>
      </c>
      <c r="F2585" t="s">
        <v>43</v>
      </c>
      <c r="G2585" t="s">
        <v>139</v>
      </c>
      <c r="H2585" t="s">
        <v>663</v>
      </c>
      <c r="I2585" s="5">
        <v>7.4999999999999997E-2</v>
      </c>
      <c r="J2585">
        <f t="shared" si="120"/>
        <v>45</v>
      </c>
      <c r="K2585">
        <v>2</v>
      </c>
      <c r="L2585">
        <f t="shared" si="121"/>
        <v>43</v>
      </c>
      <c r="M2585" s="4">
        <f t="shared" si="122"/>
        <v>6.615384615384616E-2</v>
      </c>
      <c r="N2585">
        <v>650</v>
      </c>
      <c r="O2585">
        <v>600</v>
      </c>
      <c r="P2585" t="s">
        <v>25</v>
      </c>
      <c r="Q2585" t="s">
        <v>26</v>
      </c>
      <c r="R2585" t="str">
        <f>IF(COUNTIF(Sheet2!B:B, A2585) &gt; 0, "Yes", "No")</f>
        <v>Yes</v>
      </c>
    </row>
    <row r="2586" spans="1:18" x14ac:dyDescent="0.25">
      <c r="A2586" s="3">
        <v>45506</v>
      </c>
      <c r="B2586" t="s">
        <v>323</v>
      </c>
      <c r="C2586" t="s">
        <v>79</v>
      </c>
      <c r="D2586" t="s">
        <v>20</v>
      </c>
      <c r="E2586" t="s">
        <v>21</v>
      </c>
      <c r="F2586" t="s">
        <v>46</v>
      </c>
      <c r="G2586" t="s">
        <v>77</v>
      </c>
      <c r="H2586" t="s">
        <v>664</v>
      </c>
      <c r="I2586" s="5">
        <v>0.06</v>
      </c>
      <c r="J2586">
        <f t="shared" si="120"/>
        <v>36</v>
      </c>
      <c r="K2586">
        <v>2</v>
      </c>
      <c r="L2586">
        <f t="shared" si="121"/>
        <v>34</v>
      </c>
      <c r="M2586" s="4">
        <f t="shared" si="122"/>
        <v>5.2307692307692305E-2</v>
      </c>
      <c r="N2586">
        <v>650</v>
      </c>
      <c r="O2586">
        <v>600</v>
      </c>
      <c r="P2586" t="s">
        <v>25</v>
      </c>
      <c r="Q2586" t="s">
        <v>26</v>
      </c>
      <c r="R2586" t="str">
        <f>IF(COUNTIF(Sheet2!B:B, A2586) &gt; 0, "Yes", "No")</f>
        <v>Yes</v>
      </c>
    </row>
    <row r="2587" spans="1:18" x14ac:dyDescent="0.25">
      <c r="A2587" s="3">
        <v>45506</v>
      </c>
      <c r="B2587" t="s">
        <v>323</v>
      </c>
      <c r="C2587" t="s">
        <v>79</v>
      </c>
      <c r="D2587" t="s">
        <v>20</v>
      </c>
      <c r="E2587" t="s">
        <v>21</v>
      </c>
      <c r="F2587" t="s">
        <v>49</v>
      </c>
      <c r="G2587" t="s">
        <v>50</v>
      </c>
      <c r="H2587" t="s">
        <v>49</v>
      </c>
      <c r="I2587" s="5">
        <v>0.04</v>
      </c>
      <c r="J2587">
        <f t="shared" si="120"/>
        <v>24</v>
      </c>
      <c r="K2587">
        <v>1</v>
      </c>
      <c r="L2587">
        <f t="shared" si="121"/>
        <v>23</v>
      </c>
      <c r="M2587" s="4">
        <f t="shared" si="122"/>
        <v>3.5384615384615382E-2</v>
      </c>
      <c r="N2587">
        <v>650</v>
      </c>
      <c r="O2587">
        <v>600</v>
      </c>
      <c r="P2587" t="s">
        <v>25</v>
      </c>
      <c r="Q2587" t="s">
        <v>26</v>
      </c>
      <c r="R2587" t="str">
        <f>IF(COUNTIF(Sheet2!B:B, A2587) &gt; 0, "Yes", "No")</f>
        <v>Yes</v>
      </c>
    </row>
    <row r="2588" spans="1:18" x14ac:dyDescent="0.25">
      <c r="A2588" s="3">
        <v>45509</v>
      </c>
      <c r="B2588" t="s">
        <v>323</v>
      </c>
      <c r="C2588" t="s">
        <v>19</v>
      </c>
      <c r="D2588" t="s">
        <v>20</v>
      </c>
      <c r="E2588" t="s">
        <v>21</v>
      </c>
      <c r="F2588" t="s">
        <v>22</v>
      </c>
      <c r="G2588" t="s">
        <v>52</v>
      </c>
      <c r="H2588" t="s">
        <v>68</v>
      </c>
      <c r="I2588">
        <v>8.5000000000000006E-2</v>
      </c>
      <c r="J2588">
        <f t="shared" si="120"/>
        <v>56.95</v>
      </c>
      <c r="K2588">
        <v>2</v>
      </c>
      <c r="L2588">
        <f t="shared" si="121"/>
        <v>54.95</v>
      </c>
      <c r="M2588" s="4">
        <f t="shared" si="122"/>
        <v>7.6319444444444454E-2</v>
      </c>
      <c r="N2588">
        <v>720</v>
      </c>
      <c r="O2588">
        <v>670</v>
      </c>
      <c r="P2588" t="s">
        <v>25</v>
      </c>
      <c r="Q2588" t="s">
        <v>26</v>
      </c>
      <c r="R2588" t="str">
        <f>IF(COUNTIF(Sheet2!B:B, A2588) &gt; 0, "Yes", "No")</f>
        <v>No</v>
      </c>
    </row>
    <row r="2589" spans="1:18" x14ac:dyDescent="0.25">
      <c r="A2589" s="3">
        <v>45509</v>
      </c>
      <c r="B2589" t="s">
        <v>323</v>
      </c>
      <c r="C2589" t="s">
        <v>19</v>
      </c>
      <c r="D2589" t="s">
        <v>20</v>
      </c>
      <c r="E2589" t="s">
        <v>21</v>
      </c>
      <c r="F2589" t="s">
        <v>27</v>
      </c>
      <c r="G2589" t="s">
        <v>780</v>
      </c>
      <c r="H2589" t="s">
        <v>639</v>
      </c>
      <c r="I2589">
        <v>0.11</v>
      </c>
      <c r="J2589">
        <f t="shared" si="120"/>
        <v>73.7</v>
      </c>
      <c r="K2589">
        <v>3</v>
      </c>
      <c r="L2589">
        <f t="shared" si="121"/>
        <v>70.7</v>
      </c>
      <c r="M2589" s="4">
        <f t="shared" si="122"/>
        <v>9.8194444444444445E-2</v>
      </c>
      <c r="N2589">
        <v>720</v>
      </c>
      <c r="O2589">
        <v>670</v>
      </c>
      <c r="P2589" t="s">
        <v>25</v>
      </c>
      <c r="Q2589" t="s">
        <v>26</v>
      </c>
      <c r="R2589" t="str">
        <f>IF(COUNTIF(Sheet2!B:B, A2589) &gt; 0, "Yes", "No")</f>
        <v>No</v>
      </c>
    </row>
    <row r="2590" spans="1:18" x14ac:dyDescent="0.25">
      <c r="A2590" s="3">
        <v>45509</v>
      </c>
      <c r="B2590" t="s">
        <v>323</v>
      </c>
      <c r="C2590" t="s">
        <v>19</v>
      </c>
      <c r="D2590" t="s">
        <v>20</v>
      </c>
      <c r="E2590" t="s">
        <v>21</v>
      </c>
      <c r="F2590" t="s">
        <v>30</v>
      </c>
      <c r="G2590" t="s">
        <v>55</v>
      </c>
      <c r="H2590" t="s">
        <v>183</v>
      </c>
      <c r="I2590">
        <v>0.09</v>
      </c>
      <c r="J2590">
        <f t="shared" si="120"/>
        <v>60.3</v>
      </c>
      <c r="K2590">
        <v>2</v>
      </c>
      <c r="L2590">
        <f t="shared" si="121"/>
        <v>58.3</v>
      </c>
      <c r="M2590" s="4">
        <f t="shared" si="122"/>
        <v>8.0972222222222223E-2</v>
      </c>
      <c r="N2590">
        <v>720</v>
      </c>
      <c r="O2590">
        <v>670</v>
      </c>
      <c r="P2590" t="s">
        <v>25</v>
      </c>
      <c r="Q2590" t="s">
        <v>26</v>
      </c>
      <c r="R2590" t="str">
        <f>IF(COUNTIF(Sheet2!B:B, A2590) &gt; 0, "Yes", "No")</f>
        <v>No</v>
      </c>
    </row>
    <row r="2591" spans="1:18" x14ac:dyDescent="0.25">
      <c r="A2591" s="3">
        <v>45509</v>
      </c>
      <c r="B2591" t="s">
        <v>323</v>
      </c>
      <c r="C2591" t="s">
        <v>19</v>
      </c>
      <c r="D2591" t="s">
        <v>33</v>
      </c>
      <c r="E2591" t="s">
        <v>21</v>
      </c>
      <c r="F2591" t="s">
        <v>34</v>
      </c>
      <c r="G2591" t="s">
        <v>57</v>
      </c>
      <c r="H2591" t="s">
        <v>224</v>
      </c>
      <c r="I2591">
        <v>0.15</v>
      </c>
      <c r="J2591">
        <f t="shared" si="120"/>
        <v>60</v>
      </c>
      <c r="K2591">
        <v>0</v>
      </c>
      <c r="L2591">
        <f t="shared" si="121"/>
        <v>60</v>
      </c>
      <c r="M2591" s="4">
        <f t="shared" si="122"/>
        <v>0.11904761904761904</v>
      </c>
      <c r="N2591">
        <v>504</v>
      </c>
      <c r="O2591">
        <v>400</v>
      </c>
      <c r="P2591" t="s">
        <v>25</v>
      </c>
      <c r="Q2591" t="s">
        <v>26</v>
      </c>
      <c r="R2591" t="str">
        <f>IF(COUNTIF(Sheet2!B:B, A2591) &gt; 0, "Yes", "No")</f>
        <v>No</v>
      </c>
    </row>
    <row r="2592" spans="1:18" x14ac:dyDescent="0.25">
      <c r="A2592" s="3">
        <v>45509</v>
      </c>
      <c r="B2592" t="s">
        <v>323</v>
      </c>
      <c r="C2592" t="s">
        <v>19</v>
      </c>
      <c r="D2592" t="s">
        <v>20</v>
      </c>
      <c r="E2592" t="s">
        <v>21</v>
      </c>
      <c r="F2592" t="s">
        <v>37</v>
      </c>
      <c r="G2592" t="s">
        <v>117</v>
      </c>
      <c r="H2592" t="s">
        <v>118</v>
      </c>
      <c r="I2592">
        <v>0.03</v>
      </c>
      <c r="J2592">
        <f t="shared" si="120"/>
        <v>20.099999999999998</v>
      </c>
      <c r="K2592">
        <v>1</v>
      </c>
      <c r="L2592">
        <f t="shared" si="121"/>
        <v>19.099999999999998</v>
      </c>
      <c r="M2592" s="4">
        <f t="shared" si="122"/>
        <v>2.6527777777777775E-2</v>
      </c>
      <c r="N2592">
        <v>720</v>
      </c>
      <c r="O2592">
        <v>670</v>
      </c>
      <c r="P2592" t="s">
        <v>25</v>
      </c>
      <c r="Q2592" t="s">
        <v>26</v>
      </c>
      <c r="R2592" t="str">
        <f>IF(COUNTIF(Sheet2!B:B, A2592) &gt; 0, "Yes", "No")</f>
        <v>No</v>
      </c>
    </row>
    <row r="2593" spans="1:18" x14ac:dyDescent="0.25">
      <c r="A2593" s="3">
        <v>45509</v>
      </c>
      <c r="B2593" t="s">
        <v>323</v>
      </c>
      <c r="C2593" t="s">
        <v>19</v>
      </c>
      <c r="D2593" t="s">
        <v>20</v>
      </c>
      <c r="E2593" t="s">
        <v>21</v>
      </c>
      <c r="F2593" t="s">
        <v>40</v>
      </c>
      <c r="G2593" t="s">
        <v>137</v>
      </c>
      <c r="H2593" t="s">
        <v>622</v>
      </c>
      <c r="I2593">
        <v>4.4999999999999998E-2</v>
      </c>
      <c r="J2593">
        <f t="shared" si="120"/>
        <v>30.15</v>
      </c>
      <c r="K2593">
        <v>2</v>
      </c>
      <c r="L2593">
        <f t="shared" si="121"/>
        <v>28.15</v>
      </c>
      <c r="M2593" s="4">
        <f t="shared" si="122"/>
        <v>3.9097222222222221E-2</v>
      </c>
      <c r="N2593">
        <v>720</v>
      </c>
      <c r="O2593">
        <v>670</v>
      </c>
      <c r="P2593" t="s">
        <v>25</v>
      </c>
      <c r="Q2593" t="s">
        <v>26</v>
      </c>
      <c r="R2593" t="str">
        <f>IF(COUNTIF(Sheet2!B:B, A2593) &gt; 0, "Yes", "No")</f>
        <v>No</v>
      </c>
    </row>
    <row r="2594" spans="1:18" x14ac:dyDescent="0.25">
      <c r="A2594" s="3">
        <v>45509</v>
      </c>
      <c r="B2594" t="s">
        <v>323</v>
      </c>
      <c r="C2594" t="s">
        <v>19</v>
      </c>
      <c r="D2594" t="s">
        <v>20</v>
      </c>
      <c r="E2594" t="s">
        <v>21</v>
      </c>
      <c r="F2594" t="s">
        <v>43</v>
      </c>
      <c r="G2594" t="s">
        <v>288</v>
      </c>
      <c r="H2594" t="s">
        <v>289</v>
      </c>
      <c r="I2594">
        <v>0.11</v>
      </c>
      <c r="J2594">
        <f t="shared" si="120"/>
        <v>73.7</v>
      </c>
      <c r="K2594">
        <v>2</v>
      </c>
      <c r="L2594">
        <f t="shared" si="121"/>
        <v>71.7</v>
      </c>
      <c r="M2594" s="4">
        <f t="shared" si="122"/>
        <v>9.9583333333333343E-2</v>
      </c>
      <c r="N2594">
        <v>720</v>
      </c>
      <c r="O2594">
        <v>670</v>
      </c>
      <c r="P2594" t="s">
        <v>25</v>
      </c>
      <c r="Q2594" t="s">
        <v>26</v>
      </c>
      <c r="R2594" t="str">
        <f>IF(COUNTIF(Sheet2!B:B, A2594) &gt; 0, "Yes", "No")</f>
        <v>No</v>
      </c>
    </row>
    <row r="2595" spans="1:18" x14ac:dyDescent="0.25">
      <c r="A2595" s="3">
        <v>45509</v>
      </c>
      <c r="B2595" t="s">
        <v>323</v>
      </c>
      <c r="C2595" t="s">
        <v>19</v>
      </c>
      <c r="D2595" t="s">
        <v>20</v>
      </c>
      <c r="E2595" t="s">
        <v>21</v>
      </c>
      <c r="F2595" t="s">
        <v>46</v>
      </c>
      <c r="G2595" t="s">
        <v>92</v>
      </c>
      <c r="H2595" t="s">
        <v>186</v>
      </c>
      <c r="I2595">
        <v>8.5000000000000006E-2</v>
      </c>
      <c r="J2595">
        <f t="shared" si="120"/>
        <v>56.95</v>
      </c>
      <c r="K2595">
        <v>1</v>
      </c>
      <c r="L2595">
        <f t="shared" si="121"/>
        <v>55.95</v>
      </c>
      <c r="M2595" s="4">
        <f t="shared" si="122"/>
        <v>7.7708333333333338E-2</v>
      </c>
      <c r="N2595">
        <v>720</v>
      </c>
      <c r="O2595">
        <v>670</v>
      </c>
      <c r="P2595" t="s">
        <v>25</v>
      </c>
      <c r="Q2595" t="s">
        <v>26</v>
      </c>
      <c r="R2595" t="str">
        <f>IF(COUNTIF(Sheet2!B:B, A2595) &gt; 0, "Yes", "No")</f>
        <v>No</v>
      </c>
    </row>
    <row r="2596" spans="1:18" x14ac:dyDescent="0.25">
      <c r="A2596" s="3">
        <v>45509</v>
      </c>
      <c r="B2596" t="s">
        <v>323</v>
      </c>
      <c r="C2596" t="s">
        <v>19</v>
      </c>
      <c r="D2596" t="s">
        <v>20</v>
      </c>
      <c r="E2596" t="s">
        <v>21</v>
      </c>
      <c r="F2596" t="s">
        <v>49</v>
      </c>
      <c r="G2596" t="s">
        <v>50</v>
      </c>
      <c r="H2596" t="s">
        <v>49</v>
      </c>
      <c r="I2596">
        <v>0.09</v>
      </c>
      <c r="J2596">
        <f t="shared" si="120"/>
        <v>60.3</v>
      </c>
      <c r="K2596">
        <v>0</v>
      </c>
      <c r="L2596">
        <f t="shared" si="121"/>
        <v>60.3</v>
      </c>
      <c r="M2596" s="4">
        <f t="shared" si="122"/>
        <v>8.3749999999999991E-2</v>
      </c>
      <c r="N2596">
        <v>720</v>
      </c>
      <c r="O2596">
        <v>670</v>
      </c>
      <c r="P2596" t="s">
        <v>25</v>
      </c>
      <c r="Q2596" t="s">
        <v>26</v>
      </c>
      <c r="R2596" t="str">
        <f>IF(COUNTIF(Sheet2!B:B, A2596) &gt; 0, "Yes", "No")</f>
        <v>No</v>
      </c>
    </row>
    <row r="2597" spans="1:18" x14ac:dyDescent="0.25">
      <c r="A2597" s="3">
        <v>45510</v>
      </c>
      <c r="B2597" t="s">
        <v>323</v>
      </c>
      <c r="C2597" t="s">
        <v>105</v>
      </c>
      <c r="D2597" t="s">
        <v>20</v>
      </c>
      <c r="E2597" t="s">
        <v>67</v>
      </c>
      <c r="F2597" t="s">
        <v>22</v>
      </c>
      <c r="G2597" t="s">
        <v>94</v>
      </c>
      <c r="H2597" t="s">
        <v>598</v>
      </c>
      <c r="I2597">
        <v>8.5000000000000006E-2</v>
      </c>
      <c r="J2597">
        <f t="shared" si="120"/>
        <v>56.95</v>
      </c>
      <c r="K2597">
        <v>1</v>
      </c>
      <c r="L2597">
        <f t="shared" si="121"/>
        <v>55.95</v>
      </c>
      <c r="M2597" s="4">
        <f t="shared" si="122"/>
        <v>7.46E-2</v>
      </c>
      <c r="N2597">
        <v>750</v>
      </c>
      <c r="O2597">
        <v>670</v>
      </c>
      <c r="P2597" t="s">
        <v>25</v>
      </c>
      <c r="Q2597" t="s">
        <v>26</v>
      </c>
      <c r="R2597" t="str">
        <f>IF(COUNTIF(Sheet2!B:B, A2597) &gt; 0, "Yes", "No")</f>
        <v>No</v>
      </c>
    </row>
    <row r="2598" spans="1:18" x14ac:dyDescent="0.25">
      <c r="A2598" s="3">
        <v>45510</v>
      </c>
      <c r="B2598" t="s">
        <v>323</v>
      </c>
      <c r="C2598" t="s">
        <v>105</v>
      </c>
      <c r="D2598" t="s">
        <v>20</v>
      </c>
      <c r="E2598" t="s">
        <v>67</v>
      </c>
      <c r="F2598" t="s">
        <v>27</v>
      </c>
      <c r="G2598" t="s">
        <v>235</v>
      </c>
      <c r="H2598" t="s">
        <v>665</v>
      </c>
      <c r="I2598">
        <v>0.12</v>
      </c>
      <c r="J2598">
        <f t="shared" si="120"/>
        <v>80.399999999999991</v>
      </c>
      <c r="K2598">
        <v>0</v>
      </c>
      <c r="L2598">
        <f t="shared" si="121"/>
        <v>80.399999999999991</v>
      </c>
      <c r="M2598" s="4">
        <f t="shared" si="122"/>
        <v>0.10719999999999999</v>
      </c>
      <c r="N2598">
        <v>750</v>
      </c>
      <c r="O2598">
        <v>670</v>
      </c>
      <c r="P2598" t="s">
        <v>25</v>
      </c>
      <c r="Q2598" t="s">
        <v>26</v>
      </c>
      <c r="R2598" t="str">
        <f>IF(COUNTIF(Sheet2!B:B, A2598) &gt; 0, "Yes", "No")</f>
        <v>No</v>
      </c>
    </row>
    <row r="2599" spans="1:18" x14ac:dyDescent="0.25">
      <c r="A2599" s="3">
        <v>45510</v>
      </c>
      <c r="B2599" t="s">
        <v>323</v>
      </c>
      <c r="C2599" t="s">
        <v>105</v>
      </c>
      <c r="D2599" t="s">
        <v>20</v>
      </c>
      <c r="E2599" t="s">
        <v>67</v>
      </c>
      <c r="F2599" t="s">
        <v>30</v>
      </c>
      <c r="G2599" t="s">
        <v>31</v>
      </c>
      <c r="H2599" t="s">
        <v>172</v>
      </c>
      <c r="I2599">
        <v>0.09</v>
      </c>
      <c r="J2599">
        <f t="shared" si="120"/>
        <v>60.3</v>
      </c>
      <c r="K2599">
        <v>0.5</v>
      </c>
      <c r="L2599">
        <f t="shared" si="121"/>
        <v>59.8</v>
      </c>
      <c r="M2599" s="4">
        <f t="shared" si="122"/>
        <v>7.9733333333333323E-2</v>
      </c>
      <c r="N2599">
        <v>750</v>
      </c>
      <c r="O2599">
        <v>670</v>
      </c>
      <c r="P2599" t="s">
        <v>25</v>
      </c>
      <c r="Q2599" t="s">
        <v>26</v>
      </c>
      <c r="R2599" t="str">
        <f>IF(COUNTIF(Sheet2!B:B, A2599) &gt; 0, "Yes", "No")</f>
        <v>No</v>
      </c>
    </row>
    <row r="2600" spans="1:18" x14ac:dyDescent="0.25">
      <c r="A2600" s="3">
        <v>45510</v>
      </c>
      <c r="B2600" t="s">
        <v>323</v>
      </c>
      <c r="C2600" t="s">
        <v>105</v>
      </c>
      <c r="D2600" t="s">
        <v>20</v>
      </c>
      <c r="E2600" t="s">
        <v>67</v>
      </c>
      <c r="F2600" t="s">
        <v>37</v>
      </c>
      <c r="G2600" t="s">
        <v>87</v>
      </c>
      <c r="H2600" t="s">
        <v>136</v>
      </c>
      <c r="I2600">
        <v>3.5000000000000003E-2</v>
      </c>
      <c r="J2600">
        <f t="shared" si="120"/>
        <v>23.450000000000003</v>
      </c>
      <c r="K2600">
        <v>1</v>
      </c>
      <c r="L2600">
        <f t="shared" si="121"/>
        <v>22.450000000000003</v>
      </c>
      <c r="M2600" s="4">
        <f t="shared" si="122"/>
        <v>2.9933333333333336E-2</v>
      </c>
      <c r="N2600">
        <v>750</v>
      </c>
      <c r="O2600">
        <v>670</v>
      </c>
      <c r="P2600" t="s">
        <v>25</v>
      </c>
      <c r="Q2600" t="s">
        <v>26</v>
      </c>
      <c r="R2600" t="str">
        <f>IF(COUNTIF(Sheet2!B:B, A2600) &gt; 0, "Yes", "No")</f>
        <v>No</v>
      </c>
    </row>
    <row r="2601" spans="1:18" x14ac:dyDescent="0.25">
      <c r="A2601" s="3">
        <v>45510</v>
      </c>
      <c r="B2601" t="s">
        <v>323</v>
      </c>
      <c r="C2601" t="s">
        <v>105</v>
      </c>
      <c r="D2601" t="s">
        <v>20</v>
      </c>
      <c r="E2601" t="s">
        <v>67</v>
      </c>
      <c r="F2601" t="s">
        <v>40</v>
      </c>
      <c r="G2601" t="s">
        <v>41</v>
      </c>
      <c r="H2601" t="s">
        <v>42</v>
      </c>
      <c r="I2601">
        <v>0.05</v>
      </c>
      <c r="J2601">
        <f t="shared" si="120"/>
        <v>33.5</v>
      </c>
      <c r="K2601">
        <v>1</v>
      </c>
      <c r="L2601">
        <f t="shared" si="121"/>
        <v>32.5</v>
      </c>
      <c r="M2601" s="4">
        <f t="shared" si="122"/>
        <v>4.3333333333333335E-2</v>
      </c>
      <c r="N2601">
        <v>750</v>
      </c>
      <c r="O2601">
        <v>670</v>
      </c>
      <c r="P2601" t="s">
        <v>25</v>
      </c>
      <c r="Q2601" t="s">
        <v>26</v>
      </c>
      <c r="R2601" t="str">
        <f>IF(COUNTIF(Sheet2!B:B, A2601) &gt; 0, "Yes", "No")</f>
        <v>No</v>
      </c>
    </row>
    <row r="2602" spans="1:18" x14ac:dyDescent="0.25">
      <c r="A2602" s="3">
        <v>45510</v>
      </c>
      <c r="B2602" t="s">
        <v>323</v>
      </c>
      <c r="C2602" t="s">
        <v>105</v>
      </c>
      <c r="D2602" t="s">
        <v>20</v>
      </c>
      <c r="E2602" t="s">
        <v>67</v>
      </c>
      <c r="F2602" t="s">
        <v>43</v>
      </c>
      <c r="G2602" t="s">
        <v>111</v>
      </c>
      <c r="H2602" t="s">
        <v>267</v>
      </c>
      <c r="I2602">
        <v>0.11</v>
      </c>
      <c r="J2602">
        <f t="shared" si="120"/>
        <v>73.7</v>
      </c>
      <c r="K2602">
        <v>0.5</v>
      </c>
      <c r="L2602">
        <f t="shared" si="121"/>
        <v>73.2</v>
      </c>
      <c r="M2602" s="4">
        <f t="shared" si="122"/>
        <v>9.7600000000000006E-2</v>
      </c>
      <c r="N2602">
        <v>750</v>
      </c>
      <c r="O2602">
        <v>670</v>
      </c>
      <c r="P2602" t="s">
        <v>25</v>
      </c>
      <c r="Q2602" t="s">
        <v>26</v>
      </c>
      <c r="R2602" t="str">
        <f>IF(COUNTIF(Sheet2!B:B, A2602) &gt; 0, "Yes", "No")</f>
        <v>No</v>
      </c>
    </row>
    <row r="2603" spans="1:18" x14ac:dyDescent="0.25">
      <c r="A2603" s="3">
        <v>45510</v>
      </c>
      <c r="B2603" t="s">
        <v>323</v>
      </c>
      <c r="C2603" t="s">
        <v>105</v>
      </c>
      <c r="D2603" t="s">
        <v>20</v>
      </c>
      <c r="E2603" t="s">
        <v>67</v>
      </c>
      <c r="F2603" t="s">
        <v>46</v>
      </c>
      <c r="G2603" t="s">
        <v>47</v>
      </c>
      <c r="H2603" t="s">
        <v>666</v>
      </c>
      <c r="I2603">
        <v>8.5000000000000006E-2</v>
      </c>
      <c r="J2603">
        <f t="shared" si="120"/>
        <v>56.95</v>
      </c>
      <c r="K2603">
        <v>0.5</v>
      </c>
      <c r="L2603">
        <f t="shared" si="121"/>
        <v>56.45</v>
      </c>
      <c r="M2603" s="4">
        <f t="shared" si="122"/>
        <v>7.5266666666666676E-2</v>
      </c>
      <c r="N2603">
        <v>750</v>
      </c>
      <c r="O2603">
        <v>670</v>
      </c>
      <c r="P2603" t="s">
        <v>25</v>
      </c>
      <c r="Q2603" t="s">
        <v>26</v>
      </c>
      <c r="R2603" t="str">
        <f>IF(COUNTIF(Sheet2!B:B, A2603) &gt; 0, "Yes", "No")</f>
        <v>No</v>
      </c>
    </row>
    <row r="2604" spans="1:18" x14ac:dyDescent="0.25">
      <c r="A2604" s="3">
        <v>45510</v>
      </c>
      <c r="B2604" t="s">
        <v>323</v>
      </c>
      <c r="C2604" t="s">
        <v>105</v>
      </c>
      <c r="D2604" t="s">
        <v>20</v>
      </c>
      <c r="E2604" t="s">
        <v>67</v>
      </c>
      <c r="F2604" t="s">
        <v>49</v>
      </c>
      <c r="G2604" t="s">
        <v>50</v>
      </c>
      <c r="H2604" t="s">
        <v>49</v>
      </c>
      <c r="I2604">
        <v>0.09</v>
      </c>
      <c r="J2604">
        <f t="shared" si="120"/>
        <v>60.3</v>
      </c>
      <c r="K2604">
        <v>0</v>
      </c>
      <c r="L2604">
        <f t="shared" si="121"/>
        <v>60.3</v>
      </c>
      <c r="M2604" s="4">
        <f t="shared" si="122"/>
        <v>8.0399999999999999E-2</v>
      </c>
      <c r="N2604">
        <v>750</v>
      </c>
      <c r="O2604">
        <v>670</v>
      </c>
      <c r="P2604" t="s">
        <v>25</v>
      </c>
      <c r="Q2604" t="s">
        <v>26</v>
      </c>
      <c r="R2604" t="str">
        <f>IF(COUNTIF(Sheet2!B:B, A2604) &gt; 0, "Yes", "No")</f>
        <v>No</v>
      </c>
    </row>
    <row r="2605" spans="1:18" x14ac:dyDescent="0.25">
      <c r="A2605" s="3">
        <v>45511</v>
      </c>
      <c r="B2605" t="s">
        <v>323</v>
      </c>
      <c r="C2605" t="s">
        <v>51</v>
      </c>
      <c r="D2605" t="s">
        <v>20</v>
      </c>
      <c r="E2605" t="s">
        <v>21</v>
      </c>
      <c r="F2605" t="s">
        <v>22</v>
      </c>
      <c r="G2605" t="s">
        <v>52</v>
      </c>
      <c r="H2605" t="s">
        <v>246</v>
      </c>
      <c r="I2605">
        <v>8.5000000000000006E-2</v>
      </c>
      <c r="J2605">
        <f t="shared" si="120"/>
        <v>61.2</v>
      </c>
      <c r="K2605">
        <v>0</v>
      </c>
      <c r="L2605">
        <f t="shared" si="121"/>
        <v>61.2</v>
      </c>
      <c r="M2605" s="4">
        <f t="shared" si="122"/>
        <v>7.6499999999999999E-2</v>
      </c>
      <c r="N2605">
        <v>800</v>
      </c>
      <c r="O2605">
        <v>720</v>
      </c>
      <c r="P2605" t="s">
        <v>25</v>
      </c>
      <c r="Q2605" t="s">
        <v>26</v>
      </c>
      <c r="R2605" t="str">
        <f>IF(COUNTIF(Sheet2!B:B, A2605) &gt; 0, "Yes", "No")</f>
        <v>No</v>
      </c>
    </row>
    <row r="2606" spans="1:18" x14ac:dyDescent="0.25">
      <c r="A2606" s="3">
        <v>45511</v>
      </c>
      <c r="B2606" t="s">
        <v>323</v>
      </c>
      <c r="C2606" t="s">
        <v>51</v>
      </c>
      <c r="D2606" t="s">
        <v>20</v>
      </c>
      <c r="E2606" t="s">
        <v>21</v>
      </c>
      <c r="F2606" t="s">
        <v>27</v>
      </c>
      <c r="G2606" t="s">
        <v>780</v>
      </c>
      <c r="H2606" t="s">
        <v>149</v>
      </c>
      <c r="I2606">
        <v>0.11</v>
      </c>
      <c r="J2606">
        <f t="shared" si="120"/>
        <v>79.2</v>
      </c>
      <c r="K2606">
        <v>0</v>
      </c>
      <c r="L2606">
        <f t="shared" si="121"/>
        <v>79.2</v>
      </c>
      <c r="M2606" s="4">
        <f t="shared" si="122"/>
        <v>9.9000000000000005E-2</v>
      </c>
      <c r="N2606">
        <v>800</v>
      </c>
      <c r="O2606">
        <v>720</v>
      </c>
      <c r="P2606" t="s">
        <v>25</v>
      </c>
      <c r="Q2606" t="s">
        <v>26</v>
      </c>
      <c r="R2606" t="str">
        <f>IF(COUNTIF(Sheet2!B:B, A2606) &gt; 0, "Yes", "No")</f>
        <v>No</v>
      </c>
    </row>
    <row r="2607" spans="1:18" x14ac:dyDescent="0.25">
      <c r="A2607" s="3">
        <v>45511</v>
      </c>
      <c r="B2607" t="s">
        <v>323</v>
      </c>
      <c r="C2607" t="s">
        <v>51</v>
      </c>
      <c r="D2607" t="s">
        <v>20</v>
      </c>
      <c r="E2607" t="s">
        <v>21</v>
      </c>
      <c r="F2607" t="s">
        <v>30</v>
      </c>
      <c r="G2607" t="s">
        <v>55</v>
      </c>
      <c r="H2607" t="s">
        <v>83</v>
      </c>
      <c r="I2607">
        <v>0.09</v>
      </c>
      <c r="J2607">
        <f t="shared" si="120"/>
        <v>64.8</v>
      </c>
      <c r="K2607">
        <v>0</v>
      </c>
      <c r="L2607">
        <f t="shared" si="121"/>
        <v>64.8</v>
      </c>
      <c r="M2607" s="4">
        <f t="shared" si="122"/>
        <v>8.1000000000000003E-2</v>
      </c>
      <c r="N2607">
        <v>800</v>
      </c>
      <c r="O2607">
        <v>720</v>
      </c>
      <c r="P2607" t="s">
        <v>25</v>
      </c>
      <c r="Q2607" t="s">
        <v>26</v>
      </c>
      <c r="R2607" t="str">
        <f>IF(COUNTIF(Sheet2!B:B, A2607) &gt; 0, "Yes", "No")</f>
        <v>No</v>
      </c>
    </row>
    <row r="2608" spans="1:18" x14ac:dyDescent="0.25">
      <c r="A2608" s="3">
        <v>45511</v>
      </c>
      <c r="B2608" t="s">
        <v>323</v>
      </c>
      <c r="C2608" t="s">
        <v>51</v>
      </c>
      <c r="D2608" t="s">
        <v>33</v>
      </c>
      <c r="E2608" t="s">
        <v>21</v>
      </c>
      <c r="F2608" t="s">
        <v>34</v>
      </c>
      <c r="G2608" t="s">
        <v>35</v>
      </c>
      <c r="H2608" t="s">
        <v>596</v>
      </c>
      <c r="I2608">
        <v>0.15</v>
      </c>
      <c r="J2608">
        <f t="shared" si="120"/>
        <v>69</v>
      </c>
      <c r="K2608">
        <v>0</v>
      </c>
      <c r="L2608">
        <f t="shared" si="121"/>
        <v>69</v>
      </c>
      <c r="M2608" s="4">
        <f t="shared" si="122"/>
        <v>0.12321428571428572</v>
      </c>
      <c r="N2608">
        <v>560</v>
      </c>
      <c r="O2608">
        <v>460</v>
      </c>
      <c r="P2608" t="s">
        <v>25</v>
      </c>
      <c r="Q2608" t="s">
        <v>26</v>
      </c>
      <c r="R2608" t="str">
        <f>IF(COUNTIF(Sheet2!B:B, A2608) &gt; 0, "Yes", "No")</f>
        <v>No</v>
      </c>
    </row>
    <row r="2609" spans="1:18" x14ac:dyDescent="0.25">
      <c r="A2609" s="3">
        <v>45511</v>
      </c>
      <c r="B2609" t="s">
        <v>323</v>
      </c>
      <c r="C2609" t="s">
        <v>51</v>
      </c>
      <c r="D2609" t="s">
        <v>20</v>
      </c>
      <c r="E2609" t="s">
        <v>21</v>
      </c>
      <c r="F2609" t="s">
        <v>37</v>
      </c>
      <c r="G2609" t="s">
        <v>38</v>
      </c>
      <c r="H2609" t="s">
        <v>39</v>
      </c>
      <c r="I2609">
        <v>0.03</v>
      </c>
      <c r="J2609">
        <f t="shared" si="120"/>
        <v>21.599999999999998</v>
      </c>
      <c r="K2609">
        <v>2</v>
      </c>
      <c r="L2609">
        <f t="shared" si="121"/>
        <v>19.599999999999998</v>
      </c>
      <c r="M2609" s="4">
        <f t="shared" si="122"/>
        <v>2.4499999999999997E-2</v>
      </c>
      <c r="N2609">
        <v>800</v>
      </c>
      <c r="O2609">
        <v>720</v>
      </c>
      <c r="P2609" t="s">
        <v>25</v>
      </c>
      <c r="Q2609" t="s">
        <v>26</v>
      </c>
      <c r="R2609" t="str">
        <f>IF(COUNTIF(Sheet2!B:B, A2609) &gt; 0, "Yes", "No")</f>
        <v>No</v>
      </c>
    </row>
    <row r="2610" spans="1:18" x14ac:dyDescent="0.25">
      <c r="A2610" s="3">
        <v>45511</v>
      </c>
      <c r="B2610" t="s">
        <v>323</v>
      </c>
      <c r="C2610" t="s">
        <v>51</v>
      </c>
      <c r="D2610" t="s">
        <v>20</v>
      </c>
      <c r="E2610" t="s">
        <v>21</v>
      </c>
      <c r="F2610" t="s">
        <v>40</v>
      </c>
      <c r="G2610" t="s">
        <v>61</v>
      </c>
      <c r="H2610" t="s">
        <v>62</v>
      </c>
      <c r="I2610">
        <v>4.4999999999999998E-2</v>
      </c>
      <c r="J2610">
        <f t="shared" si="120"/>
        <v>32.4</v>
      </c>
      <c r="K2610">
        <v>2</v>
      </c>
      <c r="L2610">
        <f t="shared" si="121"/>
        <v>30.4</v>
      </c>
      <c r="M2610" s="4">
        <f t="shared" si="122"/>
        <v>3.7999999999999999E-2</v>
      </c>
      <c r="N2610">
        <v>800</v>
      </c>
      <c r="O2610">
        <v>720</v>
      </c>
      <c r="P2610" t="s">
        <v>25</v>
      </c>
      <c r="Q2610" t="s">
        <v>26</v>
      </c>
      <c r="R2610" t="str">
        <f>IF(COUNTIF(Sheet2!B:B, A2610) &gt; 0, "Yes", "No")</f>
        <v>No</v>
      </c>
    </row>
    <row r="2611" spans="1:18" x14ac:dyDescent="0.25">
      <c r="A2611" s="3">
        <v>45511</v>
      </c>
      <c r="B2611" t="s">
        <v>323</v>
      </c>
      <c r="C2611" t="s">
        <v>51</v>
      </c>
      <c r="D2611" t="s">
        <v>20</v>
      </c>
      <c r="E2611" t="s">
        <v>21</v>
      </c>
      <c r="F2611" t="s">
        <v>43</v>
      </c>
      <c r="G2611" t="s">
        <v>215</v>
      </c>
      <c r="H2611" t="s">
        <v>216</v>
      </c>
      <c r="I2611">
        <v>0.11</v>
      </c>
      <c r="J2611">
        <f t="shared" si="120"/>
        <v>79.2</v>
      </c>
      <c r="K2611">
        <v>2</v>
      </c>
      <c r="L2611">
        <f t="shared" si="121"/>
        <v>77.2</v>
      </c>
      <c r="M2611" s="4">
        <f t="shared" si="122"/>
        <v>9.6500000000000002E-2</v>
      </c>
      <c r="N2611">
        <v>800</v>
      </c>
      <c r="O2611">
        <v>720</v>
      </c>
      <c r="P2611" t="s">
        <v>25</v>
      </c>
      <c r="Q2611" t="s">
        <v>26</v>
      </c>
      <c r="R2611" t="str">
        <f>IF(COUNTIF(Sheet2!B:B, A2611) &gt; 0, "Yes", "No")</f>
        <v>No</v>
      </c>
    </row>
    <row r="2612" spans="1:18" x14ac:dyDescent="0.25">
      <c r="A2612" s="3">
        <v>45511</v>
      </c>
      <c r="B2612" t="s">
        <v>323</v>
      </c>
      <c r="C2612" t="s">
        <v>51</v>
      </c>
      <c r="D2612" t="s">
        <v>20</v>
      </c>
      <c r="E2612" t="s">
        <v>21</v>
      </c>
      <c r="F2612" t="s">
        <v>46</v>
      </c>
      <c r="G2612" t="s">
        <v>130</v>
      </c>
      <c r="H2612" t="s">
        <v>147</v>
      </c>
      <c r="I2612">
        <v>8.5000000000000006E-2</v>
      </c>
      <c r="J2612">
        <f t="shared" si="120"/>
        <v>61.2</v>
      </c>
      <c r="K2612">
        <v>0</v>
      </c>
      <c r="L2612">
        <f t="shared" si="121"/>
        <v>61.2</v>
      </c>
      <c r="M2612" s="4">
        <f t="shared" si="122"/>
        <v>7.6499999999999999E-2</v>
      </c>
      <c r="N2612">
        <v>800</v>
      </c>
      <c r="O2612">
        <v>720</v>
      </c>
      <c r="P2612" t="s">
        <v>25</v>
      </c>
      <c r="Q2612" t="s">
        <v>26</v>
      </c>
      <c r="R2612" t="str">
        <f>IF(COUNTIF(Sheet2!B:B, A2612) &gt; 0, "Yes", "No")</f>
        <v>No</v>
      </c>
    </row>
    <row r="2613" spans="1:18" x14ac:dyDescent="0.25">
      <c r="A2613" s="3">
        <v>45511</v>
      </c>
      <c r="B2613" t="s">
        <v>323</v>
      </c>
      <c r="C2613" t="s">
        <v>51</v>
      </c>
      <c r="D2613" t="s">
        <v>20</v>
      </c>
      <c r="E2613" t="s">
        <v>21</v>
      </c>
      <c r="F2613" t="s">
        <v>49</v>
      </c>
      <c r="G2613" t="s">
        <v>50</v>
      </c>
      <c r="H2613" t="s">
        <v>49</v>
      </c>
      <c r="I2613">
        <v>0.09</v>
      </c>
      <c r="J2613">
        <f t="shared" si="120"/>
        <v>64.8</v>
      </c>
      <c r="K2613">
        <v>2</v>
      </c>
      <c r="L2613">
        <f t="shared" si="121"/>
        <v>62.8</v>
      </c>
      <c r="M2613" s="4">
        <f t="shared" si="122"/>
        <v>7.85E-2</v>
      </c>
      <c r="N2613">
        <v>800</v>
      </c>
      <c r="O2613">
        <v>720</v>
      </c>
      <c r="P2613" t="s">
        <v>25</v>
      </c>
      <c r="Q2613" t="s">
        <v>26</v>
      </c>
      <c r="R2613" t="str">
        <f>IF(COUNTIF(Sheet2!B:B, A2613) &gt; 0, "Yes", "No")</f>
        <v>No</v>
      </c>
    </row>
    <row r="2614" spans="1:18" x14ac:dyDescent="0.25">
      <c r="A2614" s="3">
        <v>45512</v>
      </c>
      <c r="B2614" t="s">
        <v>323</v>
      </c>
      <c r="C2614" t="s">
        <v>66</v>
      </c>
      <c r="D2614" t="s">
        <v>20</v>
      </c>
      <c r="E2614" t="s">
        <v>67</v>
      </c>
      <c r="F2614" t="s">
        <v>22</v>
      </c>
      <c r="G2614" t="s">
        <v>23</v>
      </c>
      <c r="H2614" t="s">
        <v>106</v>
      </c>
      <c r="I2614">
        <v>8.5000000000000006E-2</v>
      </c>
      <c r="J2614">
        <f t="shared" si="120"/>
        <v>54.400000000000006</v>
      </c>
      <c r="K2614">
        <v>1</v>
      </c>
      <c r="L2614">
        <f t="shared" si="121"/>
        <v>53.400000000000006</v>
      </c>
      <c r="M2614" s="4">
        <f t="shared" si="122"/>
        <v>7.628571428571429E-2</v>
      </c>
      <c r="N2614">
        <v>700</v>
      </c>
      <c r="O2614">
        <v>640</v>
      </c>
      <c r="P2614" t="s">
        <v>25</v>
      </c>
      <c r="Q2614" t="s">
        <v>26</v>
      </c>
      <c r="R2614" t="str">
        <f>IF(COUNTIF(Sheet2!B:B, A2614) &gt; 0, "Yes", "No")</f>
        <v>No</v>
      </c>
    </row>
    <row r="2615" spans="1:18" x14ac:dyDescent="0.25">
      <c r="A2615" s="3">
        <v>45512</v>
      </c>
      <c r="B2615" t="s">
        <v>323</v>
      </c>
      <c r="C2615" t="s">
        <v>66</v>
      </c>
      <c r="D2615" t="s">
        <v>20</v>
      </c>
      <c r="E2615" t="s">
        <v>67</v>
      </c>
      <c r="F2615" t="s">
        <v>27</v>
      </c>
      <c r="G2615" t="s">
        <v>304</v>
      </c>
      <c r="H2615" t="s">
        <v>595</v>
      </c>
      <c r="I2615">
        <v>0.12</v>
      </c>
      <c r="J2615">
        <f t="shared" si="120"/>
        <v>76.8</v>
      </c>
      <c r="K2615">
        <v>0</v>
      </c>
      <c r="L2615">
        <f t="shared" si="121"/>
        <v>76.8</v>
      </c>
      <c r="M2615" s="4">
        <f t="shared" si="122"/>
        <v>0.10971428571428571</v>
      </c>
      <c r="N2615">
        <v>700</v>
      </c>
      <c r="O2615">
        <v>640</v>
      </c>
      <c r="P2615" t="s">
        <v>25</v>
      </c>
      <c r="Q2615" t="s">
        <v>26</v>
      </c>
      <c r="R2615" t="str">
        <f>IF(COUNTIF(Sheet2!B:B, A2615) &gt; 0, "Yes", "No")</f>
        <v>No</v>
      </c>
    </row>
    <row r="2616" spans="1:18" x14ac:dyDescent="0.25">
      <c r="A2616" s="3">
        <v>45512</v>
      </c>
      <c r="B2616" t="s">
        <v>323</v>
      </c>
      <c r="C2616" t="s">
        <v>66</v>
      </c>
      <c r="D2616" t="s">
        <v>20</v>
      </c>
      <c r="E2616" t="s">
        <v>67</v>
      </c>
      <c r="F2616" t="s">
        <v>30</v>
      </c>
      <c r="G2616" t="s">
        <v>31</v>
      </c>
      <c r="H2616" t="s">
        <v>70</v>
      </c>
      <c r="I2616">
        <v>0.09</v>
      </c>
      <c r="J2616">
        <f t="shared" si="120"/>
        <v>57.599999999999994</v>
      </c>
      <c r="K2616">
        <v>2</v>
      </c>
      <c r="L2616">
        <f t="shared" si="121"/>
        <v>55.599999999999994</v>
      </c>
      <c r="M2616" s="4">
        <f t="shared" si="122"/>
        <v>7.9428571428571418E-2</v>
      </c>
      <c r="N2616">
        <v>700</v>
      </c>
      <c r="O2616">
        <v>640</v>
      </c>
      <c r="P2616" t="s">
        <v>25</v>
      </c>
      <c r="Q2616" t="s">
        <v>26</v>
      </c>
      <c r="R2616" t="str">
        <f>IF(COUNTIF(Sheet2!B:B, A2616) &gt; 0, "Yes", "No")</f>
        <v>No</v>
      </c>
    </row>
    <row r="2617" spans="1:18" x14ac:dyDescent="0.25">
      <c r="A2617" s="3">
        <v>45512</v>
      </c>
      <c r="B2617" t="s">
        <v>323</v>
      </c>
      <c r="C2617" t="s">
        <v>66</v>
      </c>
      <c r="D2617" t="s">
        <v>20</v>
      </c>
      <c r="E2617" t="s">
        <v>67</v>
      </c>
      <c r="F2617" t="s">
        <v>37</v>
      </c>
      <c r="G2617" t="s">
        <v>108</v>
      </c>
      <c r="H2617" t="s">
        <v>109</v>
      </c>
      <c r="I2617">
        <v>3.5000000000000003E-2</v>
      </c>
      <c r="J2617">
        <f t="shared" si="120"/>
        <v>22.400000000000002</v>
      </c>
      <c r="K2617">
        <v>1</v>
      </c>
      <c r="L2617">
        <f t="shared" si="121"/>
        <v>21.400000000000002</v>
      </c>
      <c r="M2617" s="4">
        <f t="shared" si="122"/>
        <v>3.0571428571428576E-2</v>
      </c>
      <c r="N2617">
        <v>700</v>
      </c>
      <c r="O2617">
        <v>640</v>
      </c>
      <c r="P2617" t="s">
        <v>25</v>
      </c>
      <c r="Q2617" t="s">
        <v>26</v>
      </c>
      <c r="R2617" t="str">
        <f>IF(COUNTIF(Sheet2!B:B, A2617) &gt; 0, "Yes", "No")</f>
        <v>No</v>
      </c>
    </row>
    <row r="2618" spans="1:18" x14ac:dyDescent="0.25">
      <c r="A2618" s="3">
        <v>45512</v>
      </c>
      <c r="B2618" t="s">
        <v>323</v>
      </c>
      <c r="C2618" t="s">
        <v>66</v>
      </c>
      <c r="D2618" t="s">
        <v>20</v>
      </c>
      <c r="E2618" t="s">
        <v>67</v>
      </c>
      <c r="F2618" t="s">
        <v>40</v>
      </c>
      <c r="G2618" t="s">
        <v>164</v>
      </c>
      <c r="H2618" t="s">
        <v>202</v>
      </c>
      <c r="I2618">
        <v>0.05</v>
      </c>
      <c r="J2618">
        <f t="shared" si="120"/>
        <v>32</v>
      </c>
      <c r="K2618">
        <v>2</v>
      </c>
      <c r="L2618">
        <f t="shared" si="121"/>
        <v>30</v>
      </c>
      <c r="M2618" s="4">
        <f t="shared" si="122"/>
        <v>4.2857142857142858E-2</v>
      </c>
      <c r="N2618">
        <v>700</v>
      </c>
      <c r="O2618">
        <v>640</v>
      </c>
      <c r="P2618" t="s">
        <v>25</v>
      </c>
      <c r="Q2618" t="s">
        <v>26</v>
      </c>
      <c r="R2618" t="str">
        <f>IF(COUNTIF(Sheet2!B:B, A2618) &gt; 0, "Yes", "No")</f>
        <v>No</v>
      </c>
    </row>
    <row r="2619" spans="1:18" x14ac:dyDescent="0.25">
      <c r="A2619" s="3">
        <v>45512</v>
      </c>
      <c r="B2619" t="s">
        <v>323</v>
      </c>
      <c r="C2619" t="s">
        <v>66</v>
      </c>
      <c r="D2619" t="s">
        <v>20</v>
      </c>
      <c r="E2619" t="s">
        <v>67</v>
      </c>
      <c r="F2619" t="s">
        <v>43</v>
      </c>
      <c r="G2619" t="s">
        <v>139</v>
      </c>
      <c r="H2619" t="s">
        <v>667</v>
      </c>
      <c r="I2619">
        <v>0.11</v>
      </c>
      <c r="J2619">
        <f t="shared" si="120"/>
        <v>70.400000000000006</v>
      </c>
      <c r="K2619">
        <v>2</v>
      </c>
      <c r="L2619">
        <f t="shared" si="121"/>
        <v>68.400000000000006</v>
      </c>
      <c r="M2619" s="4">
        <f t="shared" si="122"/>
        <v>9.7714285714285726E-2</v>
      </c>
      <c r="N2619">
        <v>700</v>
      </c>
      <c r="O2619">
        <v>640</v>
      </c>
      <c r="P2619" t="s">
        <v>25</v>
      </c>
      <c r="Q2619" t="s">
        <v>26</v>
      </c>
      <c r="R2619" t="str">
        <f>IF(COUNTIF(Sheet2!B:B, A2619) &gt; 0, "Yes", "No")</f>
        <v>No</v>
      </c>
    </row>
    <row r="2620" spans="1:18" x14ac:dyDescent="0.25">
      <c r="A2620" s="3">
        <v>45512</v>
      </c>
      <c r="B2620" t="s">
        <v>323</v>
      </c>
      <c r="C2620" t="s">
        <v>66</v>
      </c>
      <c r="D2620" t="s">
        <v>20</v>
      </c>
      <c r="E2620" t="s">
        <v>67</v>
      </c>
      <c r="F2620" t="s">
        <v>46</v>
      </c>
      <c r="G2620" t="s">
        <v>103</v>
      </c>
      <c r="H2620" t="s">
        <v>668</v>
      </c>
      <c r="I2620">
        <v>0.09</v>
      </c>
      <c r="J2620">
        <f t="shared" si="120"/>
        <v>57.599999999999994</v>
      </c>
      <c r="K2620">
        <v>3</v>
      </c>
      <c r="L2620">
        <f t="shared" si="121"/>
        <v>54.599999999999994</v>
      </c>
      <c r="M2620" s="4">
        <f t="shared" si="122"/>
        <v>7.7999999999999986E-2</v>
      </c>
      <c r="N2620">
        <v>700</v>
      </c>
      <c r="O2620">
        <v>640</v>
      </c>
      <c r="P2620" t="s">
        <v>25</v>
      </c>
      <c r="Q2620" t="s">
        <v>26</v>
      </c>
      <c r="R2620" t="str">
        <f>IF(COUNTIF(Sheet2!B:B, A2620) &gt; 0, "Yes", "No")</f>
        <v>No</v>
      </c>
    </row>
    <row r="2621" spans="1:18" x14ac:dyDescent="0.25">
      <c r="A2621" s="3">
        <v>45512</v>
      </c>
      <c r="B2621" t="s">
        <v>323</v>
      </c>
      <c r="C2621" t="s">
        <v>66</v>
      </c>
      <c r="D2621" t="s">
        <v>20</v>
      </c>
      <c r="E2621" t="s">
        <v>67</v>
      </c>
      <c r="F2621" t="s">
        <v>49</v>
      </c>
      <c r="G2621" t="s">
        <v>50</v>
      </c>
      <c r="H2621" t="s">
        <v>49</v>
      </c>
      <c r="I2621">
        <v>0.09</v>
      </c>
      <c r="J2621">
        <f t="shared" si="120"/>
        <v>57.599999999999994</v>
      </c>
      <c r="K2621">
        <v>1</v>
      </c>
      <c r="L2621">
        <f t="shared" si="121"/>
        <v>56.599999999999994</v>
      </c>
      <c r="M2621" s="4">
        <f t="shared" si="122"/>
        <v>8.085714285714285E-2</v>
      </c>
      <c r="N2621">
        <v>700</v>
      </c>
      <c r="O2621">
        <v>640</v>
      </c>
      <c r="P2621" t="s">
        <v>25</v>
      </c>
      <c r="Q2621" t="s">
        <v>26</v>
      </c>
      <c r="R2621" t="str">
        <f>IF(COUNTIF(Sheet2!B:B, A2621) &gt; 0, "Yes", "No")</f>
        <v>No</v>
      </c>
    </row>
    <row r="2622" spans="1:18" x14ac:dyDescent="0.25">
      <c r="A2622" s="3">
        <v>45513</v>
      </c>
      <c r="B2622" t="s">
        <v>323</v>
      </c>
      <c r="C2622" t="s">
        <v>79</v>
      </c>
      <c r="D2622" t="s">
        <v>20</v>
      </c>
      <c r="E2622" t="s">
        <v>21</v>
      </c>
      <c r="F2622" t="s">
        <v>22</v>
      </c>
      <c r="G2622" t="s">
        <v>122</v>
      </c>
      <c r="H2622" t="s">
        <v>624</v>
      </c>
      <c r="I2622" s="5">
        <v>0.06</v>
      </c>
      <c r="J2622">
        <f t="shared" si="120"/>
        <v>37.199999999999996</v>
      </c>
      <c r="K2622">
        <v>0</v>
      </c>
      <c r="L2622">
        <f t="shared" si="121"/>
        <v>37.199999999999996</v>
      </c>
      <c r="M2622" s="4">
        <f t="shared" si="122"/>
        <v>5.5522388059701486E-2</v>
      </c>
      <c r="N2622">
        <v>670</v>
      </c>
      <c r="O2622">
        <v>620</v>
      </c>
      <c r="P2622" t="s">
        <v>25</v>
      </c>
      <c r="Q2622" t="s">
        <v>26</v>
      </c>
      <c r="R2622" t="str">
        <f>IF(COUNTIF(Sheet2!B:B, A2622) &gt; 0, "Yes", "No")</f>
        <v>Yes</v>
      </c>
    </row>
    <row r="2623" spans="1:18" x14ac:dyDescent="0.25">
      <c r="A2623" s="3">
        <v>45513</v>
      </c>
      <c r="B2623" t="s">
        <v>323</v>
      </c>
      <c r="C2623" t="s">
        <v>79</v>
      </c>
      <c r="D2623" t="s">
        <v>20</v>
      </c>
      <c r="E2623" t="s">
        <v>21</v>
      </c>
      <c r="F2623" t="s">
        <v>27</v>
      </c>
      <c r="G2623" t="s">
        <v>81</v>
      </c>
      <c r="H2623" t="s">
        <v>618</v>
      </c>
      <c r="I2623" s="5">
        <v>0.1</v>
      </c>
      <c r="J2623">
        <f t="shared" si="120"/>
        <v>62</v>
      </c>
      <c r="K2623">
        <v>0</v>
      </c>
      <c r="L2623">
        <f t="shared" si="121"/>
        <v>62</v>
      </c>
      <c r="M2623" s="4">
        <f t="shared" si="122"/>
        <v>9.2537313432835819E-2</v>
      </c>
      <c r="N2623">
        <v>670</v>
      </c>
      <c r="O2623">
        <v>620</v>
      </c>
      <c r="P2623" t="s">
        <v>25</v>
      </c>
      <c r="Q2623" t="s">
        <v>26</v>
      </c>
      <c r="R2623" t="str">
        <f>IF(COUNTIF(Sheet2!B:B, A2623) &gt; 0, "Yes", "No")</f>
        <v>Yes</v>
      </c>
    </row>
    <row r="2624" spans="1:18" x14ac:dyDescent="0.25">
      <c r="A2624" s="3">
        <v>45513</v>
      </c>
      <c r="B2624" t="s">
        <v>323</v>
      </c>
      <c r="C2624" t="s">
        <v>79</v>
      </c>
      <c r="D2624" t="s">
        <v>20</v>
      </c>
      <c r="E2624" t="s">
        <v>21</v>
      </c>
      <c r="F2624" t="s">
        <v>30</v>
      </c>
      <c r="G2624" t="s">
        <v>55</v>
      </c>
      <c r="H2624" t="s">
        <v>56</v>
      </c>
      <c r="I2624" s="5">
        <v>0.06</v>
      </c>
      <c r="J2624">
        <f t="shared" si="120"/>
        <v>37.199999999999996</v>
      </c>
      <c r="K2624">
        <v>1</v>
      </c>
      <c r="L2624">
        <f t="shared" si="121"/>
        <v>36.199999999999996</v>
      </c>
      <c r="M2624" s="4">
        <f t="shared" si="122"/>
        <v>5.4029850746268648E-2</v>
      </c>
      <c r="N2624">
        <v>670</v>
      </c>
      <c r="O2624">
        <v>620</v>
      </c>
      <c r="P2624" t="s">
        <v>25</v>
      </c>
      <c r="Q2624" t="s">
        <v>26</v>
      </c>
      <c r="R2624" t="str">
        <f>IF(COUNTIF(Sheet2!B:B, A2624) &gt; 0, "Yes", "No")</f>
        <v>Yes</v>
      </c>
    </row>
    <row r="2625" spans="1:18" x14ac:dyDescent="0.25">
      <c r="A2625" s="3">
        <v>45513</v>
      </c>
      <c r="B2625" t="s">
        <v>323</v>
      </c>
      <c r="C2625" t="s">
        <v>79</v>
      </c>
      <c r="D2625" t="s">
        <v>33</v>
      </c>
      <c r="E2625" t="s">
        <v>21</v>
      </c>
      <c r="F2625" t="s">
        <v>84</v>
      </c>
      <c r="G2625" t="s">
        <v>177</v>
      </c>
      <c r="H2625" t="s">
        <v>220</v>
      </c>
      <c r="I2625" s="5">
        <v>0.3</v>
      </c>
      <c r="J2625">
        <f t="shared" si="120"/>
        <v>144</v>
      </c>
      <c r="K2625">
        <v>0</v>
      </c>
      <c r="L2625">
        <f t="shared" si="121"/>
        <v>144</v>
      </c>
      <c r="M2625" s="4">
        <f t="shared" si="122"/>
        <v>0.26865671641791045</v>
      </c>
      <c r="N2625">
        <v>536</v>
      </c>
      <c r="O2625">
        <v>480</v>
      </c>
      <c r="P2625" t="s">
        <v>25</v>
      </c>
      <c r="Q2625" t="s">
        <v>26</v>
      </c>
      <c r="R2625" t="str">
        <f>IF(COUNTIF(Sheet2!B:B, A2625) &gt; 0, "Yes", "No")</f>
        <v>Yes</v>
      </c>
    </row>
    <row r="2626" spans="1:18" x14ac:dyDescent="0.25">
      <c r="A2626" s="3">
        <v>45513</v>
      </c>
      <c r="B2626" t="s">
        <v>323</v>
      </c>
      <c r="C2626" t="s">
        <v>79</v>
      </c>
      <c r="D2626" t="s">
        <v>20</v>
      </c>
      <c r="E2626" t="s">
        <v>21</v>
      </c>
      <c r="F2626" t="s">
        <v>37</v>
      </c>
      <c r="G2626" t="s">
        <v>71</v>
      </c>
      <c r="H2626" t="s">
        <v>151</v>
      </c>
      <c r="I2626" s="5">
        <v>2.5000000000000001E-2</v>
      </c>
      <c r="J2626">
        <f t="shared" si="120"/>
        <v>15.5</v>
      </c>
      <c r="K2626">
        <v>1</v>
      </c>
      <c r="L2626">
        <f t="shared" si="121"/>
        <v>14.5</v>
      </c>
      <c r="M2626" s="4">
        <f t="shared" si="122"/>
        <v>2.1641791044776121E-2</v>
      </c>
      <c r="N2626">
        <v>670</v>
      </c>
      <c r="O2626">
        <v>620</v>
      </c>
      <c r="P2626" t="s">
        <v>25</v>
      </c>
      <c r="Q2626" t="s">
        <v>26</v>
      </c>
      <c r="R2626" t="str">
        <f>IF(COUNTIF(Sheet2!B:B, A2626) &gt; 0, "Yes", "No")</f>
        <v>Yes</v>
      </c>
    </row>
    <row r="2627" spans="1:18" x14ac:dyDescent="0.25">
      <c r="A2627" s="3">
        <v>45513</v>
      </c>
      <c r="B2627" t="s">
        <v>323</v>
      </c>
      <c r="C2627" t="s">
        <v>79</v>
      </c>
      <c r="D2627" t="s">
        <v>20</v>
      </c>
      <c r="E2627" t="s">
        <v>21</v>
      </c>
      <c r="F2627" t="s">
        <v>40</v>
      </c>
      <c r="G2627" t="s">
        <v>61</v>
      </c>
      <c r="H2627" t="s">
        <v>62</v>
      </c>
      <c r="I2627" s="5">
        <v>0.04</v>
      </c>
      <c r="J2627">
        <f t="shared" ref="J2627:J2690" si="123">I2627*O2627</f>
        <v>24.8</v>
      </c>
      <c r="K2627">
        <v>2</v>
      </c>
      <c r="L2627">
        <f t="shared" ref="L2627:L2690" si="124">J2627-K2627</f>
        <v>22.8</v>
      </c>
      <c r="M2627" s="4">
        <f t="shared" ref="M2627:M2690" si="125">((I2627*O2627)-K2627)/N2627</f>
        <v>3.4029850746268658E-2</v>
      </c>
      <c r="N2627">
        <v>670</v>
      </c>
      <c r="O2627">
        <v>620</v>
      </c>
      <c r="P2627" t="s">
        <v>25</v>
      </c>
      <c r="Q2627" t="s">
        <v>26</v>
      </c>
      <c r="R2627" t="str">
        <f>IF(COUNTIF(Sheet2!B:B, A2627) &gt; 0, "Yes", "No")</f>
        <v>Yes</v>
      </c>
    </row>
    <row r="2628" spans="1:18" x14ac:dyDescent="0.25">
      <c r="A2628" s="3">
        <v>45513</v>
      </c>
      <c r="B2628" t="s">
        <v>323</v>
      </c>
      <c r="C2628" t="s">
        <v>79</v>
      </c>
      <c r="D2628" t="s">
        <v>20</v>
      </c>
      <c r="E2628" t="s">
        <v>21</v>
      </c>
      <c r="F2628" t="s">
        <v>43</v>
      </c>
      <c r="G2628" t="s">
        <v>90</v>
      </c>
      <c r="H2628" t="s">
        <v>188</v>
      </c>
      <c r="I2628" s="5">
        <v>7.0000000000000007E-2</v>
      </c>
      <c r="J2628">
        <f t="shared" si="123"/>
        <v>43.400000000000006</v>
      </c>
      <c r="K2628">
        <v>0</v>
      </c>
      <c r="L2628">
        <f t="shared" si="124"/>
        <v>43.400000000000006</v>
      </c>
      <c r="M2628" s="4">
        <f t="shared" si="125"/>
        <v>6.4776119402985083E-2</v>
      </c>
      <c r="N2628">
        <v>670</v>
      </c>
      <c r="O2628">
        <v>620</v>
      </c>
      <c r="P2628" t="s">
        <v>25</v>
      </c>
      <c r="Q2628" t="s">
        <v>26</v>
      </c>
      <c r="R2628" t="str">
        <f>IF(COUNTIF(Sheet2!B:B, A2628) &gt; 0, "Yes", "No")</f>
        <v>Yes</v>
      </c>
    </row>
    <row r="2629" spans="1:18" x14ac:dyDescent="0.25">
      <c r="A2629" s="3">
        <v>45513</v>
      </c>
      <c r="B2629" t="s">
        <v>323</v>
      </c>
      <c r="C2629" t="s">
        <v>79</v>
      </c>
      <c r="D2629" t="s">
        <v>20</v>
      </c>
      <c r="E2629" t="s">
        <v>21</v>
      </c>
      <c r="F2629" t="s">
        <v>46</v>
      </c>
      <c r="G2629" t="s">
        <v>47</v>
      </c>
      <c r="H2629" t="s">
        <v>141</v>
      </c>
      <c r="I2629" s="5">
        <v>0.06</v>
      </c>
      <c r="J2629">
        <f t="shared" si="123"/>
        <v>37.199999999999996</v>
      </c>
      <c r="K2629">
        <v>2</v>
      </c>
      <c r="L2629">
        <f t="shared" si="124"/>
        <v>35.199999999999996</v>
      </c>
      <c r="M2629" s="4">
        <f t="shared" si="125"/>
        <v>5.2537313432835818E-2</v>
      </c>
      <c r="N2629">
        <v>670</v>
      </c>
      <c r="O2629">
        <v>620</v>
      </c>
      <c r="P2629" t="s">
        <v>25</v>
      </c>
      <c r="Q2629" t="s">
        <v>26</v>
      </c>
      <c r="R2629" t="str">
        <f>IF(COUNTIF(Sheet2!B:B, A2629) &gt; 0, "Yes", "No")</f>
        <v>Yes</v>
      </c>
    </row>
    <row r="2630" spans="1:18" x14ac:dyDescent="0.25">
      <c r="A2630" s="3">
        <v>45513</v>
      </c>
      <c r="B2630" t="s">
        <v>323</v>
      </c>
      <c r="C2630" t="s">
        <v>79</v>
      </c>
      <c r="D2630" t="s">
        <v>20</v>
      </c>
      <c r="E2630" t="s">
        <v>21</v>
      </c>
      <c r="F2630" t="s">
        <v>49</v>
      </c>
      <c r="G2630" t="s">
        <v>50</v>
      </c>
      <c r="H2630" t="s">
        <v>49</v>
      </c>
      <c r="I2630" s="5">
        <v>0.04</v>
      </c>
      <c r="J2630">
        <f t="shared" si="123"/>
        <v>24.8</v>
      </c>
      <c r="K2630">
        <v>2</v>
      </c>
      <c r="L2630">
        <f t="shared" si="124"/>
        <v>22.8</v>
      </c>
      <c r="M2630" s="4">
        <f t="shared" si="125"/>
        <v>3.4029850746268658E-2</v>
      </c>
      <c r="N2630">
        <v>670</v>
      </c>
      <c r="O2630">
        <v>620</v>
      </c>
      <c r="P2630" t="s">
        <v>25</v>
      </c>
      <c r="Q2630" t="s">
        <v>26</v>
      </c>
      <c r="R2630" t="str">
        <f>IF(COUNTIF(Sheet2!B:B, A2630) &gt; 0, "Yes", "No")</f>
        <v>Yes</v>
      </c>
    </row>
    <row r="2631" spans="1:18" x14ac:dyDescent="0.25">
      <c r="A2631" s="3">
        <v>45516</v>
      </c>
      <c r="B2631" t="s">
        <v>323</v>
      </c>
      <c r="C2631" t="s">
        <v>19</v>
      </c>
      <c r="D2631" t="s">
        <v>20</v>
      </c>
      <c r="E2631" t="s">
        <v>21</v>
      </c>
      <c r="F2631" t="s">
        <v>22</v>
      </c>
      <c r="G2631" t="s">
        <v>52</v>
      </c>
      <c r="H2631" t="s">
        <v>53</v>
      </c>
      <c r="I2631">
        <v>8.5000000000000006E-2</v>
      </c>
      <c r="J2631">
        <f t="shared" si="123"/>
        <v>53.550000000000004</v>
      </c>
      <c r="K2631">
        <v>3</v>
      </c>
      <c r="L2631">
        <f t="shared" si="124"/>
        <v>50.550000000000004</v>
      </c>
      <c r="M2631" s="4">
        <f t="shared" si="125"/>
        <v>7.2214285714285717E-2</v>
      </c>
      <c r="N2631">
        <v>700</v>
      </c>
      <c r="O2631">
        <v>630</v>
      </c>
      <c r="P2631" t="s">
        <v>25</v>
      </c>
      <c r="Q2631" t="s">
        <v>26</v>
      </c>
      <c r="R2631" t="str">
        <f>IF(COUNTIF(Sheet2!B:B, A2631) &gt; 0, "Yes", "No")</f>
        <v>No</v>
      </c>
    </row>
    <row r="2632" spans="1:18" x14ac:dyDescent="0.25">
      <c r="A2632" s="3">
        <v>45516</v>
      </c>
      <c r="B2632" t="s">
        <v>323</v>
      </c>
      <c r="C2632" t="s">
        <v>19</v>
      </c>
      <c r="D2632" t="s">
        <v>20</v>
      </c>
      <c r="E2632" t="s">
        <v>21</v>
      </c>
      <c r="F2632" t="s">
        <v>27</v>
      </c>
      <c r="G2632" t="s">
        <v>780</v>
      </c>
      <c r="H2632" t="s">
        <v>149</v>
      </c>
      <c r="I2632">
        <v>0.11</v>
      </c>
      <c r="J2632">
        <f t="shared" si="123"/>
        <v>69.3</v>
      </c>
      <c r="K2632">
        <v>4</v>
      </c>
      <c r="L2632">
        <f t="shared" si="124"/>
        <v>65.3</v>
      </c>
      <c r="M2632" s="4">
        <f t="shared" si="125"/>
        <v>9.3285714285714277E-2</v>
      </c>
      <c r="N2632">
        <v>700</v>
      </c>
      <c r="O2632">
        <v>630</v>
      </c>
      <c r="P2632" t="s">
        <v>25</v>
      </c>
      <c r="Q2632" t="s">
        <v>26</v>
      </c>
      <c r="R2632" t="str">
        <f>IF(COUNTIF(Sheet2!B:B, A2632) &gt; 0, "Yes", "No")</f>
        <v>No</v>
      </c>
    </row>
    <row r="2633" spans="1:18" x14ac:dyDescent="0.25">
      <c r="A2633" s="3">
        <v>45516</v>
      </c>
      <c r="B2633" t="s">
        <v>323</v>
      </c>
      <c r="C2633" t="s">
        <v>19</v>
      </c>
      <c r="D2633" t="s">
        <v>20</v>
      </c>
      <c r="E2633" t="s">
        <v>21</v>
      </c>
      <c r="F2633" t="s">
        <v>30</v>
      </c>
      <c r="G2633" t="s">
        <v>31</v>
      </c>
      <c r="H2633" t="s">
        <v>31</v>
      </c>
      <c r="I2633">
        <v>0.09</v>
      </c>
      <c r="J2633">
        <f t="shared" si="123"/>
        <v>56.699999999999996</v>
      </c>
      <c r="K2633">
        <v>1.5</v>
      </c>
      <c r="L2633">
        <f t="shared" si="124"/>
        <v>55.199999999999996</v>
      </c>
      <c r="M2633" s="4">
        <f t="shared" si="125"/>
        <v>7.8857142857142848E-2</v>
      </c>
      <c r="N2633">
        <v>700</v>
      </c>
      <c r="O2633">
        <v>630</v>
      </c>
      <c r="P2633" t="s">
        <v>25</v>
      </c>
      <c r="Q2633" t="s">
        <v>26</v>
      </c>
      <c r="R2633" t="str">
        <f>IF(COUNTIF(Sheet2!B:B, A2633) &gt; 0, "Yes", "No")</f>
        <v>No</v>
      </c>
    </row>
    <row r="2634" spans="1:18" x14ac:dyDescent="0.25">
      <c r="A2634" s="3">
        <v>45516</v>
      </c>
      <c r="B2634" t="s">
        <v>323</v>
      </c>
      <c r="C2634" t="s">
        <v>19</v>
      </c>
      <c r="D2634" t="s">
        <v>33</v>
      </c>
      <c r="E2634" t="s">
        <v>21</v>
      </c>
      <c r="F2634" t="s">
        <v>34</v>
      </c>
      <c r="G2634" t="s">
        <v>57</v>
      </c>
      <c r="H2634" t="s">
        <v>98</v>
      </c>
      <c r="I2634">
        <v>0.15</v>
      </c>
      <c r="J2634">
        <f t="shared" si="123"/>
        <v>60</v>
      </c>
      <c r="K2634">
        <v>2</v>
      </c>
      <c r="L2634">
        <f t="shared" si="124"/>
        <v>58</v>
      </c>
      <c r="M2634" s="4">
        <f t="shared" si="125"/>
        <v>0.11836734693877551</v>
      </c>
      <c r="N2634">
        <v>490</v>
      </c>
      <c r="O2634">
        <v>400</v>
      </c>
      <c r="P2634" t="s">
        <v>25</v>
      </c>
      <c r="Q2634" t="s">
        <v>26</v>
      </c>
      <c r="R2634" t="str">
        <f>IF(COUNTIF(Sheet2!B:B, A2634) &gt; 0, "Yes", "No")</f>
        <v>No</v>
      </c>
    </row>
    <row r="2635" spans="1:18" x14ac:dyDescent="0.25">
      <c r="A2635" s="3">
        <v>45516</v>
      </c>
      <c r="B2635" t="s">
        <v>323</v>
      </c>
      <c r="C2635" t="s">
        <v>19</v>
      </c>
      <c r="D2635" t="s">
        <v>20</v>
      </c>
      <c r="E2635" t="s">
        <v>21</v>
      </c>
      <c r="F2635" t="s">
        <v>37</v>
      </c>
      <c r="G2635" t="s">
        <v>59</v>
      </c>
      <c r="H2635" t="s">
        <v>60</v>
      </c>
      <c r="I2635">
        <v>0.03</v>
      </c>
      <c r="J2635">
        <f t="shared" si="123"/>
        <v>18.899999999999999</v>
      </c>
      <c r="K2635">
        <v>3</v>
      </c>
      <c r="L2635">
        <f t="shared" si="124"/>
        <v>15.899999999999999</v>
      </c>
      <c r="M2635" s="4">
        <f t="shared" si="125"/>
        <v>2.2714285714285711E-2</v>
      </c>
      <c r="N2635">
        <v>700</v>
      </c>
      <c r="O2635">
        <v>630</v>
      </c>
      <c r="P2635" t="s">
        <v>25</v>
      </c>
      <c r="Q2635" t="s">
        <v>26</v>
      </c>
      <c r="R2635" t="str">
        <f>IF(COUNTIF(Sheet2!B:B, A2635) &gt; 0, "Yes", "No")</f>
        <v>No</v>
      </c>
    </row>
    <row r="2636" spans="1:18" x14ac:dyDescent="0.25">
      <c r="A2636" s="3">
        <v>45516</v>
      </c>
      <c r="B2636" t="s">
        <v>323</v>
      </c>
      <c r="C2636" t="s">
        <v>19</v>
      </c>
      <c r="D2636" t="s">
        <v>20</v>
      </c>
      <c r="E2636" t="s">
        <v>21</v>
      </c>
      <c r="F2636" t="s">
        <v>40</v>
      </c>
      <c r="G2636" t="s">
        <v>61</v>
      </c>
      <c r="H2636" t="s">
        <v>119</v>
      </c>
      <c r="I2636">
        <v>4.4999999999999998E-2</v>
      </c>
      <c r="J2636">
        <f t="shared" si="123"/>
        <v>28.349999999999998</v>
      </c>
      <c r="K2636">
        <v>3</v>
      </c>
      <c r="L2636">
        <f t="shared" si="124"/>
        <v>25.349999999999998</v>
      </c>
      <c r="M2636" s="4">
        <f t="shared" si="125"/>
        <v>3.6214285714285713E-2</v>
      </c>
      <c r="N2636">
        <v>700</v>
      </c>
      <c r="O2636">
        <v>630</v>
      </c>
      <c r="P2636" t="s">
        <v>25</v>
      </c>
      <c r="Q2636" t="s">
        <v>26</v>
      </c>
      <c r="R2636" t="str">
        <f>IF(COUNTIF(Sheet2!B:B, A2636) &gt; 0, "Yes", "No")</f>
        <v>No</v>
      </c>
    </row>
    <row r="2637" spans="1:18" x14ac:dyDescent="0.25">
      <c r="A2637" s="3">
        <v>45516</v>
      </c>
      <c r="B2637" t="s">
        <v>323</v>
      </c>
      <c r="C2637" t="s">
        <v>19</v>
      </c>
      <c r="D2637" t="s">
        <v>20</v>
      </c>
      <c r="E2637" t="s">
        <v>21</v>
      </c>
      <c r="F2637" t="s">
        <v>43</v>
      </c>
      <c r="G2637" t="s">
        <v>44</v>
      </c>
      <c r="H2637" t="s">
        <v>382</v>
      </c>
      <c r="I2637">
        <v>0.11</v>
      </c>
      <c r="J2637">
        <f t="shared" si="123"/>
        <v>69.3</v>
      </c>
      <c r="K2637">
        <v>2</v>
      </c>
      <c r="L2637">
        <f t="shared" si="124"/>
        <v>67.3</v>
      </c>
      <c r="M2637" s="4">
        <f t="shared" si="125"/>
        <v>9.6142857142857141E-2</v>
      </c>
      <c r="N2637">
        <v>700</v>
      </c>
      <c r="O2637">
        <v>630</v>
      </c>
      <c r="P2637" t="s">
        <v>25</v>
      </c>
      <c r="Q2637" t="s">
        <v>26</v>
      </c>
      <c r="R2637" t="str">
        <f>IF(COUNTIF(Sheet2!B:B, A2637) &gt; 0, "Yes", "No")</f>
        <v>No</v>
      </c>
    </row>
    <row r="2638" spans="1:18" x14ac:dyDescent="0.25">
      <c r="A2638" s="3">
        <v>45516</v>
      </c>
      <c r="B2638" t="s">
        <v>323</v>
      </c>
      <c r="C2638" t="s">
        <v>19</v>
      </c>
      <c r="D2638" t="s">
        <v>20</v>
      </c>
      <c r="E2638" t="s">
        <v>21</v>
      </c>
      <c r="F2638" t="s">
        <v>46</v>
      </c>
      <c r="G2638" t="s">
        <v>92</v>
      </c>
      <c r="H2638" t="s">
        <v>669</v>
      </c>
      <c r="I2638">
        <v>8.5000000000000006E-2</v>
      </c>
      <c r="J2638">
        <f t="shared" si="123"/>
        <v>53.550000000000004</v>
      </c>
      <c r="K2638">
        <v>3</v>
      </c>
      <c r="L2638">
        <f t="shared" si="124"/>
        <v>50.550000000000004</v>
      </c>
      <c r="M2638" s="4">
        <f t="shared" si="125"/>
        <v>7.2214285714285717E-2</v>
      </c>
      <c r="N2638">
        <v>700</v>
      </c>
      <c r="O2638">
        <v>630</v>
      </c>
      <c r="P2638" t="s">
        <v>25</v>
      </c>
      <c r="Q2638" t="s">
        <v>26</v>
      </c>
      <c r="R2638" t="str">
        <f>IF(COUNTIF(Sheet2!B:B, A2638) &gt; 0, "Yes", "No")</f>
        <v>No</v>
      </c>
    </row>
    <row r="2639" spans="1:18" x14ac:dyDescent="0.25">
      <c r="A2639" s="3">
        <v>45516</v>
      </c>
      <c r="B2639" t="s">
        <v>323</v>
      </c>
      <c r="C2639" t="s">
        <v>19</v>
      </c>
      <c r="D2639" t="s">
        <v>20</v>
      </c>
      <c r="E2639" t="s">
        <v>21</v>
      </c>
      <c r="F2639" t="s">
        <v>49</v>
      </c>
      <c r="G2639" t="s">
        <v>50</v>
      </c>
      <c r="H2639" t="s">
        <v>49</v>
      </c>
      <c r="I2639">
        <v>0.09</v>
      </c>
      <c r="J2639">
        <f t="shared" si="123"/>
        <v>56.699999999999996</v>
      </c>
      <c r="K2639">
        <v>3</v>
      </c>
      <c r="L2639">
        <f t="shared" si="124"/>
        <v>53.699999999999996</v>
      </c>
      <c r="M2639" s="4">
        <f t="shared" si="125"/>
        <v>7.6714285714285707E-2</v>
      </c>
      <c r="N2639">
        <v>700</v>
      </c>
      <c r="O2639">
        <v>630</v>
      </c>
      <c r="P2639" t="s">
        <v>25</v>
      </c>
      <c r="Q2639" t="s">
        <v>26</v>
      </c>
      <c r="R2639" t="str">
        <f>IF(COUNTIF(Sheet2!B:B, A2639) &gt; 0, "Yes", "No")</f>
        <v>No</v>
      </c>
    </row>
    <row r="2640" spans="1:18" x14ac:dyDescent="0.25">
      <c r="A2640" s="3">
        <v>45517</v>
      </c>
      <c r="B2640" t="s">
        <v>323</v>
      </c>
      <c r="C2640" t="s">
        <v>105</v>
      </c>
      <c r="D2640" t="s">
        <v>20</v>
      </c>
      <c r="E2640" t="s">
        <v>67</v>
      </c>
      <c r="F2640" t="s">
        <v>22</v>
      </c>
      <c r="G2640" t="s">
        <v>122</v>
      </c>
      <c r="H2640" t="s">
        <v>437</v>
      </c>
      <c r="I2640">
        <v>8.5000000000000006E-2</v>
      </c>
      <c r="J2640">
        <f t="shared" si="123"/>
        <v>51.000000000000007</v>
      </c>
      <c r="K2640">
        <v>3</v>
      </c>
      <c r="L2640">
        <f t="shared" si="124"/>
        <v>48.000000000000007</v>
      </c>
      <c r="M2640" s="4">
        <f t="shared" si="125"/>
        <v>7.3846153846153853E-2</v>
      </c>
      <c r="N2640">
        <v>650</v>
      </c>
      <c r="O2640">
        <v>600</v>
      </c>
      <c r="P2640" t="s">
        <v>25</v>
      </c>
      <c r="Q2640" t="s">
        <v>26</v>
      </c>
      <c r="R2640" t="str">
        <f>IF(COUNTIF(Sheet2!B:B, A2640) &gt; 0, "Yes", "No")</f>
        <v>No</v>
      </c>
    </row>
    <row r="2641" spans="1:18" x14ac:dyDescent="0.25">
      <c r="A2641" s="3">
        <v>45517</v>
      </c>
      <c r="B2641" t="s">
        <v>323</v>
      </c>
      <c r="C2641" t="s">
        <v>105</v>
      </c>
      <c r="D2641" t="s">
        <v>20</v>
      </c>
      <c r="E2641" t="s">
        <v>67</v>
      </c>
      <c r="F2641" t="s">
        <v>27</v>
      </c>
      <c r="G2641" t="s">
        <v>304</v>
      </c>
      <c r="H2641" t="s">
        <v>651</v>
      </c>
      <c r="I2641">
        <v>0.12</v>
      </c>
      <c r="J2641">
        <f t="shared" si="123"/>
        <v>72</v>
      </c>
      <c r="K2641">
        <v>0</v>
      </c>
      <c r="L2641">
        <f t="shared" si="124"/>
        <v>72</v>
      </c>
      <c r="M2641" s="4">
        <f t="shared" si="125"/>
        <v>0.11076923076923077</v>
      </c>
      <c r="N2641">
        <v>650</v>
      </c>
      <c r="O2641">
        <v>600</v>
      </c>
      <c r="P2641" t="s">
        <v>25</v>
      </c>
      <c r="Q2641" t="s">
        <v>26</v>
      </c>
      <c r="R2641" t="str">
        <f>IF(COUNTIF(Sheet2!B:B, A2641) &gt; 0, "Yes", "No")</f>
        <v>No</v>
      </c>
    </row>
    <row r="2642" spans="1:18" x14ac:dyDescent="0.25">
      <c r="A2642" s="3">
        <v>45517</v>
      </c>
      <c r="B2642" t="s">
        <v>323</v>
      </c>
      <c r="C2642" t="s">
        <v>105</v>
      </c>
      <c r="D2642" t="s">
        <v>20</v>
      </c>
      <c r="E2642" t="s">
        <v>67</v>
      </c>
      <c r="F2642" t="s">
        <v>30</v>
      </c>
      <c r="G2642" t="s">
        <v>31</v>
      </c>
      <c r="H2642" t="s">
        <v>70</v>
      </c>
      <c r="I2642">
        <v>0.09</v>
      </c>
      <c r="J2642">
        <f t="shared" si="123"/>
        <v>54</v>
      </c>
      <c r="K2642">
        <v>2</v>
      </c>
      <c r="L2642">
        <f t="shared" si="124"/>
        <v>52</v>
      </c>
      <c r="M2642" s="4">
        <f t="shared" si="125"/>
        <v>0.08</v>
      </c>
      <c r="N2642">
        <v>650</v>
      </c>
      <c r="O2642">
        <v>600</v>
      </c>
      <c r="P2642" t="s">
        <v>25</v>
      </c>
      <c r="Q2642" t="s">
        <v>26</v>
      </c>
      <c r="R2642" t="str">
        <f>IF(COUNTIF(Sheet2!B:B, A2642) &gt; 0, "Yes", "No")</f>
        <v>No</v>
      </c>
    </row>
    <row r="2643" spans="1:18" x14ac:dyDescent="0.25">
      <c r="A2643" s="3">
        <v>45517</v>
      </c>
      <c r="B2643" t="s">
        <v>323</v>
      </c>
      <c r="C2643" t="s">
        <v>105</v>
      </c>
      <c r="D2643" t="s">
        <v>20</v>
      </c>
      <c r="E2643" t="s">
        <v>67</v>
      </c>
      <c r="F2643" t="s">
        <v>37</v>
      </c>
      <c r="G2643" t="s">
        <v>87</v>
      </c>
      <c r="H2643" t="s">
        <v>136</v>
      </c>
      <c r="I2643">
        <v>3.5000000000000003E-2</v>
      </c>
      <c r="J2643">
        <f t="shared" si="123"/>
        <v>21.000000000000004</v>
      </c>
      <c r="K2643">
        <v>2</v>
      </c>
      <c r="L2643">
        <f t="shared" si="124"/>
        <v>19.000000000000004</v>
      </c>
      <c r="M2643" s="4">
        <f t="shared" si="125"/>
        <v>2.9230769230769237E-2</v>
      </c>
      <c r="N2643">
        <v>650</v>
      </c>
      <c r="O2643">
        <v>600</v>
      </c>
      <c r="P2643" t="s">
        <v>25</v>
      </c>
      <c r="Q2643" t="s">
        <v>26</v>
      </c>
      <c r="R2643" t="str">
        <f>IF(COUNTIF(Sheet2!B:B, A2643) &gt; 0, "Yes", "No")</f>
        <v>No</v>
      </c>
    </row>
    <row r="2644" spans="1:18" x14ac:dyDescent="0.25">
      <c r="A2644" s="3">
        <v>45517</v>
      </c>
      <c r="B2644" t="s">
        <v>323</v>
      </c>
      <c r="C2644" t="s">
        <v>105</v>
      </c>
      <c r="D2644" t="s">
        <v>20</v>
      </c>
      <c r="E2644" t="s">
        <v>67</v>
      </c>
      <c r="F2644" t="s">
        <v>40</v>
      </c>
      <c r="G2644" t="s">
        <v>41</v>
      </c>
      <c r="H2644" t="s">
        <v>42</v>
      </c>
      <c r="I2644">
        <v>0.05</v>
      </c>
      <c r="J2644">
        <f t="shared" si="123"/>
        <v>30</v>
      </c>
      <c r="K2644">
        <v>3</v>
      </c>
      <c r="L2644">
        <f t="shared" si="124"/>
        <v>27</v>
      </c>
      <c r="M2644" s="4">
        <f t="shared" si="125"/>
        <v>4.1538461538461538E-2</v>
      </c>
      <c r="N2644">
        <v>650</v>
      </c>
      <c r="O2644">
        <v>600</v>
      </c>
      <c r="P2644" t="s">
        <v>25</v>
      </c>
      <c r="Q2644" t="s">
        <v>26</v>
      </c>
      <c r="R2644" t="str">
        <f>IF(COUNTIF(Sheet2!B:B, A2644) &gt; 0, "Yes", "No")</f>
        <v>No</v>
      </c>
    </row>
    <row r="2645" spans="1:18" x14ac:dyDescent="0.25">
      <c r="A2645" s="3">
        <v>45517</v>
      </c>
      <c r="B2645" t="s">
        <v>323</v>
      </c>
      <c r="C2645" t="s">
        <v>105</v>
      </c>
      <c r="D2645" t="s">
        <v>20</v>
      </c>
      <c r="E2645" t="s">
        <v>67</v>
      </c>
      <c r="F2645" t="s">
        <v>43</v>
      </c>
      <c r="G2645" t="s">
        <v>159</v>
      </c>
      <c r="H2645" t="s">
        <v>670</v>
      </c>
      <c r="I2645">
        <v>0.11</v>
      </c>
      <c r="J2645">
        <f t="shared" si="123"/>
        <v>66</v>
      </c>
      <c r="K2645">
        <v>3</v>
      </c>
      <c r="L2645">
        <f t="shared" si="124"/>
        <v>63</v>
      </c>
      <c r="M2645" s="4">
        <f t="shared" si="125"/>
        <v>9.6923076923076917E-2</v>
      </c>
      <c r="N2645">
        <v>650</v>
      </c>
      <c r="O2645">
        <v>600</v>
      </c>
      <c r="P2645" t="s">
        <v>25</v>
      </c>
      <c r="Q2645" t="s">
        <v>26</v>
      </c>
      <c r="R2645" t="str">
        <f>IF(COUNTIF(Sheet2!B:B, A2645) &gt; 0, "Yes", "No")</f>
        <v>No</v>
      </c>
    </row>
    <row r="2646" spans="1:18" x14ac:dyDescent="0.25">
      <c r="A2646" s="3">
        <v>45517</v>
      </c>
      <c r="B2646" t="s">
        <v>323</v>
      </c>
      <c r="C2646" t="s">
        <v>105</v>
      </c>
      <c r="D2646" t="s">
        <v>20</v>
      </c>
      <c r="E2646" t="s">
        <v>67</v>
      </c>
      <c r="F2646" t="s">
        <v>46</v>
      </c>
      <c r="G2646" t="s">
        <v>103</v>
      </c>
      <c r="H2646" t="s">
        <v>180</v>
      </c>
      <c r="I2646">
        <v>0.09</v>
      </c>
      <c r="J2646">
        <f t="shared" si="123"/>
        <v>54</v>
      </c>
      <c r="K2646">
        <v>0</v>
      </c>
      <c r="L2646">
        <f t="shared" si="124"/>
        <v>54</v>
      </c>
      <c r="M2646" s="4">
        <f t="shared" si="125"/>
        <v>8.3076923076923076E-2</v>
      </c>
      <c r="N2646">
        <v>650</v>
      </c>
      <c r="O2646">
        <v>600</v>
      </c>
      <c r="P2646" t="s">
        <v>25</v>
      </c>
      <c r="Q2646" t="s">
        <v>26</v>
      </c>
      <c r="R2646" t="str">
        <f>IF(COUNTIF(Sheet2!B:B, A2646) &gt; 0, "Yes", "No")</f>
        <v>No</v>
      </c>
    </row>
    <row r="2647" spans="1:18" x14ac:dyDescent="0.25">
      <c r="A2647" s="3">
        <v>45517</v>
      </c>
      <c r="B2647" t="s">
        <v>323</v>
      </c>
      <c r="C2647" t="s">
        <v>105</v>
      </c>
      <c r="D2647" t="s">
        <v>20</v>
      </c>
      <c r="E2647" t="s">
        <v>67</v>
      </c>
      <c r="F2647" t="s">
        <v>49</v>
      </c>
      <c r="G2647" t="s">
        <v>50</v>
      </c>
      <c r="H2647" t="s">
        <v>49</v>
      </c>
      <c r="I2647">
        <v>0.09</v>
      </c>
      <c r="J2647">
        <f t="shared" si="123"/>
        <v>54</v>
      </c>
      <c r="K2647">
        <v>1</v>
      </c>
      <c r="L2647">
        <f t="shared" si="124"/>
        <v>53</v>
      </c>
      <c r="M2647" s="4">
        <f t="shared" si="125"/>
        <v>8.1538461538461532E-2</v>
      </c>
      <c r="N2647">
        <v>650</v>
      </c>
      <c r="O2647">
        <v>600</v>
      </c>
      <c r="P2647" t="s">
        <v>25</v>
      </c>
      <c r="Q2647" t="s">
        <v>26</v>
      </c>
      <c r="R2647" t="str">
        <f>IF(COUNTIF(Sheet2!B:B, A2647) &gt; 0, "Yes", "No")</f>
        <v>No</v>
      </c>
    </row>
    <row r="2648" spans="1:18" x14ac:dyDescent="0.25">
      <c r="A2648" s="3">
        <v>45518</v>
      </c>
      <c r="B2648" t="s">
        <v>323</v>
      </c>
      <c r="C2648" t="s">
        <v>51</v>
      </c>
      <c r="D2648" t="s">
        <v>20</v>
      </c>
      <c r="E2648" t="s">
        <v>21</v>
      </c>
      <c r="F2648" t="s">
        <v>22</v>
      </c>
      <c r="G2648" t="s">
        <v>94</v>
      </c>
      <c r="H2648" t="s">
        <v>199</v>
      </c>
      <c r="I2648">
        <v>8.5000000000000006E-2</v>
      </c>
      <c r="J2648">
        <f t="shared" si="123"/>
        <v>51.000000000000007</v>
      </c>
      <c r="K2648">
        <v>2</v>
      </c>
      <c r="L2648">
        <f t="shared" si="124"/>
        <v>49.000000000000007</v>
      </c>
      <c r="M2648" s="4">
        <f t="shared" si="125"/>
        <v>7.5384615384615397E-2</v>
      </c>
      <c r="N2648">
        <v>650</v>
      </c>
      <c r="O2648">
        <v>600</v>
      </c>
      <c r="P2648" t="s">
        <v>283</v>
      </c>
      <c r="Q2648" t="s">
        <v>333</v>
      </c>
      <c r="R2648" t="str">
        <f>IF(COUNTIF(Sheet2!B:B, A2648) &gt; 0, "Yes", "No")</f>
        <v>No</v>
      </c>
    </row>
    <row r="2649" spans="1:18" x14ac:dyDescent="0.25">
      <c r="A2649" s="3">
        <v>45518</v>
      </c>
      <c r="B2649" t="s">
        <v>323</v>
      </c>
      <c r="C2649" t="s">
        <v>51</v>
      </c>
      <c r="D2649" t="s">
        <v>20</v>
      </c>
      <c r="E2649" t="s">
        <v>21</v>
      </c>
      <c r="F2649" t="s">
        <v>27</v>
      </c>
      <c r="G2649" t="s">
        <v>235</v>
      </c>
      <c r="H2649" t="s">
        <v>581</v>
      </c>
      <c r="I2649">
        <v>0.12</v>
      </c>
      <c r="J2649">
        <f t="shared" si="123"/>
        <v>72</v>
      </c>
      <c r="K2649">
        <v>3</v>
      </c>
      <c r="L2649">
        <f t="shared" si="124"/>
        <v>69</v>
      </c>
      <c r="M2649" s="4">
        <f t="shared" si="125"/>
        <v>0.10615384615384615</v>
      </c>
      <c r="N2649">
        <v>650</v>
      </c>
      <c r="O2649">
        <v>600</v>
      </c>
      <c r="P2649" t="s">
        <v>283</v>
      </c>
      <c r="Q2649" t="s">
        <v>333</v>
      </c>
      <c r="R2649" t="str">
        <f>IF(COUNTIF(Sheet2!B:B, A2649) &gt; 0, "Yes", "No")</f>
        <v>No</v>
      </c>
    </row>
    <row r="2650" spans="1:18" x14ac:dyDescent="0.25">
      <c r="A2650" s="3">
        <v>45518</v>
      </c>
      <c r="B2650" t="s">
        <v>323</v>
      </c>
      <c r="C2650" t="s">
        <v>51</v>
      </c>
      <c r="D2650" t="s">
        <v>20</v>
      </c>
      <c r="E2650" t="s">
        <v>21</v>
      </c>
      <c r="F2650" t="s">
        <v>30</v>
      </c>
      <c r="G2650" t="s">
        <v>55</v>
      </c>
      <c r="H2650" t="s">
        <v>83</v>
      </c>
      <c r="I2650">
        <v>0.09</v>
      </c>
      <c r="J2650">
        <f t="shared" si="123"/>
        <v>54</v>
      </c>
      <c r="K2650">
        <v>1</v>
      </c>
      <c r="L2650">
        <f t="shared" si="124"/>
        <v>53</v>
      </c>
      <c r="M2650" s="4">
        <f t="shared" si="125"/>
        <v>8.1538461538461532E-2</v>
      </c>
      <c r="N2650">
        <v>650</v>
      </c>
      <c r="O2650">
        <v>600</v>
      </c>
      <c r="P2650" t="s">
        <v>283</v>
      </c>
      <c r="Q2650" t="s">
        <v>333</v>
      </c>
      <c r="R2650" t="str">
        <f>IF(COUNTIF(Sheet2!B:B, A2650) &gt; 0, "Yes", "No")</f>
        <v>No</v>
      </c>
    </row>
    <row r="2651" spans="1:18" x14ac:dyDescent="0.25">
      <c r="A2651" s="3">
        <v>45518</v>
      </c>
      <c r="B2651" t="s">
        <v>323</v>
      </c>
      <c r="C2651" t="s">
        <v>51</v>
      </c>
      <c r="D2651" t="s">
        <v>33</v>
      </c>
      <c r="E2651" t="s">
        <v>21</v>
      </c>
      <c r="F2651" t="s">
        <v>34</v>
      </c>
      <c r="G2651" t="s">
        <v>35</v>
      </c>
      <c r="H2651" t="s">
        <v>542</v>
      </c>
      <c r="I2651">
        <v>0.15</v>
      </c>
      <c r="J2651">
        <f t="shared" si="123"/>
        <v>60</v>
      </c>
      <c r="K2651">
        <v>1</v>
      </c>
      <c r="L2651">
        <f t="shared" si="124"/>
        <v>59</v>
      </c>
      <c r="M2651" s="4">
        <f t="shared" si="125"/>
        <v>0.12967032967032968</v>
      </c>
      <c r="N2651">
        <v>455</v>
      </c>
      <c r="O2651">
        <v>400</v>
      </c>
      <c r="P2651" t="s">
        <v>283</v>
      </c>
      <c r="Q2651" t="s">
        <v>333</v>
      </c>
      <c r="R2651" t="str">
        <f>IF(COUNTIF(Sheet2!B:B, A2651) &gt; 0, "Yes", "No")</f>
        <v>No</v>
      </c>
    </row>
    <row r="2652" spans="1:18" x14ac:dyDescent="0.25">
      <c r="A2652" s="3">
        <v>45518</v>
      </c>
      <c r="B2652" t="s">
        <v>323</v>
      </c>
      <c r="C2652" t="s">
        <v>51</v>
      </c>
      <c r="D2652" t="s">
        <v>20</v>
      </c>
      <c r="E2652" t="s">
        <v>21</v>
      </c>
      <c r="F2652" t="s">
        <v>37</v>
      </c>
      <c r="G2652" t="s">
        <v>108</v>
      </c>
      <c r="H2652" t="s">
        <v>126</v>
      </c>
      <c r="I2652">
        <v>0.03</v>
      </c>
      <c r="J2652">
        <f t="shared" si="123"/>
        <v>18</v>
      </c>
      <c r="K2652">
        <v>2</v>
      </c>
      <c r="L2652">
        <f t="shared" si="124"/>
        <v>16</v>
      </c>
      <c r="M2652" s="4">
        <f t="shared" si="125"/>
        <v>2.4615384615384615E-2</v>
      </c>
      <c r="N2652">
        <v>650</v>
      </c>
      <c r="O2652">
        <v>600</v>
      </c>
      <c r="P2652" t="s">
        <v>283</v>
      </c>
      <c r="Q2652" t="s">
        <v>333</v>
      </c>
      <c r="R2652" t="str">
        <f>IF(COUNTIF(Sheet2!B:B, A2652) &gt; 0, "Yes", "No")</f>
        <v>No</v>
      </c>
    </row>
    <row r="2653" spans="1:18" x14ac:dyDescent="0.25">
      <c r="A2653" s="3">
        <v>45518</v>
      </c>
      <c r="B2653" t="s">
        <v>323</v>
      </c>
      <c r="C2653" t="s">
        <v>51</v>
      </c>
      <c r="D2653" t="s">
        <v>20</v>
      </c>
      <c r="E2653" t="s">
        <v>21</v>
      </c>
      <c r="F2653" t="s">
        <v>40</v>
      </c>
      <c r="G2653" t="s">
        <v>164</v>
      </c>
      <c r="H2653" t="s">
        <v>526</v>
      </c>
      <c r="I2653">
        <v>4.4999999999999998E-2</v>
      </c>
      <c r="J2653">
        <f t="shared" si="123"/>
        <v>27</v>
      </c>
      <c r="K2653">
        <v>2</v>
      </c>
      <c r="L2653">
        <f t="shared" si="124"/>
        <v>25</v>
      </c>
      <c r="M2653" s="4">
        <f t="shared" si="125"/>
        <v>3.8461538461538464E-2</v>
      </c>
      <c r="N2653">
        <v>650</v>
      </c>
      <c r="O2653">
        <v>600</v>
      </c>
      <c r="P2653" t="s">
        <v>283</v>
      </c>
      <c r="Q2653" t="s">
        <v>333</v>
      </c>
      <c r="R2653" t="str">
        <f>IF(COUNTIF(Sheet2!B:B, A2653) &gt; 0, "Yes", "No")</f>
        <v>No</v>
      </c>
    </row>
    <row r="2654" spans="1:18" x14ac:dyDescent="0.25">
      <c r="A2654" s="3">
        <v>45518</v>
      </c>
      <c r="B2654" t="s">
        <v>323</v>
      </c>
      <c r="C2654" t="s">
        <v>51</v>
      </c>
      <c r="D2654" t="s">
        <v>20</v>
      </c>
      <c r="E2654" t="s">
        <v>21</v>
      </c>
      <c r="F2654" t="s">
        <v>43</v>
      </c>
      <c r="G2654" t="s">
        <v>90</v>
      </c>
      <c r="H2654" t="s">
        <v>582</v>
      </c>
      <c r="I2654">
        <v>0.11</v>
      </c>
      <c r="J2654">
        <f t="shared" si="123"/>
        <v>66</v>
      </c>
      <c r="K2654">
        <v>2</v>
      </c>
      <c r="L2654">
        <f t="shared" si="124"/>
        <v>64</v>
      </c>
      <c r="M2654" s="4">
        <f t="shared" si="125"/>
        <v>9.8461538461538461E-2</v>
      </c>
      <c r="N2654">
        <v>650</v>
      </c>
      <c r="O2654">
        <v>600</v>
      </c>
      <c r="P2654" t="s">
        <v>283</v>
      </c>
      <c r="Q2654" t="s">
        <v>333</v>
      </c>
      <c r="R2654" t="str">
        <f>IF(COUNTIF(Sheet2!B:B, A2654) &gt; 0, "Yes", "No")</f>
        <v>No</v>
      </c>
    </row>
    <row r="2655" spans="1:18" x14ac:dyDescent="0.25">
      <c r="A2655" s="3">
        <v>45518</v>
      </c>
      <c r="B2655" t="s">
        <v>323</v>
      </c>
      <c r="C2655" t="s">
        <v>51</v>
      </c>
      <c r="D2655" t="s">
        <v>20</v>
      </c>
      <c r="E2655" t="s">
        <v>21</v>
      </c>
      <c r="F2655" t="s">
        <v>46</v>
      </c>
      <c r="G2655" t="s">
        <v>47</v>
      </c>
      <c r="H2655" t="s">
        <v>594</v>
      </c>
      <c r="I2655">
        <v>8.5000000000000006E-2</v>
      </c>
      <c r="J2655">
        <f t="shared" si="123"/>
        <v>51.000000000000007</v>
      </c>
      <c r="K2655">
        <v>2</v>
      </c>
      <c r="L2655">
        <f t="shared" si="124"/>
        <v>49.000000000000007</v>
      </c>
      <c r="M2655" s="4">
        <f t="shared" si="125"/>
        <v>7.5384615384615397E-2</v>
      </c>
      <c r="N2655">
        <v>650</v>
      </c>
      <c r="O2655">
        <v>600</v>
      </c>
      <c r="P2655" t="s">
        <v>283</v>
      </c>
      <c r="Q2655" t="s">
        <v>333</v>
      </c>
      <c r="R2655" t="str">
        <f>IF(COUNTIF(Sheet2!B:B, A2655) &gt; 0, "Yes", "No")</f>
        <v>No</v>
      </c>
    </row>
    <row r="2656" spans="1:18" x14ac:dyDescent="0.25">
      <c r="A2656" s="3">
        <v>45518</v>
      </c>
      <c r="B2656" t="s">
        <v>323</v>
      </c>
      <c r="C2656" t="s">
        <v>51</v>
      </c>
      <c r="D2656" t="s">
        <v>20</v>
      </c>
      <c r="E2656" t="s">
        <v>21</v>
      </c>
      <c r="F2656" t="s">
        <v>49</v>
      </c>
      <c r="G2656" t="s">
        <v>50</v>
      </c>
      <c r="H2656" t="s">
        <v>49</v>
      </c>
      <c r="I2656">
        <v>0.09</v>
      </c>
      <c r="J2656">
        <f t="shared" si="123"/>
        <v>54</v>
      </c>
      <c r="K2656">
        <v>1</v>
      </c>
      <c r="L2656">
        <f t="shared" si="124"/>
        <v>53</v>
      </c>
      <c r="M2656" s="4">
        <f t="shared" si="125"/>
        <v>8.1538461538461532E-2</v>
      </c>
      <c r="N2656">
        <v>650</v>
      </c>
      <c r="O2656">
        <v>600</v>
      </c>
      <c r="P2656" t="s">
        <v>283</v>
      </c>
      <c r="Q2656" t="s">
        <v>333</v>
      </c>
      <c r="R2656" t="str">
        <f>IF(COUNTIF(Sheet2!B:B, A2656) &gt; 0, "Yes", "No")</f>
        <v>No</v>
      </c>
    </row>
    <row r="2657" spans="1:18" x14ac:dyDescent="0.25">
      <c r="A2657" s="3">
        <v>45523</v>
      </c>
      <c r="B2657" t="s">
        <v>323</v>
      </c>
      <c r="C2657" t="s">
        <v>19</v>
      </c>
      <c r="D2657" t="s">
        <v>20</v>
      </c>
      <c r="E2657" t="s">
        <v>21</v>
      </c>
      <c r="F2657" t="s">
        <v>22</v>
      </c>
      <c r="G2657" t="s">
        <v>94</v>
      </c>
      <c r="H2657" t="s">
        <v>226</v>
      </c>
      <c r="I2657">
        <v>8.5000000000000006E-2</v>
      </c>
      <c r="J2657">
        <f t="shared" si="123"/>
        <v>51.000000000000007</v>
      </c>
      <c r="K2657">
        <v>6</v>
      </c>
      <c r="L2657">
        <f t="shared" si="124"/>
        <v>45.000000000000007</v>
      </c>
      <c r="M2657" s="4">
        <f t="shared" si="125"/>
        <v>6.9230769230769248E-2</v>
      </c>
      <c r="N2657">
        <v>650</v>
      </c>
      <c r="O2657">
        <v>600</v>
      </c>
      <c r="P2657" t="s">
        <v>341</v>
      </c>
      <c r="Q2657" t="s">
        <v>320</v>
      </c>
      <c r="R2657" t="str">
        <f>IF(COUNTIF(Sheet2!B:B, A2657) &gt; 0, "Yes", "No")</f>
        <v>No</v>
      </c>
    </row>
    <row r="2658" spans="1:18" x14ac:dyDescent="0.25">
      <c r="A2658" s="3">
        <v>45523</v>
      </c>
      <c r="B2658" t="s">
        <v>323</v>
      </c>
      <c r="C2658" t="s">
        <v>19</v>
      </c>
      <c r="D2658" t="s">
        <v>20</v>
      </c>
      <c r="E2658" t="s">
        <v>21</v>
      </c>
      <c r="F2658" t="s">
        <v>27</v>
      </c>
      <c r="G2658" t="s">
        <v>28</v>
      </c>
      <c r="H2658" t="s">
        <v>204</v>
      </c>
      <c r="I2658">
        <v>0.11</v>
      </c>
      <c r="J2658">
        <f t="shared" si="123"/>
        <v>66</v>
      </c>
      <c r="K2658">
        <v>5</v>
      </c>
      <c r="L2658">
        <f t="shared" si="124"/>
        <v>61</v>
      </c>
      <c r="M2658" s="4">
        <f t="shared" si="125"/>
        <v>9.3846153846153843E-2</v>
      </c>
      <c r="N2658">
        <v>650</v>
      </c>
      <c r="O2658">
        <v>600</v>
      </c>
      <c r="P2658" t="s">
        <v>341</v>
      </c>
      <c r="Q2658" t="s">
        <v>320</v>
      </c>
      <c r="R2658" t="str">
        <f>IF(COUNTIF(Sheet2!B:B, A2658) &gt; 0, "Yes", "No")</f>
        <v>No</v>
      </c>
    </row>
    <row r="2659" spans="1:18" x14ac:dyDescent="0.25">
      <c r="A2659" s="3">
        <v>45523</v>
      </c>
      <c r="B2659" t="s">
        <v>323</v>
      </c>
      <c r="C2659" t="s">
        <v>19</v>
      </c>
      <c r="D2659" t="s">
        <v>20</v>
      </c>
      <c r="E2659" t="s">
        <v>21</v>
      </c>
      <c r="F2659" t="s">
        <v>30</v>
      </c>
      <c r="G2659" t="s">
        <v>55</v>
      </c>
      <c r="H2659" t="s">
        <v>125</v>
      </c>
      <c r="I2659">
        <v>0.09</v>
      </c>
      <c r="J2659">
        <f t="shared" si="123"/>
        <v>54</v>
      </c>
      <c r="K2659">
        <v>3</v>
      </c>
      <c r="L2659">
        <f t="shared" si="124"/>
        <v>51</v>
      </c>
      <c r="M2659" s="4">
        <f t="shared" si="125"/>
        <v>7.8461538461538458E-2</v>
      </c>
      <c r="N2659">
        <v>650</v>
      </c>
      <c r="O2659">
        <v>600</v>
      </c>
      <c r="P2659" t="s">
        <v>341</v>
      </c>
      <c r="Q2659" t="s">
        <v>320</v>
      </c>
      <c r="R2659" t="str">
        <f>IF(COUNTIF(Sheet2!B:B, A2659) &gt; 0, "Yes", "No")</f>
        <v>No</v>
      </c>
    </row>
    <row r="2660" spans="1:18" x14ac:dyDescent="0.25">
      <c r="A2660" s="3">
        <v>45523</v>
      </c>
      <c r="B2660" t="s">
        <v>323</v>
      </c>
      <c r="C2660" t="s">
        <v>19</v>
      </c>
      <c r="D2660" t="s">
        <v>33</v>
      </c>
      <c r="E2660" t="s">
        <v>21</v>
      </c>
      <c r="F2660" t="s">
        <v>34</v>
      </c>
      <c r="G2660" t="s">
        <v>57</v>
      </c>
      <c r="H2660" t="s">
        <v>671</v>
      </c>
      <c r="I2660">
        <v>0.15</v>
      </c>
      <c r="J2660">
        <f t="shared" si="123"/>
        <v>57</v>
      </c>
      <c r="K2660">
        <v>4</v>
      </c>
      <c r="L2660">
        <f t="shared" si="124"/>
        <v>53</v>
      </c>
      <c r="M2660" s="4">
        <f t="shared" si="125"/>
        <v>0.11648351648351649</v>
      </c>
      <c r="N2660">
        <v>455</v>
      </c>
      <c r="O2660">
        <v>380</v>
      </c>
      <c r="P2660" t="s">
        <v>341</v>
      </c>
      <c r="Q2660" t="s">
        <v>320</v>
      </c>
      <c r="R2660" t="str">
        <f>IF(COUNTIF(Sheet2!B:B, A2660) &gt; 0, "Yes", "No")</f>
        <v>No</v>
      </c>
    </row>
    <row r="2661" spans="1:18" x14ac:dyDescent="0.25">
      <c r="A2661" s="3">
        <v>45523</v>
      </c>
      <c r="B2661" t="s">
        <v>323</v>
      </c>
      <c r="C2661" t="s">
        <v>19</v>
      </c>
      <c r="D2661" t="s">
        <v>20</v>
      </c>
      <c r="E2661" t="s">
        <v>21</v>
      </c>
      <c r="F2661" t="s">
        <v>37</v>
      </c>
      <c r="G2661" t="s">
        <v>117</v>
      </c>
      <c r="H2661" t="s">
        <v>118</v>
      </c>
      <c r="I2661">
        <v>0.03</v>
      </c>
      <c r="J2661">
        <f t="shared" si="123"/>
        <v>18</v>
      </c>
      <c r="K2661">
        <v>5</v>
      </c>
      <c r="L2661">
        <f t="shared" si="124"/>
        <v>13</v>
      </c>
      <c r="M2661" s="4">
        <f t="shared" si="125"/>
        <v>0.02</v>
      </c>
      <c r="N2661">
        <v>650</v>
      </c>
      <c r="O2661">
        <v>600</v>
      </c>
      <c r="P2661" t="s">
        <v>341</v>
      </c>
      <c r="Q2661" t="s">
        <v>320</v>
      </c>
      <c r="R2661" t="str">
        <f>IF(COUNTIF(Sheet2!B:B, A2661) &gt; 0, "Yes", "No")</f>
        <v>No</v>
      </c>
    </row>
    <row r="2662" spans="1:18" x14ac:dyDescent="0.25">
      <c r="A2662" s="3">
        <v>45523</v>
      </c>
      <c r="B2662" t="s">
        <v>323</v>
      </c>
      <c r="C2662" t="s">
        <v>19</v>
      </c>
      <c r="D2662" t="s">
        <v>20</v>
      </c>
      <c r="E2662" t="s">
        <v>21</v>
      </c>
      <c r="F2662" t="s">
        <v>40</v>
      </c>
      <c r="G2662" t="s">
        <v>61</v>
      </c>
      <c r="H2662" t="s">
        <v>62</v>
      </c>
      <c r="I2662">
        <v>4.4999999999999998E-2</v>
      </c>
      <c r="J2662">
        <f t="shared" si="123"/>
        <v>27</v>
      </c>
      <c r="K2662">
        <v>5</v>
      </c>
      <c r="L2662">
        <f t="shared" si="124"/>
        <v>22</v>
      </c>
      <c r="M2662" s="4">
        <f t="shared" si="125"/>
        <v>3.3846153846153845E-2</v>
      </c>
      <c r="N2662">
        <v>650</v>
      </c>
      <c r="O2662">
        <v>600</v>
      </c>
      <c r="P2662" t="s">
        <v>341</v>
      </c>
      <c r="Q2662" t="s">
        <v>320</v>
      </c>
      <c r="R2662" t="str">
        <f>IF(COUNTIF(Sheet2!B:B, A2662) &gt; 0, "Yes", "No")</f>
        <v>No</v>
      </c>
    </row>
    <row r="2663" spans="1:18" x14ac:dyDescent="0.25">
      <c r="A2663" s="3">
        <v>45523</v>
      </c>
      <c r="B2663" t="s">
        <v>323</v>
      </c>
      <c r="C2663" t="s">
        <v>19</v>
      </c>
      <c r="D2663" t="s">
        <v>20</v>
      </c>
      <c r="E2663" t="s">
        <v>21</v>
      </c>
      <c r="F2663" t="s">
        <v>43</v>
      </c>
      <c r="G2663" t="s">
        <v>44</v>
      </c>
      <c r="H2663" t="s">
        <v>672</v>
      </c>
      <c r="I2663">
        <v>0.11</v>
      </c>
      <c r="J2663">
        <f t="shared" si="123"/>
        <v>66</v>
      </c>
      <c r="K2663">
        <v>7</v>
      </c>
      <c r="L2663">
        <f t="shared" si="124"/>
        <v>59</v>
      </c>
      <c r="M2663" s="4">
        <f t="shared" si="125"/>
        <v>9.0769230769230769E-2</v>
      </c>
      <c r="N2663">
        <v>650</v>
      </c>
      <c r="O2663">
        <v>600</v>
      </c>
      <c r="P2663" t="s">
        <v>341</v>
      </c>
      <c r="Q2663" t="s">
        <v>320</v>
      </c>
      <c r="R2663" t="str">
        <f>IF(COUNTIF(Sheet2!B:B, A2663) &gt; 0, "Yes", "No")</f>
        <v>No</v>
      </c>
    </row>
    <row r="2664" spans="1:18" x14ac:dyDescent="0.25">
      <c r="A2664" s="3">
        <v>45523</v>
      </c>
      <c r="B2664" t="s">
        <v>323</v>
      </c>
      <c r="C2664" t="s">
        <v>19</v>
      </c>
      <c r="D2664" t="s">
        <v>20</v>
      </c>
      <c r="E2664" t="s">
        <v>21</v>
      </c>
      <c r="F2664" t="s">
        <v>46</v>
      </c>
      <c r="G2664" t="s">
        <v>92</v>
      </c>
      <c r="H2664" t="s">
        <v>311</v>
      </c>
      <c r="I2664">
        <v>8.5000000000000006E-2</v>
      </c>
      <c r="J2664">
        <f t="shared" si="123"/>
        <v>51.000000000000007</v>
      </c>
      <c r="K2664">
        <v>6</v>
      </c>
      <c r="L2664">
        <f t="shared" si="124"/>
        <v>45.000000000000007</v>
      </c>
      <c r="M2664" s="4">
        <f t="shared" si="125"/>
        <v>6.9230769230769248E-2</v>
      </c>
      <c r="N2664">
        <v>650</v>
      </c>
      <c r="O2664">
        <v>600</v>
      </c>
      <c r="P2664" t="s">
        <v>341</v>
      </c>
      <c r="Q2664" t="s">
        <v>320</v>
      </c>
      <c r="R2664" t="str">
        <f>IF(COUNTIF(Sheet2!B:B, A2664) &gt; 0, "Yes", "No")</f>
        <v>No</v>
      </c>
    </row>
    <row r="2665" spans="1:18" x14ac:dyDescent="0.25">
      <c r="A2665" s="3">
        <v>45523</v>
      </c>
      <c r="B2665" t="s">
        <v>323</v>
      </c>
      <c r="C2665" t="s">
        <v>19</v>
      </c>
      <c r="D2665" t="s">
        <v>20</v>
      </c>
      <c r="E2665" t="s">
        <v>21</v>
      </c>
      <c r="F2665" t="s">
        <v>49</v>
      </c>
      <c r="G2665" t="s">
        <v>50</v>
      </c>
      <c r="H2665" t="s">
        <v>49</v>
      </c>
      <c r="I2665">
        <v>0.09</v>
      </c>
      <c r="J2665">
        <f t="shared" si="123"/>
        <v>54</v>
      </c>
      <c r="K2665">
        <v>5</v>
      </c>
      <c r="L2665">
        <f t="shared" si="124"/>
        <v>49</v>
      </c>
      <c r="M2665" s="4">
        <f t="shared" si="125"/>
        <v>7.5384615384615383E-2</v>
      </c>
      <c r="N2665">
        <v>650</v>
      </c>
      <c r="O2665">
        <v>600</v>
      </c>
      <c r="P2665" t="s">
        <v>341</v>
      </c>
      <c r="Q2665" t="s">
        <v>320</v>
      </c>
      <c r="R2665" t="str">
        <f>IF(COUNTIF(Sheet2!B:B, A2665) &gt; 0, "Yes", "No")</f>
        <v>No</v>
      </c>
    </row>
    <row r="2666" spans="1:18" x14ac:dyDescent="0.25">
      <c r="A2666" s="3">
        <v>45524</v>
      </c>
      <c r="B2666" t="s">
        <v>323</v>
      </c>
      <c r="C2666" t="s">
        <v>105</v>
      </c>
      <c r="D2666" t="s">
        <v>20</v>
      </c>
      <c r="E2666" t="s">
        <v>67</v>
      </c>
      <c r="F2666" t="s">
        <v>22</v>
      </c>
      <c r="G2666" t="s">
        <v>52</v>
      </c>
      <c r="H2666" t="s">
        <v>370</v>
      </c>
      <c r="I2666">
        <v>8.5000000000000006E-2</v>
      </c>
      <c r="J2666">
        <f t="shared" si="123"/>
        <v>51.000000000000007</v>
      </c>
      <c r="K2666">
        <v>1</v>
      </c>
      <c r="L2666">
        <f t="shared" si="124"/>
        <v>50.000000000000007</v>
      </c>
      <c r="M2666" s="4">
        <f t="shared" si="125"/>
        <v>7.6923076923076927E-2</v>
      </c>
      <c r="N2666">
        <v>650</v>
      </c>
      <c r="O2666">
        <v>600</v>
      </c>
      <c r="P2666" t="s">
        <v>322</v>
      </c>
      <c r="Q2666" t="s">
        <v>320</v>
      </c>
      <c r="R2666" t="str">
        <f>IF(COUNTIF(Sheet2!B:B, A2666) &gt; 0, "Yes", "No")</f>
        <v>No</v>
      </c>
    </row>
    <row r="2667" spans="1:18" x14ac:dyDescent="0.25">
      <c r="A2667" s="3">
        <v>45524</v>
      </c>
      <c r="B2667" t="s">
        <v>323</v>
      </c>
      <c r="C2667" t="s">
        <v>105</v>
      </c>
      <c r="D2667" t="s">
        <v>20</v>
      </c>
      <c r="E2667" t="s">
        <v>67</v>
      </c>
      <c r="F2667" t="s">
        <v>27</v>
      </c>
      <c r="G2667" t="s">
        <v>28</v>
      </c>
      <c r="H2667" t="s">
        <v>427</v>
      </c>
      <c r="I2667">
        <v>0.11</v>
      </c>
      <c r="J2667">
        <f t="shared" si="123"/>
        <v>66</v>
      </c>
      <c r="K2667">
        <v>6</v>
      </c>
      <c r="L2667">
        <f t="shared" si="124"/>
        <v>60</v>
      </c>
      <c r="M2667" s="4">
        <f t="shared" si="125"/>
        <v>9.2307692307692313E-2</v>
      </c>
      <c r="N2667">
        <v>650</v>
      </c>
      <c r="O2667">
        <v>600</v>
      </c>
      <c r="P2667" t="s">
        <v>322</v>
      </c>
      <c r="Q2667" t="s">
        <v>320</v>
      </c>
      <c r="R2667" t="str">
        <f>IF(COUNTIF(Sheet2!B:B, A2667) &gt; 0, "Yes", "No")</f>
        <v>No</v>
      </c>
    </row>
    <row r="2668" spans="1:18" x14ac:dyDescent="0.25">
      <c r="A2668" s="3">
        <v>45524</v>
      </c>
      <c r="B2668" t="s">
        <v>323</v>
      </c>
      <c r="C2668" t="s">
        <v>105</v>
      </c>
      <c r="D2668" t="s">
        <v>20</v>
      </c>
      <c r="E2668" t="s">
        <v>67</v>
      </c>
      <c r="F2668" t="s">
        <v>30</v>
      </c>
      <c r="G2668" t="s">
        <v>31</v>
      </c>
      <c r="H2668" t="s">
        <v>70</v>
      </c>
      <c r="I2668">
        <v>0.09</v>
      </c>
      <c r="J2668">
        <f t="shared" si="123"/>
        <v>54</v>
      </c>
      <c r="K2668">
        <v>2</v>
      </c>
      <c r="L2668">
        <f t="shared" si="124"/>
        <v>52</v>
      </c>
      <c r="M2668" s="4">
        <f t="shared" si="125"/>
        <v>0.08</v>
      </c>
      <c r="N2668">
        <v>650</v>
      </c>
      <c r="O2668">
        <v>600</v>
      </c>
      <c r="P2668" t="s">
        <v>322</v>
      </c>
      <c r="Q2668" t="s">
        <v>320</v>
      </c>
      <c r="R2668" t="str">
        <f>IF(COUNTIF(Sheet2!B:B, A2668) &gt; 0, "Yes", "No")</f>
        <v>No</v>
      </c>
    </row>
    <row r="2669" spans="1:18" x14ac:dyDescent="0.25">
      <c r="A2669" s="3">
        <v>45524</v>
      </c>
      <c r="B2669" t="s">
        <v>323</v>
      </c>
      <c r="C2669" t="s">
        <v>105</v>
      </c>
      <c r="D2669" t="s">
        <v>20</v>
      </c>
      <c r="E2669" t="s">
        <v>67</v>
      </c>
      <c r="F2669" t="s">
        <v>37</v>
      </c>
      <c r="G2669" t="s">
        <v>108</v>
      </c>
      <c r="H2669" t="s">
        <v>126</v>
      </c>
      <c r="I2669">
        <v>3.5000000000000003E-2</v>
      </c>
      <c r="J2669">
        <f t="shared" si="123"/>
        <v>21.000000000000004</v>
      </c>
      <c r="K2669">
        <v>3</v>
      </c>
      <c r="L2669">
        <f t="shared" si="124"/>
        <v>18.000000000000004</v>
      </c>
      <c r="M2669" s="4">
        <f t="shared" si="125"/>
        <v>2.7692307692307697E-2</v>
      </c>
      <c r="N2669">
        <v>650</v>
      </c>
      <c r="O2669">
        <v>600</v>
      </c>
      <c r="P2669" t="s">
        <v>322</v>
      </c>
      <c r="Q2669" t="s">
        <v>320</v>
      </c>
      <c r="R2669" t="str">
        <f>IF(COUNTIF(Sheet2!B:B, A2669) &gt; 0, "Yes", "No")</f>
        <v>No</v>
      </c>
    </row>
    <row r="2670" spans="1:18" x14ac:dyDescent="0.25">
      <c r="A2670" s="3">
        <v>45524</v>
      </c>
      <c r="B2670" t="s">
        <v>323</v>
      </c>
      <c r="C2670" t="s">
        <v>105</v>
      </c>
      <c r="D2670" t="s">
        <v>20</v>
      </c>
      <c r="E2670" t="s">
        <v>67</v>
      </c>
      <c r="F2670" t="s">
        <v>40</v>
      </c>
      <c r="G2670" t="s">
        <v>164</v>
      </c>
      <c r="H2670" t="s">
        <v>165</v>
      </c>
      <c r="I2670">
        <v>0.05</v>
      </c>
      <c r="J2670">
        <f t="shared" si="123"/>
        <v>30</v>
      </c>
      <c r="K2670">
        <v>3</v>
      </c>
      <c r="L2670">
        <f t="shared" si="124"/>
        <v>27</v>
      </c>
      <c r="M2670" s="4">
        <f t="shared" si="125"/>
        <v>4.1538461538461538E-2</v>
      </c>
      <c r="N2670">
        <v>650</v>
      </c>
      <c r="O2670">
        <v>600</v>
      </c>
      <c r="P2670" t="s">
        <v>322</v>
      </c>
      <c r="Q2670" t="s">
        <v>320</v>
      </c>
      <c r="R2670" t="str">
        <f>IF(COUNTIF(Sheet2!B:B, A2670) &gt; 0, "Yes", "No")</f>
        <v>No</v>
      </c>
    </row>
    <row r="2671" spans="1:18" x14ac:dyDescent="0.25">
      <c r="A2671" s="3">
        <v>45524</v>
      </c>
      <c r="B2671" t="s">
        <v>323</v>
      </c>
      <c r="C2671" t="s">
        <v>105</v>
      </c>
      <c r="D2671" t="s">
        <v>20</v>
      </c>
      <c r="E2671" t="s">
        <v>67</v>
      </c>
      <c r="F2671" t="s">
        <v>43</v>
      </c>
      <c r="G2671" t="s">
        <v>359</v>
      </c>
      <c r="H2671" t="s">
        <v>360</v>
      </c>
      <c r="I2671">
        <v>0.11</v>
      </c>
      <c r="J2671">
        <f t="shared" si="123"/>
        <v>66</v>
      </c>
      <c r="K2671">
        <v>4</v>
      </c>
      <c r="L2671">
        <f t="shared" si="124"/>
        <v>62</v>
      </c>
      <c r="M2671" s="4">
        <f t="shared" si="125"/>
        <v>9.5384615384615387E-2</v>
      </c>
      <c r="N2671">
        <v>650</v>
      </c>
      <c r="O2671">
        <v>600</v>
      </c>
      <c r="P2671" t="s">
        <v>322</v>
      </c>
      <c r="Q2671" t="s">
        <v>320</v>
      </c>
      <c r="R2671" t="str">
        <f>IF(COUNTIF(Sheet2!B:B, A2671) &gt; 0, "Yes", "No")</f>
        <v>No</v>
      </c>
    </row>
    <row r="2672" spans="1:18" x14ac:dyDescent="0.25">
      <c r="A2672" s="3">
        <v>45524</v>
      </c>
      <c r="B2672" t="s">
        <v>323</v>
      </c>
      <c r="C2672" t="s">
        <v>105</v>
      </c>
      <c r="D2672" t="s">
        <v>20</v>
      </c>
      <c r="E2672" t="s">
        <v>67</v>
      </c>
      <c r="F2672" t="s">
        <v>46</v>
      </c>
      <c r="G2672" t="s">
        <v>130</v>
      </c>
      <c r="H2672" t="s">
        <v>147</v>
      </c>
      <c r="I2672">
        <v>8.5000000000000006E-2</v>
      </c>
      <c r="J2672">
        <f t="shared" si="123"/>
        <v>51.000000000000007</v>
      </c>
      <c r="K2672">
        <v>1</v>
      </c>
      <c r="L2672">
        <f t="shared" si="124"/>
        <v>50.000000000000007</v>
      </c>
      <c r="M2672" s="4">
        <f t="shared" si="125"/>
        <v>7.6923076923076927E-2</v>
      </c>
      <c r="N2672">
        <v>650</v>
      </c>
      <c r="O2672">
        <v>600</v>
      </c>
      <c r="P2672" t="s">
        <v>322</v>
      </c>
      <c r="Q2672" t="s">
        <v>320</v>
      </c>
      <c r="R2672" t="str">
        <f>IF(COUNTIF(Sheet2!B:B, A2672) &gt; 0, "Yes", "No")</f>
        <v>No</v>
      </c>
    </row>
    <row r="2673" spans="1:18" x14ac:dyDescent="0.25">
      <c r="A2673" s="3">
        <v>45524</v>
      </c>
      <c r="B2673" t="s">
        <v>323</v>
      </c>
      <c r="C2673" t="s">
        <v>105</v>
      </c>
      <c r="D2673" t="s">
        <v>20</v>
      </c>
      <c r="E2673" t="s">
        <v>67</v>
      </c>
      <c r="F2673" t="s">
        <v>49</v>
      </c>
      <c r="G2673" t="s">
        <v>50</v>
      </c>
      <c r="H2673" t="s">
        <v>49</v>
      </c>
      <c r="I2673">
        <v>0.09</v>
      </c>
      <c r="J2673">
        <f t="shared" si="123"/>
        <v>54</v>
      </c>
      <c r="K2673">
        <v>5</v>
      </c>
      <c r="L2673">
        <f t="shared" si="124"/>
        <v>49</v>
      </c>
      <c r="M2673" s="4">
        <f t="shared" si="125"/>
        <v>7.5384615384615383E-2</v>
      </c>
      <c r="N2673">
        <v>650</v>
      </c>
      <c r="O2673">
        <v>600</v>
      </c>
      <c r="P2673" t="s">
        <v>322</v>
      </c>
      <c r="Q2673" t="s">
        <v>320</v>
      </c>
      <c r="R2673" t="str">
        <f>IF(COUNTIF(Sheet2!B:B, A2673) &gt; 0, "Yes", "No")</f>
        <v>No</v>
      </c>
    </row>
    <row r="2674" spans="1:18" x14ac:dyDescent="0.25">
      <c r="A2674" s="3">
        <v>45525</v>
      </c>
      <c r="B2674" t="s">
        <v>323</v>
      </c>
      <c r="C2674" t="s">
        <v>51</v>
      </c>
      <c r="D2674" t="s">
        <v>20</v>
      </c>
      <c r="E2674" t="s">
        <v>21</v>
      </c>
      <c r="F2674" t="s">
        <v>22</v>
      </c>
      <c r="G2674" t="s">
        <v>23</v>
      </c>
      <c r="H2674" t="s">
        <v>196</v>
      </c>
      <c r="I2674">
        <v>8.5000000000000006E-2</v>
      </c>
      <c r="J2674">
        <f t="shared" si="123"/>
        <v>54.400000000000006</v>
      </c>
      <c r="K2674">
        <v>2</v>
      </c>
      <c r="L2674">
        <f t="shared" si="124"/>
        <v>52.400000000000006</v>
      </c>
      <c r="M2674" s="4">
        <f t="shared" si="125"/>
        <v>7.4857142857142872E-2</v>
      </c>
      <c r="N2674">
        <v>700</v>
      </c>
      <c r="O2674">
        <v>640</v>
      </c>
      <c r="P2674" t="s">
        <v>25</v>
      </c>
      <c r="Q2674" t="s">
        <v>26</v>
      </c>
      <c r="R2674" t="str">
        <f>IF(COUNTIF(Sheet2!B:B, A2674) &gt; 0, "Yes", "No")</f>
        <v>No</v>
      </c>
    </row>
    <row r="2675" spans="1:18" x14ac:dyDescent="0.25">
      <c r="A2675" s="3">
        <v>45525</v>
      </c>
      <c r="B2675" t="s">
        <v>323</v>
      </c>
      <c r="C2675" t="s">
        <v>51</v>
      </c>
      <c r="D2675" t="s">
        <v>20</v>
      </c>
      <c r="E2675" t="s">
        <v>21</v>
      </c>
      <c r="F2675" t="s">
        <v>27</v>
      </c>
      <c r="G2675" t="s">
        <v>780</v>
      </c>
      <c r="H2675" t="s">
        <v>149</v>
      </c>
      <c r="I2675">
        <v>0.11</v>
      </c>
      <c r="J2675">
        <f t="shared" si="123"/>
        <v>70.400000000000006</v>
      </c>
      <c r="K2675">
        <v>2</v>
      </c>
      <c r="L2675">
        <f t="shared" si="124"/>
        <v>68.400000000000006</v>
      </c>
      <c r="M2675" s="4">
        <f t="shared" si="125"/>
        <v>9.7714285714285726E-2</v>
      </c>
      <c r="N2675">
        <v>700</v>
      </c>
      <c r="O2675">
        <v>640</v>
      </c>
      <c r="P2675" t="s">
        <v>25</v>
      </c>
      <c r="Q2675" t="s">
        <v>26</v>
      </c>
      <c r="R2675" t="str">
        <f>IF(COUNTIF(Sheet2!B:B, A2675) &gt; 0, "Yes", "No")</f>
        <v>No</v>
      </c>
    </row>
    <row r="2676" spans="1:18" x14ac:dyDescent="0.25">
      <c r="A2676" s="3">
        <v>45525</v>
      </c>
      <c r="B2676" t="s">
        <v>323</v>
      </c>
      <c r="C2676" t="s">
        <v>51</v>
      </c>
      <c r="D2676" t="s">
        <v>20</v>
      </c>
      <c r="E2676" t="s">
        <v>21</v>
      </c>
      <c r="F2676" t="s">
        <v>30</v>
      </c>
      <c r="G2676" t="s">
        <v>31</v>
      </c>
      <c r="H2676" t="s">
        <v>31</v>
      </c>
      <c r="I2676">
        <v>0.09</v>
      </c>
      <c r="J2676">
        <f t="shared" si="123"/>
        <v>57.599999999999994</v>
      </c>
      <c r="K2676">
        <v>1</v>
      </c>
      <c r="L2676">
        <f t="shared" si="124"/>
        <v>56.599999999999994</v>
      </c>
      <c r="M2676" s="4">
        <f t="shared" si="125"/>
        <v>8.085714285714285E-2</v>
      </c>
      <c r="N2676">
        <v>700</v>
      </c>
      <c r="O2676">
        <v>640</v>
      </c>
      <c r="P2676" t="s">
        <v>25</v>
      </c>
      <c r="Q2676" t="s">
        <v>26</v>
      </c>
      <c r="R2676" t="str">
        <f>IF(COUNTIF(Sheet2!B:B, A2676) &gt; 0, "Yes", "No")</f>
        <v>No</v>
      </c>
    </row>
    <row r="2677" spans="1:18" x14ac:dyDescent="0.25">
      <c r="A2677" s="3">
        <v>45525</v>
      </c>
      <c r="B2677" t="s">
        <v>323</v>
      </c>
      <c r="C2677" t="s">
        <v>51</v>
      </c>
      <c r="D2677" t="s">
        <v>33</v>
      </c>
      <c r="E2677" t="s">
        <v>21</v>
      </c>
      <c r="F2677" t="s">
        <v>34</v>
      </c>
      <c r="G2677" t="s">
        <v>57</v>
      </c>
      <c r="H2677" t="s">
        <v>673</v>
      </c>
      <c r="I2677">
        <v>0.15</v>
      </c>
      <c r="J2677">
        <f t="shared" si="123"/>
        <v>60</v>
      </c>
      <c r="K2677">
        <v>1</v>
      </c>
      <c r="L2677">
        <f t="shared" si="124"/>
        <v>59</v>
      </c>
      <c r="M2677" s="4">
        <f t="shared" si="125"/>
        <v>0.12040816326530612</v>
      </c>
      <c r="N2677">
        <v>490</v>
      </c>
      <c r="O2677">
        <v>400</v>
      </c>
      <c r="P2677" t="s">
        <v>25</v>
      </c>
      <c r="Q2677" t="s">
        <v>26</v>
      </c>
      <c r="R2677" t="str">
        <f>IF(COUNTIF(Sheet2!B:B, A2677) &gt; 0, "Yes", "No")</f>
        <v>No</v>
      </c>
    </row>
    <row r="2678" spans="1:18" x14ac:dyDescent="0.25">
      <c r="A2678" s="3">
        <v>45525</v>
      </c>
      <c r="B2678" t="s">
        <v>323</v>
      </c>
      <c r="C2678" t="s">
        <v>51</v>
      </c>
      <c r="D2678" t="s">
        <v>20</v>
      </c>
      <c r="E2678" t="s">
        <v>21</v>
      </c>
      <c r="F2678" t="s">
        <v>37</v>
      </c>
      <c r="G2678" t="s">
        <v>87</v>
      </c>
      <c r="H2678" t="s">
        <v>99</v>
      </c>
      <c r="I2678">
        <v>0.03</v>
      </c>
      <c r="J2678">
        <f t="shared" si="123"/>
        <v>19.2</v>
      </c>
      <c r="K2678">
        <v>2.5</v>
      </c>
      <c r="L2678">
        <f t="shared" si="124"/>
        <v>16.7</v>
      </c>
      <c r="M2678" s="4">
        <f t="shared" si="125"/>
        <v>2.3857142857142855E-2</v>
      </c>
      <c r="N2678">
        <v>700</v>
      </c>
      <c r="O2678">
        <v>640</v>
      </c>
      <c r="P2678" t="s">
        <v>25</v>
      </c>
      <c r="Q2678" t="s">
        <v>26</v>
      </c>
      <c r="R2678" t="str">
        <f>IF(COUNTIF(Sheet2!B:B, A2678) &gt; 0, "Yes", "No")</f>
        <v>No</v>
      </c>
    </row>
    <row r="2679" spans="1:18" x14ac:dyDescent="0.25">
      <c r="A2679" s="3">
        <v>45525</v>
      </c>
      <c r="B2679" t="s">
        <v>323</v>
      </c>
      <c r="C2679" t="s">
        <v>51</v>
      </c>
      <c r="D2679" t="s">
        <v>20</v>
      </c>
      <c r="E2679" t="s">
        <v>21</v>
      </c>
      <c r="F2679" t="s">
        <v>40</v>
      </c>
      <c r="G2679" t="s">
        <v>164</v>
      </c>
      <c r="H2679" t="s">
        <v>328</v>
      </c>
      <c r="I2679">
        <v>4.4999999999999998E-2</v>
      </c>
      <c r="J2679">
        <f t="shared" si="123"/>
        <v>28.799999999999997</v>
      </c>
      <c r="K2679">
        <v>2.5</v>
      </c>
      <c r="L2679">
        <f t="shared" si="124"/>
        <v>26.299999999999997</v>
      </c>
      <c r="M2679" s="4">
        <f t="shared" si="125"/>
        <v>3.7571428571428568E-2</v>
      </c>
      <c r="N2679">
        <v>700</v>
      </c>
      <c r="O2679">
        <v>640</v>
      </c>
      <c r="P2679" t="s">
        <v>25</v>
      </c>
      <c r="Q2679" t="s">
        <v>26</v>
      </c>
      <c r="R2679" t="str">
        <f>IF(COUNTIF(Sheet2!B:B, A2679) &gt; 0, "Yes", "No")</f>
        <v>No</v>
      </c>
    </row>
    <row r="2680" spans="1:18" x14ac:dyDescent="0.25">
      <c r="A2680" s="3">
        <v>45525</v>
      </c>
      <c r="B2680" t="s">
        <v>323</v>
      </c>
      <c r="C2680" t="s">
        <v>51</v>
      </c>
      <c r="D2680" t="s">
        <v>20</v>
      </c>
      <c r="E2680" t="s">
        <v>21</v>
      </c>
      <c r="F2680" t="s">
        <v>43</v>
      </c>
      <c r="G2680" t="s">
        <v>252</v>
      </c>
      <c r="H2680" t="s">
        <v>253</v>
      </c>
      <c r="I2680">
        <v>0.11</v>
      </c>
      <c r="J2680">
        <f t="shared" si="123"/>
        <v>70.400000000000006</v>
      </c>
      <c r="K2680">
        <v>0.5</v>
      </c>
      <c r="L2680">
        <f t="shared" si="124"/>
        <v>69.900000000000006</v>
      </c>
      <c r="M2680" s="4">
        <f t="shared" si="125"/>
        <v>9.9857142857142867E-2</v>
      </c>
      <c r="N2680">
        <v>700</v>
      </c>
      <c r="O2680">
        <v>640</v>
      </c>
      <c r="P2680" t="s">
        <v>25</v>
      </c>
      <c r="Q2680" t="s">
        <v>26</v>
      </c>
      <c r="R2680" t="str">
        <f>IF(COUNTIF(Sheet2!B:B, A2680) &gt; 0, "Yes", "No")</f>
        <v>No</v>
      </c>
    </row>
    <row r="2681" spans="1:18" x14ac:dyDescent="0.25">
      <c r="A2681" s="3">
        <v>45525</v>
      </c>
      <c r="B2681" t="s">
        <v>323</v>
      </c>
      <c r="C2681" t="s">
        <v>51</v>
      </c>
      <c r="D2681" t="s">
        <v>20</v>
      </c>
      <c r="E2681" t="s">
        <v>21</v>
      </c>
      <c r="F2681" t="s">
        <v>46</v>
      </c>
      <c r="G2681" t="s">
        <v>47</v>
      </c>
      <c r="H2681" t="s">
        <v>278</v>
      </c>
      <c r="I2681">
        <v>8.5000000000000006E-2</v>
      </c>
      <c r="J2681">
        <f t="shared" si="123"/>
        <v>54.400000000000006</v>
      </c>
      <c r="K2681">
        <v>2.5</v>
      </c>
      <c r="L2681">
        <f t="shared" si="124"/>
        <v>51.900000000000006</v>
      </c>
      <c r="M2681" s="4">
        <f t="shared" si="125"/>
        <v>7.4142857142857149E-2</v>
      </c>
      <c r="N2681">
        <v>700</v>
      </c>
      <c r="O2681">
        <v>640</v>
      </c>
      <c r="P2681" t="s">
        <v>25</v>
      </c>
      <c r="Q2681" t="s">
        <v>26</v>
      </c>
      <c r="R2681" t="str">
        <f>IF(COUNTIF(Sheet2!B:B, A2681) &gt; 0, "Yes", "No")</f>
        <v>No</v>
      </c>
    </row>
    <row r="2682" spans="1:18" x14ac:dyDescent="0.25">
      <c r="A2682" s="3">
        <v>45525</v>
      </c>
      <c r="B2682" t="s">
        <v>323</v>
      </c>
      <c r="C2682" t="s">
        <v>51</v>
      </c>
      <c r="D2682" t="s">
        <v>20</v>
      </c>
      <c r="E2682" t="s">
        <v>21</v>
      </c>
      <c r="F2682" t="s">
        <v>49</v>
      </c>
      <c r="G2682" t="s">
        <v>50</v>
      </c>
      <c r="H2682" t="s">
        <v>49</v>
      </c>
      <c r="I2682">
        <v>0.09</v>
      </c>
      <c r="J2682">
        <f t="shared" si="123"/>
        <v>57.599999999999994</v>
      </c>
      <c r="K2682">
        <v>2</v>
      </c>
      <c r="L2682">
        <f t="shared" si="124"/>
        <v>55.599999999999994</v>
      </c>
      <c r="M2682" s="4">
        <f t="shared" si="125"/>
        <v>7.9428571428571418E-2</v>
      </c>
      <c r="N2682">
        <v>700</v>
      </c>
      <c r="O2682">
        <v>640</v>
      </c>
      <c r="P2682" t="s">
        <v>25</v>
      </c>
      <c r="Q2682" t="s">
        <v>26</v>
      </c>
      <c r="R2682" t="str">
        <f>IF(COUNTIF(Sheet2!B:B, A2682) &gt; 0, "Yes", "No")</f>
        <v>No</v>
      </c>
    </row>
    <row r="2683" spans="1:18" x14ac:dyDescent="0.25">
      <c r="A2683" s="3">
        <v>45526</v>
      </c>
      <c r="B2683" t="s">
        <v>323</v>
      </c>
      <c r="C2683" t="s">
        <v>66</v>
      </c>
      <c r="D2683" t="s">
        <v>20</v>
      </c>
      <c r="E2683" t="s">
        <v>67</v>
      </c>
      <c r="F2683" t="s">
        <v>22</v>
      </c>
      <c r="G2683" t="s">
        <v>122</v>
      </c>
      <c r="H2683" t="s">
        <v>521</v>
      </c>
      <c r="I2683">
        <v>8.5000000000000006E-2</v>
      </c>
      <c r="J2683">
        <f t="shared" si="123"/>
        <v>51.000000000000007</v>
      </c>
      <c r="K2683">
        <v>0</v>
      </c>
      <c r="L2683">
        <f t="shared" si="124"/>
        <v>51.000000000000007</v>
      </c>
      <c r="M2683" s="4">
        <f t="shared" si="125"/>
        <v>7.8461538461538471E-2</v>
      </c>
      <c r="N2683">
        <v>650</v>
      </c>
      <c r="O2683">
        <v>600</v>
      </c>
      <c r="P2683" t="s">
        <v>25</v>
      </c>
      <c r="Q2683" t="s">
        <v>26</v>
      </c>
      <c r="R2683" t="str">
        <f>IF(COUNTIF(Sheet2!B:B, A2683) &gt; 0, "Yes", "No")</f>
        <v>No</v>
      </c>
    </row>
    <row r="2684" spans="1:18" x14ac:dyDescent="0.25">
      <c r="A2684" s="3">
        <v>45526</v>
      </c>
      <c r="B2684" t="s">
        <v>323</v>
      </c>
      <c r="C2684" t="s">
        <v>66</v>
      </c>
      <c r="D2684" t="s">
        <v>20</v>
      </c>
      <c r="E2684" t="s">
        <v>67</v>
      </c>
      <c r="F2684" t="s">
        <v>27</v>
      </c>
      <c r="G2684" t="s">
        <v>304</v>
      </c>
      <c r="H2684" t="s">
        <v>419</v>
      </c>
      <c r="I2684">
        <v>0.12</v>
      </c>
      <c r="J2684">
        <f t="shared" si="123"/>
        <v>72</v>
      </c>
      <c r="K2684">
        <v>0</v>
      </c>
      <c r="L2684">
        <f t="shared" si="124"/>
        <v>72</v>
      </c>
      <c r="M2684" s="4">
        <f t="shared" si="125"/>
        <v>0.11076923076923077</v>
      </c>
      <c r="N2684">
        <v>650</v>
      </c>
      <c r="O2684">
        <v>600</v>
      </c>
      <c r="P2684" t="s">
        <v>25</v>
      </c>
      <c r="Q2684" t="s">
        <v>26</v>
      </c>
      <c r="R2684" t="str">
        <f>IF(COUNTIF(Sheet2!B:B, A2684) &gt; 0, "Yes", "No")</f>
        <v>No</v>
      </c>
    </row>
    <row r="2685" spans="1:18" x14ac:dyDescent="0.25">
      <c r="A2685" s="3">
        <v>45526</v>
      </c>
      <c r="B2685" t="s">
        <v>323</v>
      </c>
      <c r="C2685" t="s">
        <v>66</v>
      </c>
      <c r="D2685" t="s">
        <v>20</v>
      </c>
      <c r="E2685" t="s">
        <v>67</v>
      </c>
      <c r="F2685" t="s">
        <v>30</v>
      </c>
      <c r="G2685" t="s">
        <v>55</v>
      </c>
      <c r="H2685" t="s">
        <v>97</v>
      </c>
      <c r="I2685">
        <v>0.09</v>
      </c>
      <c r="J2685">
        <f t="shared" si="123"/>
        <v>54</v>
      </c>
      <c r="K2685">
        <v>2</v>
      </c>
      <c r="L2685">
        <f t="shared" si="124"/>
        <v>52</v>
      </c>
      <c r="M2685" s="4">
        <f t="shared" si="125"/>
        <v>0.08</v>
      </c>
      <c r="N2685">
        <v>650</v>
      </c>
      <c r="O2685">
        <v>600</v>
      </c>
      <c r="P2685" t="s">
        <v>25</v>
      </c>
      <c r="Q2685" t="s">
        <v>26</v>
      </c>
      <c r="R2685" t="str">
        <f>IF(COUNTIF(Sheet2!B:B, A2685) &gt; 0, "Yes", "No")</f>
        <v>No</v>
      </c>
    </row>
    <row r="2686" spans="1:18" x14ac:dyDescent="0.25">
      <c r="A2686" s="3">
        <v>45526</v>
      </c>
      <c r="B2686" t="s">
        <v>323</v>
      </c>
      <c r="C2686" t="s">
        <v>66</v>
      </c>
      <c r="D2686" t="s">
        <v>20</v>
      </c>
      <c r="E2686" t="s">
        <v>67</v>
      </c>
      <c r="F2686" t="s">
        <v>37</v>
      </c>
      <c r="G2686" t="s">
        <v>87</v>
      </c>
      <c r="H2686" t="s">
        <v>136</v>
      </c>
      <c r="I2686">
        <v>3.5000000000000003E-2</v>
      </c>
      <c r="J2686">
        <f t="shared" si="123"/>
        <v>21.000000000000004</v>
      </c>
      <c r="K2686">
        <v>1</v>
      </c>
      <c r="L2686">
        <f t="shared" si="124"/>
        <v>20.000000000000004</v>
      </c>
      <c r="M2686" s="4">
        <f t="shared" si="125"/>
        <v>3.0769230769230774E-2</v>
      </c>
      <c r="N2686">
        <v>650</v>
      </c>
      <c r="O2686">
        <v>600</v>
      </c>
      <c r="P2686" t="s">
        <v>25</v>
      </c>
      <c r="Q2686" t="s">
        <v>26</v>
      </c>
      <c r="R2686" t="str">
        <f>IF(COUNTIF(Sheet2!B:B, A2686) &gt; 0, "Yes", "No")</f>
        <v>No</v>
      </c>
    </row>
    <row r="2687" spans="1:18" x14ac:dyDescent="0.25">
      <c r="A2687" s="3">
        <v>45526</v>
      </c>
      <c r="B2687" t="s">
        <v>323</v>
      </c>
      <c r="C2687" t="s">
        <v>66</v>
      </c>
      <c r="D2687" t="s">
        <v>20</v>
      </c>
      <c r="E2687" t="s">
        <v>67</v>
      </c>
      <c r="F2687" t="s">
        <v>40</v>
      </c>
      <c r="G2687" t="s">
        <v>164</v>
      </c>
      <c r="H2687" t="s">
        <v>202</v>
      </c>
      <c r="I2687">
        <v>0.05</v>
      </c>
      <c r="J2687">
        <f t="shared" si="123"/>
        <v>30</v>
      </c>
      <c r="K2687">
        <v>2</v>
      </c>
      <c r="L2687">
        <f t="shared" si="124"/>
        <v>28</v>
      </c>
      <c r="M2687" s="4">
        <f t="shared" si="125"/>
        <v>4.3076923076923075E-2</v>
      </c>
      <c r="N2687">
        <v>650</v>
      </c>
      <c r="O2687">
        <v>600</v>
      </c>
      <c r="P2687" t="s">
        <v>25</v>
      </c>
      <c r="Q2687" t="s">
        <v>26</v>
      </c>
      <c r="R2687" t="str">
        <f>IF(COUNTIF(Sheet2!B:B, A2687) &gt; 0, "Yes", "No")</f>
        <v>No</v>
      </c>
    </row>
    <row r="2688" spans="1:18" x14ac:dyDescent="0.25">
      <c r="A2688" s="3">
        <v>45526</v>
      </c>
      <c r="B2688" t="s">
        <v>323</v>
      </c>
      <c r="C2688" t="s">
        <v>66</v>
      </c>
      <c r="D2688" t="s">
        <v>20</v>
      </c>
      <c r="E2688" t="s">
        <v>67</v>
      </c>
      <c r="F2688" t="s">
        <v>43</v>
      </c>
      <c r="G2688" t="s">
        <v>111</v>
      </c>
      <c r="H2688" t="s">
        <v>267</v>
      </c>
      <c r="I2688">
        <v>0.11</v>
      </c>
      <c r="J2688">
        <f t="shared" si="123"/>
        <v>66</v>
      </c>
      <c r="K2688">
        <v>0</v>
      </c>
      <c r="L2688">
        <f t="shared" si="124"/>
        <v>66</v>
      </c>
      <c r="M2688" s="4">
        <f t="shared" si="125"/>
        <v>0.10153846153846154</v>
      </c>
      <c r="N2688">
        <v>650</v>
      </c>
      <c r="O2688">
        <v>600</v>
      </c>
      <c r="P2688" t="s">
        <v>25</v>
      </c>
      <c r="Q2688" t="s">
        <v>26</v>
      </c>
      <c r="R2688" t="str">
        <f>IF(COUNTIF(Sheet2!B:B, A2688) &gt; 0, "Yes", "No")</f>
        <v>No</v>
      </c>
    </row>
    <row r="2689" spans="1:18" x14ac:dyDescent="0.25">
      <c r="A2689" s="3">
        <v>45526</v>
      </c>
      <c r="B2689" t="s">
        <v>323</v>
      </c>
      <c r="C2689" t="s">
        <v>66</v>
      </c>
      <c r="D2689" t="s">
        <v>20</v>
      </c>
      <c r="E2689" t="s">
        <v>67</v>
      </c>
      <c r="F2689" t="s">
        <v>46</v>
      </c>
      <c r="G2689" t="s">
        <v>103</v>
      </c>
      <c r="H2689" t="s">
        <v>668</v>
      </c>
      <c r="I2689">
        <v>0.09</v>
      </c>
      <c r="J2689">
        <f t="shared" si="123"/>
        <v>54</v>
      </c>
      <c r="K2689">
        <v>4</v>
      </c>
      <c r="L2689">
        <f t="shared" si="124"/>
        <v>50</v>
      </c>
      <c r="M2689" s="4">
        <f t="shared" si="125"/>
        <v>7.6923076923076927E-2</v>
      </c>
      <c r="N2689">
        <v>650</v>
      </c>
      <c r="O2689">
        <v>600</v>
      </c>
      <c r="P2689" t="s">
        <v>25</v>
      </c>
      <c r="Q2689" t="s">
        <v>26</v>
      </c>
      <c r="R2689" t="str">
        <f>IF(COUNTIF(Sheet2!B:B, A2689) &gt; 0, "Yes", "No")</f>
        <v>No</v>
      </c>
    </row>
    <row r="2690" spans="1:18" x14ac:dyDescent="0.25">
      <c r="A2690" s="3">
        <v>45526</v>
      </c>
      <c r="B2690" t="s">
        <v>323</v>
      </c>
      <c r="C2690" t="s">
        <v>66</v>
      </c>
      <c r="D2690" t="s">
        <v>20</v>
      </c>
      <c r="E2690" t="s">
        <v>67</v>
      </c>
      <c r="F2690" t="s">
        <v>49</v>
      </c>
      <c r="G2690" t="s">
        <v>50</v>
      </c>
      <c r="H2690" t="s">
        <v>49</v>
      </c>
      <c r="I2690">
        <v>0.09</v>
      </c>
      <c r="J2690">
        <f t="shared" si="123"/>
        <v>54</v>
      </c>
      <c r="K2690">
        <v>1</v>
      </c>
      <c r="L2690">
        <f t="shared" si="124"/>
        <v>53</v>
      </c>
      <c r="M2690" s="4">
        <f t="shared" si="125"/>
        <v>8.1538461538461532E-2</v>
      </c>
      <c r="N2690">
        <v>650</v>
      </c>
      <c r="O2690">
        <v>600</v>
      </c>
      <c r="P2690" t="s">
        <v>25</v>
      </c>
      <c r="Q2690" t="s">
        <v>26</v>
      </c>
      <c r="R2690" t="str">
        <f>IF(COUNTIF(Sheet2!B:B, A2690) &gt; 0, "Yes", "No")</f>
        <v>No</v>
      </c>
    </row>
    <row r="2691" spans="1:18" x14ac:dyDescent="0.25">
      <c r="A2691" s="3">
        <v>45527</v>
      </c>
      <c r="B2691" t="s">
        <v>323</v>
      </c>
      <c r="C2691" t="s">
        <v>79</v>
      </c>
      <c r="D2691" t="s">
        <v>20</v>
      </c>
      <c r="E2691" t="s">
        <v>21</v>
      </c>
      <c r="F2691" t="s">
        <v>22</v>
      </c>
      <c r="G2691" t="s">
        <v>122</v>
      </c>
      <c r="H2691" t="s">
        <v>240</v>
      </c>
      <c r="I2691" s="5">
        <v>0.06</v>
      </c>
      <c r="J2691">
        <f t="shared" ref="J2691:J2754" si="126">I2691*O2691</f>
        <v>33</v>
      </c>
      <c r="K2691">
        <v>4</v>
      </c>
      <c r="L2691">
        <f t="shared" ref="L2691:L2754" si="127">J2691-K2691</f>
        <v>29</v>
      </c>
      <c r="M2691" s="4">
        <f t="shared" ref="M2691:M2754" si="128">((I2691*O2691)-K2691)/N2691</f>
        <v>4.8333333333333332E-2</v>
      </c>
      <c r="N2691">
        <v>600</v>
      </c>
      <c r="O2691">
        <v>550</v>
      </c>
      <c r="P2691" t="s">
        <v>25</v>
      </c>
      <c r="Q2691" t="s">
        <v>26</v>
      </c>
      <c r="R2691" t="str">
        <f>IF(COUNTIF(Sheet2!B:B, A2691) &gt; 0, "Yes", "No")</f>
        <v>Yes</v>
      </c>
    </row>
    <row r="2692" spans="1:18" x14ac:dyDescent="0.25">
      <c r="A2692" s="3">
        <v>45527</v>
      </c>
      <c r="B2692" t="s">
        <v>323</v>
      </c>
      <c r="C2692" t="s">
        <v>79</v>
      </c>
      <c r="D2692" t="s">
        <v>20</v>
      </c>
      <c r="E2692" t="s">
        <v>21</v>
      </c>
      <c r="F2692" t="s">
        <v>27</v>
      </c>
      <c r="G2692" t="s">
        <v>81</v>
      </c>
      <c r="H2692" t="s">
        <v>438</v>
      </c>
      <c r="I2692" s="5">
        <v>0.1</v>
      </c>
      <c r="J2692">
        <f t="shared" si="126"/>
        <v>55</v>
      </c>
      <c r="K2692">
        <v>4</v>
      </c>
      <c r="L2692">
        <f t="shared" si="127"/>
        <v>51</v>
      </c>
      <c r="M2692" s="4">
        <f t="shared" si="128"/>
        <v>8.5000000000000006E-2</v>
      </c>
      <c r="N2692">
        <v>600</v>
      </c>
      <c r="O2692">
        <v>550</v>
      </c>
      <c r="P2692" t="s">
        <v>25</v>
      </c>
      <c r="Q2692" t="s">
        <v>26</v>
      </c>
      <c r="R2692" t="str">
        <f>IF(COUNTIF(Sheet2!B:B, A2692) &gt; 0, "Yes", "No")</f>
        <v>Yes</v>
      </c>
    </row>
    <row r="2693" spans="1:18" x14ac:dyDescent="0.25">
      <c r="A2693" s="3">
        <v>45527</v>
      </c>
      <c r="B2693" t="s">
        <v>323</v>
      </c>
      <c r="C2693" t="s">
        <v>79</v>
      </c>
      <c r="D2693" t="s">
        <v>20</v>
      </c>
      <c r="E2693" t="s">
        <v>21</v>
      </c>
      <c r="F2693" t="s">
        <v>30</v>
      </c>
      <c r="G2693" t="s">
        <v>55</v>
      </c>
      <c r="H2693" t="s">
        <v>183</v>
      </c>
      <c r="I2693" s="5">
        <v>0.06</v>
      </c>
      <c r="J2693">
        <f t="shared" si="126"/>
        <v>33</v>
      </c>
      <c r="K2693">
        <v>1</v>
      </c>
      <c r="L2693">
        <f t="shared" si="127"/>
        <v>32</v>
      </c>
      <c r="M2693" s="4">
        <f t="shared" si="128"/>
        <v>5.3333333333333337E-2</v>
      </c>
      <c r="N2693">
        <v>600</v>
      </c>
      <c r="O2693">
        <v>550</v>
      </c>
      <c r="P2693" t="s">
        <v>25</v>
      </c>
      <c r="Q2693" t="s">
        <v>26</v>
      </c>
      <c r="R2693" t="str">
        <f>IF(COUNTIF(Sheet2!B:B, A2693) &gt; 0, "Yes", "No")</f>
        <v>Yes</v>
      </c>
    </row>
    <row r="2694" spans="1:18" x14ac:dyDescent="0.25">
      <c r="A2694" s="3">
        <v>45527</v>
      </c>
      <c r="B2694" t="s">
        <v>323</v>
      </c>
      <c r="C2694" t="s">
        <v>79</v>
      </c>
      <c r="D2694" t="s">
        <v>33</v>
      </c>
      <c r="E2694" t="s">
        <v>21</v>
      </c>
      <c r="F2694" t="s">
        <v>84</v>
      </c>
      <c r="G2694" t="s">
        <v>85</v>
      </c>
      <c r="H2694" t="s">
        <v>163</v>
      </c>
      <c r="I2694" s="5">
        <v>0.3</v>
      </c>
      <c r="J2694">
        <f t="shared" si="126"/>
        <v>132</v>
      </c>
      <c r="K2694">
        <v>3</v>
      </c>
      <c r="L2694">
        <f t="shared" si="127"/>
        <v>129</v>
      </c>
      <c r="M2694" s="4">
        <f t="shared" si="128"/>
        <v>0.26874999999999999</v>
      </c>
      <c r="N2694">
        <v>480</v>
      </c>
      <c r="O2694">
        <v>440</v>
      </c>
      <c r="P2694" t="s">
        <v>25</v>
      </c>
      <c r="Q2694" t="s">
        <v>26</v>
      </c>
      <c r="R2694" t="str">
        <f>IF(COUNTIF(Sheet2!B:B, A2694) &gt; 0, "Yes", "No")</f>
        <v>Yes</v>
      </c>
    </row>
    <row r="2695" spans="1:18" x14ac:dyDescent="0.25">
      <c r="A2695" s="3">
        <v>45527</v>
      </c>
      <c r="B2695" t="s">
        <v>323</v>
      </c>
      <c r="C2695" t="s">
        <v>79</v>
      </c>
      <c r="D2695" t="s">
        <v>20</v>
      </c>
      <c r="E2695" t="s">
        <v>21</v>
      </c>
      <c r="F2695" t="s">
        <v>37</v>
      </c>
      <c r="G2695" t="s">
        <v>87</v>
      </c>
      <c r="H2695" t="s">
        <v>99</v>
      </c>
      <c r="I2695" s="5">
        <v>2.5000000000000001E-2</v>
      </c>
      <c r="J2695">
        <f t="shared" si="126"/>
        <v>13.75</v>
      </c>
      <c r="K2695">
        <v>4</v>
      </c>
      <c r="L2695">
        <f t="shared" si="127"/>
        <v>9.75</v>
      </c>
      <c r="M2695" s="4">
        <f t="shared" si="128"/>
        <v>1.6250000000000001E-2</v>
      </c>
      <c r="N2695">
        <v>600</v>
      </c>
      <c r="O2695">
        <v>550</v>
      </c>
      <c r="P2695" t="s">
        <v>25</v>
      </c>
      <c r="Q2695" t="s">
        <v>26</v>
      </c>
      <c r="R2695" t="str">
        <f>IF(COUNTIF(Sheet2!B:B, A2695) &gt; 0, "Yes", "No")</f>
        <v>Yes</v>
      </c>
    </row>
    <row r="2696" spans="1:18" x14ac:dyDescent="0.25">
      <c r="A2696" s="3">
        <v>45527</v>
      </c>
      <c r="B2696" t="s">
        <v>323</v>
      </c>
      <c r="C2696" t="s">
        <v>79</v>
      </c>
      <c r="D2696" t="s">
        <v>20</v>
      </c>
      <c r="E2696" t="s">
        <v>21</v>
      </c>
      <c r="F2696" t="s">
        <v>40</v>
      </c>
      <c r="G2696" t="s">
        <v>127</v>
      </c>
      <c r="H2696" t="s">
        <v>127</v>
      </c>
      <c r="I2696" s="5">
        <v>0.04</v>
      </c>
      <c r="J2696">
        <f t="shared" si="126"/>
        <v>22</v>
      </c>
      <c r="K2696">
        <v>4</v>
      </c>
      <c r="L2696">
        <f t="shared" si="127"/>
        <v>18</v>
      </c>
      <c r="M2696" s="4">
        <f t="shared" si="128"/>
        <v>0.03</v>
      </c>
      <c r="N2696">
        <v>600</v>
      </c>
      <c r="O2696">
        <v>550</v>
      </c>
      <c r="P2696" t="s">
        <v>25</v>
      </c>
      <c r="Q2696" t="s">
        <v>26</v>
      </c>
      <c r="R2696" t="str">
        <f>IF(COUNTIF(Sheet2!B:B, A2696) &gt; 0, "Yes", "No")</f>
        <v>Yes</v>
      </c>
    </row>
    <row r="2697" spans="1:18" x14ac:dyDescent="0.25">
      <c r="A2697" s="3">
        <v>45527</v>
      </c>
      <c r="B2697" t="s">
        <v>323</v>
      </c>
      <c r="C2697" t="s">
        <v>79</v>
      </c>
      <c r="D2697" t="s">
        <v>20</v>
      </c>
      <c r="E2697" t="s">
        <v>21</v>
      </c>
      <c r="F2697" t="s">
        <v>43</v>
      </c>
      <c r="G2697" t="s">
        <v>90</v>
      </c>
      <c r="H2697" t="s">
        <v>188</v>
      </c>
      <c r="I2697" s="5">
        <v>7.0000000000000007E-2</v>
      </c>
      <c r="J2697">
        <f t="shared" si="126"/>
        <v>38.500000000000007</v>
      </c>
      <c r="K2697">
        <v>4</v>
      </c>
      <c r="L2697">
        <f t="shared" si="127"/>
        <v>34.500000000000007</v>
      </c>
      <c r="M2697" s="4">
        <f t="shared" si="128"/>
        <v>5.7500000000000009E-2</v>
      </c>
      <c r="N2697">
        <v>600</v>
      </c>
      <c r="O2697">
        <v>550</v>
      </c>
      <c r="P2697" t="s">
        <v>25</v>
      </c>
      <c r="Q2697" t="s">
        <v>26</v>
      </c>
      <c r="R2697" t="str">
        <f>IF(COUNTIF(Sheet2!B:B, A2697) &gt; 0, "Yes", "No")</f>
        <v>Yes</v>
      </c>
    </row>
    <row r="2698" spans="1:18" x14ac:dyDescent="0.25">
      <c r="A2698" s="3">
        <v>45527</v>
      </c>
      <c r="B2698" t="s">
        <v>323</v>
      </c>
      <c r="C2698" t="s">
        <v>79</v>
      </c>
      <c r="D2698" t="s">
        <v>20</v>
      </c>
      <c r="E2698" t="s">
        <v>21</v>
      </c>
      <c r="F2698" t="s">
        <v>46</v>
      </c>
      <c r="G2698" t="s">
        <v>77</v>
      </c>
      <c r="H2698" t="s">
        <v>245</v>
      </c>
      <c r="I2698" s="5">
        <v>0.06</v>
      </c>
      <c r="J2698">
        <f t="shared" si="126"/>
        <v>33</v>
      </c>
      <c r="K2698">
        <v>5</v>
      </c>
      <c r="L2698">
        <f t="shared" si="127"/>
        <v>28</v>
      </c>
      <c r="M2698" s="4">
        <f t="shared" si="128"/>
        <v>4.6666666666666669E-2</v>
      </c>
      <c r="N2698">
        <v>600</v>
      </c>
      <c r="O2698">
        <v>550</v>
      </c>
      <c r="P2698" t="s">
        <v>25</v>
      </c>
      <c r="Q2698" t="s">
        <v>26</v>
      </c>
      <c r="R2698" t="str">
        <f>IF(COUNTIF(Sheet2!B:B, A2698) &gt; 0, "Yes", "No")</f>
        <v>Yes</v>
      </c>
    </row>
    <row r="2699" spans="1:18" x14ac:dyDescent="0.25">
      <c r="A2699" s="3">
        <v>45527</v>
      </c>
      <c r="B2699" t="s">
        <v>323</v>
      </c>
      <c r="C2699" t="s">
        <v>79</v>
      </c>
      <c r="D2699" t="s">
        <v>20</v>
      </c>
      <c r="E2699" t="s">
        <v>21</v>
      </c>
      <c r="F2699" t="s">
        <v>49</v>
      </c>
      <c r="G2699" t="s">
        <v>50</v>
      </c>
      <c r="H2699" t="s">
        <v>49</v>
      </c>
      <c r="I2699" s="5">
        <v>0.04</v>
      </c>
      <c r="J2699">
        <f t="shared" si="126"/>
        <v>22</v>
      </c>
      <c r="K2699">
        <v>4</v>
      </c>
      <c r="L2699">
        <f t="shared" si="127"/>
        <v>18</v>
      </c>
      <c r="M2699" s="4">
        <f t="shared" si="128"/>
        <v>0.03</v>
      </c>
      <c r="N2699">
        <v>600</v>
      </c>
      <c r="O2699">
        <v>550</v>
      </c>
      <c r="P2699" t="s">
        <v>25</v>
      </c>
      <c r="Q2699" t="s">
        <v>26</v>
      </c>
      <c r="R2699" t="str">
        <f>IF(COUNTIF(Sheet2!B:B, A2699) &gt; 0, "Yes", "No")</f>
        <v>Yes</v>
      </c>
    </row>
    <row r="2700" spans="1:18" x14ac:dyDescent="0.25">
      <c r="A2700" s="3">
        <v>45530</v>
      </c>
      <c r="B2700" t="s">
        <v>323</v>
      </c>
      <c r="C2700" t="s">
        <v>19</v>
      </c>
      <c r="D2700" t="s">
        <v>20</v>
      </c>
      <c r="E2700" t="s">
        <v>21</v>
      </c>
      <c r="F2700" t="s">
        <v>22</v>
      </c>
      <c r="G2700" t="s">
        <v>94</v>
      </c>
      <c r="H2700" t="s">
        <v>674</v>
      </c>
      <c r="I2700">
        <v>8.5000000000000006E-2</v>
      </c>
      <c r="J2700">
        <f t="shared" si="126"/>
        <v>54.400000000000006</v>
      </c>
      <c r="K2700">
        <v>3</v>
      </c>
      <c r="L2700">
        <f t="shared" si="127"/>
        <v>51.400000000000006</v>
      </c>
      <c r="M2700" s="4">
        <f t="shared" si="128"/>
        <v>7.342857142857144E-2</v>
      </c>
      <c r="N2700">
        <v>700</v>
      </c>
      <c r="O2700">
        <v>640</v>
      </c>
      <c r="P2700" t="s">
        <v>341</v>
      </c>
      <c r="Q2700" t="s">
        <v>320</v>
      </c>
      <c r="R2700" t="str">
        <f>IF(COUNTIF(Sheet2!B:B, A2700) &gt; 0, "Yes", "No")</f>
        <v>No</v>
      </c>
    </row>
    <row r="2701" spans="1:18" x14ac:dyDescent="0.25">
      <c r="A2701" s="3">
        <v>45530</v>
      </c>
      <c r="B2701" t="s">
        <v>323</v>
      </c>
      <c r="C2701" t="s">
        <v>19</v>
      </c>
      <c r="D2701" t="s">
        <v>20</v>
      </c>
      <c r="E2701" t="s">
        <v>21</v>
      </c>
      <c r="F2701" t="s">
        <v>27</v>
      </c>
      <c r="G2701" t="s">
        <v>28</v>
      </c>
      <c r="H2701" t="s">
        <v>313</v>
      </c>
      <c r="I2701">
        <v>0.11</v>
      </c>
      <c r="J2701">
        <f t="shared" si="126"/>
        <v>70.400000000000006</v>
      </c>
      <c r="K2701">
        <v>3</v>
      </c>
      <c r="L2701">
        <f t="shared" si="127"/>
        <v>67.400000000000006</v>
      </c>
      <c r="M2701" s="4">
        <f t="shared" si="128"/>
        <v>9.6285714285714294E-2</v>
      </c>
      <c r="N2701">
        <v>700</v>
      </c>
      <c r="O2701">
        <v>640</v>
      </c>
      <c r="P2701" t="s">
        <v>341</v>
      </c>
      <c r="Q2701" t="s">
        <v>320</v>
      </c>
      <c r="R2701" t="str">
        <f>IF(COUNTIF(Sheet2!B:B, A2701) &gt; 0, "Yes", "No")</f>
        <v>No</v>
      </c>
    </row>
    <row r="2702" spans="1:18" x14ac:dyDescent="0.25">
      <c r="A2702" s="3">
        <v>45530</v>
      </c>
      <c r="B2702" t="s">
        <v>323</v>
      </c>
      <c r="C2702" t="s">
        <v>19</v>
      </c>
      <c r="D2702" t="s">
        <v>20</v>
      </c>
      <c r="E2702" t="s">
        <v>21</v>
      </c>
      <c r="F2702" t="s">
        <v>30</v>
      </c>
      <c r="G2702" t="s">
        <v>55</v>
      </c>
      <c r="H2702" t="s">
        <v>134</v>
      </c>
      <c r="I2702">
        <v>0.09</v>
      </c>
      <c r="J2702">
        <f t="shared" si="126"/>
        <v>57.599999999999994</v>
      </c>
      <c r="K2702">
        <v>2</v>
      </c>
      <c r="L2702">
        <f t="shared" si="127"/>
        <v>55.599999999999994</v>
      </c>
      <c r="M2702" s="4">
        <f t="shared" si="128"/>
        <v>7.9428571428571418E-2</v>
      </c>
      <c r="N2702">
        <v>700</v>
      </c>
      <c r="O2702">
        <v>640</v>
      </c>
      <c r="P2702" t="s">
        <v>341</v>
      </c>
      <c r="Q2702" t="s">
        <v>320</v>
      </c>
      <c r="R2702" t="str">
        <f>IF(COUNTIF(Sheet2!B:B, A2702) &gt; 0, "Yes", "No")</f>
        <v>No</v>
      </c>
    </row>
    <row r="2703" spans="1:18" x14ac:dyDescent="0.25">
      <c r="A2703" s="3">
        <v>45530</v>
      </c>
      <c r="B2703" t="s">
        <v>323</v>
      </c>
      <c r="C2703" t="s">
        <v>19</v>
      </c>
      <c r="D2703" t="s">
        <v>33</v>
      </c>
      <c r="E2703" t="s">
        <v>21</v>
      </c>
      <c r="F2703" t="s">
        <v>34</v>
      </c>
      <c r="G2703" t="s">
        <v>35</v>
      </c>
      <c r="H2703" t="s">
        <v>344</v>
      </c>
      <c r="I2703">
        <v>0.15</v>
      </c>
      <c r="J2703">
        <f t="shared" si="126"/>
        <v>58.5</v>
      </c>
      <c r="K2703">
        <v>7</v>
      </c>
      <c r="L2703">
        <f t="shared" si="127"/>
        <v>51.5</v>
      </c>
      <c r="M2703" s="4">
        <f t="shared" si="128"/>
        <v>0.10510204081632653</v>
      </c>
      <c r="N2703">
        <v>490</v>
      </c>
      <c r="O2703">
        <v>390</v>
      </c>
      <c r="P2703" t="s">
        <v>341</v>
      </c>
      <c r="Q2703" t="s">
        <v>320</v>
      </c>
      <c r="R2703" t="str">
        <f>IF(COUNTIF(Sheet2!B:B, A2703) &gt; 0, "Yes", "No")</f>
        <v>No</v>
      </c>
    </row>
    <row r="2704" spans="1:18" x14ac:dyDescent="0.25">
      <c r="A2704" s="3">
        <v>45530</v>
      </c>
      <c r="B2704" t="s">
        <v>323</v>
      </c>
      <c r="C2704" t="s">
        <v>19</v>
      </c>
      <c r="D2704" t="s">
        <v>20</v>
      </c>
      <c r="E2704" t="s">
        <v>21</v>
      </c>
      <c r="F2704" t="s">
        <v>37</v>
      </c>
      <c r="G2704" t="s">
        <v>71</v>
      </c>
      <c r="H2704" t="s">
        <v>151</v>
      </c>
      <c r="I2704">
        <v>0.03</v>
      </c>
      <c r="J2704">
        <f t="shared" si="126"/>
        <v>19.2</v>
      </c>
      <c r="K2704">
        <v>3</v>
      </c>
      <c r="L2704">
        <f t="shared" si="127"/>
        <v>16.2</v>
      </c>
      <c r="M2704" s="4">
        <f t="shared" si="128"/>
        <v>2.3142857142857142E-2</v>
      </c>
      <c r="N2704">
        <v>700</v>
      </c>
      <c r="O2704">
        <v>640</v>
      </c>
      <c r="P2704" t="s">
        <v>341</v>
      </c>
      <c r="Q2704" t="s">
        <v>320</v>
      </c>
      <c r="R2704" t="str">
        <f>IF(COUNTIF(Sheet2!B:B, A2704) &gt; 0, "Yes", "No")</f>
        <v>No</v>
      </c>
    </row>
    <row r="2705" spans="1:18" x14ac:dyDescent="0.25">
      <c r="A2705" s="3">
        <v>45530</v>
      </c>
      <c r="B2705" t="s">
        <v>323</v>
      </c>
      <c r="C2705" t="s">
        <v>19</v>
      </c>
      <c r="D2705" t="s">
        <v>20</v>
      </c>
      <c r="E2705" t="s">
        <v>21</v>
      </c>
      <c r="F2705" t="s">
        <v>40</v>
      </c>
      <c r="G2705" t="s">
        <v>164</v>
      </c>
      <c r="H2705" t="s">
        <v>202</v>
      </c>
      <c r="I2705">
        <v>4.4999999999999998E-2</v>
      </c>
      <c r="J2705">
        <f t="shared" si="126"/>
        <v>28.799999999999997</v>
      </c>
      <c r="K2705">
        <v>3</v>
      </c>
      <c r="L2705">
        <f t="shared" si="127"/>
        <v>25.799999999999997</v>
      </c>
      <c r="M2705" s="4">
        <f t="shared" si="128"/>
        <v>3.6857142857142852E-2</v>
      </c>
      <c r="N2705">
        <v>700</v>
      </c>
      <c r="O2705">
        <v>640</v>
      </c>
      <c r="P2705" t="s">
        <v>341</v>
      </c>
      <c r="Q2705" t="s">
        <v>320</v>
      </c>
      <c r="R2705" t="str">
        <f>IF(COUNTIF(Sheet2!B:B, A2705) &gt; 0, "Yes", "No")</f>
        <v>No</v>
      </c>
    </row>
    <row r="2706" spans="1:18" x14ac:dyDescent="0.25">
      <c r="A2706" s="3">
        <v>45530</v>
      </c>
      <c r="B2706" t="s">
        <v>323</v>
      </c>
      <c r="C2706" t="s">
        <v>19</v>
      </c>
      <c r="D2706" t="s">
        <v>20</v>
      </c>
      <c r="E2706" t="s">
        <v>21</v>
      </c>
      <c r="F2706" t="s">
        <v>43</v>
      </c>
      <c r="G2706" t="s">
        <v>63</v>
      </c>
      <c r="H2706" t="s">
        <v>675</v>
      </c>
      <c r="I2706">
        <v>0.11</v>
      </c>
      <c r="J2706">
        <f t="shared" si="126"/>
        <v>70.400000000000006</v>
      </c>
      <c r="K2706">
        <v>3</v>
      </c>
      <c r="L2706">
        <f t="shared" si="127"/>
        <v>67.400000000000006</v>
      </c>
      <c r="M2706" s="4">
        <f t="shared" si="128"/>
        <v>9.6285714285714294E-2</v>
      </c>
      <c r="N2706">
        <v>700</v>
      </c>
      <c r="O2706">
        <v>640</v>
      </c>
      <c r="P2706" t="s">
        <v>341</v>
      </c>
      <c r="Q2706" t="s">
        <v>320</v>
      </c>
      <c r="R2706" t="str">
        <f>IF(COUNTIF(Sheet2!B:B, A2706) &gt; 0, "Yes", "No")</f>
        <v>No</v>
      </c>
    </row>
    <row r="2707" spans="1:18" x14ac:dyDescent="0.25">
      <c r="A2707" s="3">
        <v>45530</v>
      </c>
      <c r="B2707" t="s">
        <v>323</v>
      </c>
      <c r="C2707" t="s">
        <v>19</v>
      </c>
      <c r="D2707" t="s">
        <v>20</v>
      </c>
      <c r="E2707" t="s">
        <v>21</v>
      </c>
      <c r="F2707" t="s">
        <v>46</v>
      </c>
      <c r="G2707" t="s">
        <v>92</v>
      </c>
      <c r="H2707" t="s">
        <v>259</v>
      </c>
      <c r="I2707">
        <v>8.5000000000000006E-2</v>
      </c>
      <c r="J2707">
        <f t="shared" si="126"/>
        <v>54.400000000000006</v>
      </c>
      <c r="K2707">
        <v>3</v>
      </c>
      <c r="L2707">
        <f t="shared" si="127"/>
        <v>51.400000000000006</v>
      </c>
      <c r="M2707" s="4">
        <f t="shared" si="128"/>
        <v>7.342857142857144E-2</v>
      </c>
      <c r="N2707">
        <v>700</v>
      </c>
      <c r="O2707">
        <v>640</v>
      </c>
      <c r="P2707" t="s">
        <v>341</v>
      </c>
      <c r="Q2707" t="s">
        <v>320</v>
      </c>
      <c r="R2707" t="str">
        <f>IF(COUNTIF(Sheet2!B:B, A2707) &gt; 0, "Yes", "No")</f>
        <v>No</v>
      </c>
    </row>
    <row r="2708" spans="1:18" x14ac:dyDescent="0.25">
      <c r="A2708" s="3">
        <v>45530</v>
      </c>
      <c r="B2708" t="s">
        <v>323</v>
      </c>
      <c r="C2708" t="s">
        <v>19</v>
      </c>
      <c r="D2708" t="s">
        <v>20</v>
      </c>
      <c r="E2708" t="s">
        <v>21</v>
      </c>
      <c r="F2708" t="s">
        <v>49</v>
      </c>
      <c r="G2708" t="s">
        <v>50</v>
      </c>
      <c r="H2708" t="s">
        <v>49</v>
      </c>
      <c r="I2708">
        <v>0.09</v>
      </c>
      <c r="J2708">
        <f t="shared" si="126"/>
        <v>57.599999999999994</v>
      </c>
      <c r="K2708">
        <v>1</v>
      </c>
      <c r="L2708">
        <f t="shared" si="127"/>
        <v>56.599999999999994</v>
      </c>
      <c r="M2708" s="4">
        <f t="shared" si="128"/>
        <v>8.085714285714285E-2</v>
      </c>
      <c r="N2708">
        <v>700</v>
      </c>
      <c r="O2708">
        <v>640</v>
      </c>
      <c r="P2708" t="s">
        <v>341</v>
      </c>
      <c r="Q2708" t="s">
        <v>320</v>
      </c>
      <c r="R2708" t="str">
        <f>IF(COUNTIF(Sheet2!B:B, A2708) &gt; 0, "Yes", "No")</f>
        <v>No</v>
      </c>
    </row>
    <row r="2709" spans="1:18" x14ac:dyDescent="0.25">
      <c r="A2709" s="3">
        <v>45531</v>
      </c>
      <c r="B2709" t="s">
        <v>323</v>
      </c>
      <c r="C2709" t="s">
        <v>105</v>
      </c>
      <c r="D2709" t="s">
        <v>20</v>
      </c>
      <c r="E2709" t="s">
        <v>67</v>
      </c>
      <c r="F2709" t="s">
        <v>22</v>
      </c>
      <c r="G2709" t="s">
        <v>23</v>
      </c>
      <c r="H2709" t="s">
        <v>24</v>
      </c>
      <c r="I2709">
        <v>8.5000000000000006E-2</v>
      </c>
      <c r="J2709">
        <f t="shared" si="126"/>
        <v>52.7</v>
      </c>
      <c r="K2709">
        <v>2</v>
      </c>
      <c r="L2709">
        <f t="shared" si="127"/>
        <v>50.7</v>
      </c>
      <c r="M2709" s="4">
        <f t="shared" si="128"/>
        <v>7.4558823529411775E-2</v>
      </c>
      <c r="N2709">
        <v>680</v>
      </c>
      <c r="O2709">
        <v>620</v>
      </c>
      <c r="P2709" t="s">
        <v>322</v>
      </c>
      <c r="Q2709" t="s">
        <v>320</v>
      </c>
      <c r="R2709" t="str">
        <f>IF(COUNTIF(Sheet2!B:B, A2709) &gt; 0, "Yes", "No")</f>
        <v>No</v>
      </c>
    </row>
    <row r="2710" spans="1:18" x14ac:dyDescent="0.25">
      <c r="A2710" s="3">
        <v>45531</v>
      </c>
      <c r="B2710" t="s">
        <v>323</v>
      </c>
      <c r="C2710" t="s">
        <v>105</v>
      </c>
      <c r="D2710" t="s">
        <v>20</v>
      </c>
      <c r="E2710" t="s">
        <v>67</v>
      </c>
      <c r="F2710" t="s">
        <v>27</v>
      </c>
      <c r="G2710" t="s">
        <v>304</v>
      </c>
      <c r="H2710" t="s">
        <v>497</v>
      </c>
      <c r="I2710">
        <v>0.12</v>
      </c>
      <c r="J2710">
        <f t="shared" si="126"/>
        <v>74.399999999999991</v>
      </c>
      <c r="K2710">
        <v>0</v>
      </c>
      <c r="L2710">
        <f t="shared" si="127"/>
        <v>74.399999999999991</v>
      </c>
      <c r="M2710" s="4">
        <f t="shared" si="128"/>
        <v>0.10941176470588235</v>
      </c>
      <c r="N2710">
        <v>680</v>
      </c>
      <c r="O2710">
        <v>620</v>
      </c>
      <c r="P2710" t="s">
        <v>322</v>
      </c>
      <c r="Q2710" t="s">
        <v>320</v>
      </c>
      <c r="R2710" t="str">
        <f>IF(COUNTIF(Sheet2!B:B, A2710) &gt; 0, "Yes", "No")</f>
        <v>No</v>
      </c>
    </row>
    <row r="2711" spans="1:18" x14ac:dyDescent="0.25">
      <c r="A2711" s="3">
        <v>45531</v>
      </c>
      <c r="B2711" t="s">
        <v>323</v>
      </c>
      <c r="C2711" t="s">
        <v>105</v>
      </c>
      <c r="D2711" t="s">
        <v>20</v>
      </c>
      <c r="E2711" t="s">
        <v>67</v>
      </c>
      <c r="F2711" t="s">
        <v>30</v>
      </c>
      <c r="G2711" t="s">
        <v>31</v>
      </c>
      <c r="H2711" t="s">
        <v>70</v>
      </c>
      <c r="I2711">
        <v>0.09</v>
      </c>
      <c r="J2711">
        <f t="shared" si="126"/>
        <v>55.8</v>
      </c>
      <c r="K2711">
        <v>2</v>
      </c>
      <c r="L2711">
        <f t="shared" si="127"/>
        <v>53.8</v>
      </c>
      <c r="M2711" s="4">
        <f t="shared" si="128"/>
        <v>7.9117647058823529E-2</v>
      </c>
      <c r="N2711">
        <v>680</v>
      </c>
      <c r="O2711">
        <v>620</v>
      </c>
      <c r="P2711" t="s">
        <v>322</v>
      </c>
      <c r="Q2711" t="s">
        <v>320</v>
      </c>
      <c r="R2711" t="str">
        <f>IF(COUNTIF(Sheet2!B:B, A2711) &gt; 0, "Yes", "No")</f>
        <v>No</v>
      </c>
    </row>
    <row r="2712" spans="1:18" x14ac:dyDescent="0.25">
      <c r="A2712" s="3">
        <v>45531</v>
      </c>
      <c r="B2712" t="s">
        <v>323</v>
      </c>
      <c r="C2712" t="s">
        <v>105</v>
      </c>
      <c r="D2712" t="s">
        <v>20</v>
      </c>
      <c r="E2712" t="s">
        <v>67</v>
      </c>
      <c r="F2712" t="s">
        <v>37</v>
      </c>
      <c r="G2712" t="s">
        <v>117</v>
      </c>
      <c r="H2712" t="s">
        <v>421</v>
      </c>
      <c r="I2712">
        <v>3.5000000000000003E-2</v>
      </c>
      <c r="J2712">
        <f t="shared" si="126"/>
        <v>21.700000000000003</v>
      </c>
      <c r="K2712">
        <v>1</v>
      </c>
      <c r="L2712">
        <f t="shared" si="127"/>
        <v>20.700000000000003</v>
      </c>
      <c r="M2712" s="4">
        <f t="shared" si="128"/>
        <v>3.0441176470588239E-2</v>
      </c>
      <c r="N2712">
        <v>680</v>
      </c>
      <c r="O2712">
        <v>620</v>
      </c>
      <c r="P2712" t="s">
        <v>322</v>
      </c>
      <c r="Q2712" t="s">
        <v>320</v>
      </c>
      <c r="R2712" t="str">
        <f>IF(COUNTIF(Sheet2!B:B, A2712) &gt; 0, "Yes", "No")</f>
        <v>No</v>
      </c>
    </row>
    <row r="2713" spans="1:18" x14ac:dyDescent="0.25">
      <c r="A2713" s="3">
        <v>45531</v>
      </c>
      <c r="B2713" t="s">
        <v>323</v>
      </c>
      <c r="C2713" t="s">
        <v>105</v>
      </c>
      <c r="D2713" t="s">
        <v>20</v>
      </c>
      <c r="E2713" t="s">
        <v>67</v>
      </c>
      <c r="F2713" t="s">
        <v>40</v>
      </c>
      <c r="G2713" t="s">
        <v>61</v>
      </c>
      <c r="H2713" t="s">
        <v>62</v>
      </c>
      <c r="I2713">
        <v>0.05</v>
      </c>
      <c r="J2713">
        <f t="shared" si="126"/>
        <v>31</v>
      </c>
      <c r="K2713">
        <v>0</v>
      </c>
      <c r="L2713">
        <f t="shared" si="127"/>
        <v>31</v>
      </c>
      <c r="M2713" s="4">
        <f t="shared" si="128"/>
        <v>4.5588235294117645E-2</v>
      </c>
      <c r="N2713">
        <v>680</v>
      </c>
      <c r="O2713">
        <v>620</v>
      </c>
      <c r="P2713" t="s">
        <v>322</v>
      </c>
      <c r="Q2713" t="s">
        <v>320</v>
      </c>
      <c r="R2713" t="str">
        <f>IF(COUNTIF(Sheet2!B:B, A2713) &gt; 0, "Yes", "No")</f>
        <v>No</v>
      </c>
    </row>
    <row r="2714" spans="1:18" x14ac:dyDescent="0.25">
      <c r="A2714" s="3">
        <v>45531</v>
      </c>
      <c r="B2714" t="s">
        <v>323</v>
      </c>
      <c r="C2714" t="s">
        <v>105</v>
      </c>
      <c r="D2714" t="s">
        <v>20</v>
      </c>
      <c r="E2714" t="s">
        <v>67</v>
      </c>
      <c r="F2714" t="s">
        <v>43</v>
      </c>
      <c r="G2714" t="s">
        <v>90</v>
      </c>
      <c r="H2714" t="s">
        <v>676</v>
      </c>
      <c r="I2714">
        <v>0.11</v>
      </c>
      <c r="J2714">
        <f t="shared" si="126"/>
        <v>68.2</v>
      </c>
      <c r="K2714">
        <v>4</v>
      </c>
      <c r="L2714">
        <f t="shared" si="127"/>
        <v>64.2</v>
      </c>
      <c r="M2714" s="4">
        <f t="shared" si="128"/>
        <v>9.4411764705882362E-2</v>
      </c>
      <c r="N2714">
        <v>680</v>
      </c>
      <c r="O2714">
        <v>620</v>
      </c>
      <c r="P2714" t="s">
        <v>322</v>
      </c>
      <c r="Q2714" t="s">
        <v>320</v>
      </c>
      <c r="R2714" t="str">
        <f>IF(COUNTIF(Sheet2!B:B, A2714) &gt; 0, "Yes", "No")</f>
        <v>No</v>
      </c>
    </row>
    <row r="2715" spans="1:18" x14ac:dyDescent="0.25">
      <c r="A2715" s="3">
        <v>45531</v>
      </c>
      <c r="B2715" t="s">
        <v>323</v>
      </c>
      <c r="C2715" t="s">
        <v>105</v>
      </c>
      <c r="D2715" t="s">
        <v>20</v>
      </c>
      <c r="E2715" t="s">
        <v>67</v>
      </c>
      <c r="F2715" t="s">
        <v>46</v>
      </c>
      <c r="G2715" t="s">
        <v>103</v>
      </c>
      <c r="H2715" t="s">
        <v>677</v>
      </c>
      <c r="I2715">
        <v>0.09</v>
      </c>
      <c r="J2715">
        <f t="shared" si="126"/>
        <v>55.8</v>
      </c>
      <c r="K2715">
        <v>2</v>
      </c>
      <c r="L2715">
        <f t="shared" si="127"/>
        <v>53.8</v>
      </c>
      <c r="M2715" s="4">
        <f t="shared" si="128"/>
        <v>7.9117647058823529E-2</v>
      </c>
      <c r="N2715">
        <v>680</v>
      </c>
      <c r="O2715">
        <v>620</v>
      </c>
      <c r="P2715" t="s">
        <v>322</v>
      </c>
      <c r="Q2715" t="s">
        <v>320</v>
      </c>
      <c r="R2715" t="str">
        <f>IF(COUNTIF(Sheet2!B:B, A2715) &gt; 0, "Yes", "No")</f>
        <v>No</v>
      </c>
    </row>
    <row r="2716" spans="1:18" x14ac:dyDescent="0.25">
      <c r="A2716" s="3">
        <v>45531</v>
      </c>
      <c r="B2716" t="s">
        <v>323</v>
      </c>
      <c r="C2716" t="s">
        <v>105</v>
      </c>
      <c r="D2716" t="s">
        <v>20</v>
      </c>
      <c r="E2716" t="s">
        <v>67</v>
      </c>
      <c r="F2716" t="s">
        <v>49</v>
      </c>
      <c r="G2716" t="s">
        <v>50</v>
      </c>
      <c r="H2716" t="s">
        <v>49</v>
      </c>
      <c r="I2716">
        <v>0.09</v>
      </c>
      <c r="J2716">
        <f t="shared" si="126"/>
        <v>55.8</v>
      </c>
      <c r="K2716">
        <v>2</v>
      </c>
      <c r="L2716">
        <f t="shared" si="127"/>
        <v>53.8</v>
      </c>
      <c r="M2716" s="4">
        <f t="shared" si="128"/>
        <v>7.9117647058823529E-2</v>
      </c>
      <c r="N2716">
        <v>680</v>
      </c>
      <c r="O2716">
        <v>620</v>
      </c>
      <c r="P2716" t="s">
        <v>322</v>
      </c>
      <c r="Q2716" t="s">
        <v>320</v>
      </c>
      <c r="R2716" t="str">
        <f>IF(COUNTIF(Sheet2!B:B, A2716) &gt; 0, "Yes", "No")</f>
        <v>No</v>
      </c>
    </row>
    <row r="2717" spans="1:18" x14ac:dyDescent="0.25">
      <c r="A2717" s="3">
        <v>45532</v>
      </c>
      <c r="B2717" t="s">
        <v>323</v>
      </c>
      <c r="C2717" t="s">
        <v>51</v>
      </c>
      <c r="D2717" t="s">
        <v>20</v>
      </c>
      <c r="E2717" t="s">
        <v>21</v>
      </c>
      <c r="F2717" t="s">
        <v>22</v>
      </c>
      <c r="G2717" t="s">
        <v>52</v>
      </c>
      <c r="H2717" t="s">
        <v>148</v>
      </c>
      <c r="I2717">
        <v>8.5000000000000006E-2</v>
      </c>
      <c r="J2717">
        <f t="shared" si="126"/>
        <v>54.400000000000006</v>
      </c>
      <c r="K2717">
        <v>1</v>
      </c>
      <c r="L2717">
        <f t="shared" si="127"/>
        <v>53.400000000000006</v>
      </c>
      <c r="M2717" s="4">
        <f t="shared" si="128"/>
        <v>7.628571428571429E-2</v>
      </c>
      <c r="N2717">
        <v>700</v>
      </c>
      <c r="O2717">
        <v>640</v>
      </c>
      <c r="P2717" t="s">
        <v>25</v>
      </c>
      <c r="Q2717" t="s">
        <v>26</v>
      </c>
      <c r="R2717" t="str">
        <f>IF(COUNTIF(Sheet2!B:B, A2717) &gt; 0, "Yes", "No")</f>
        <v>No</v>
      </c>
    </row>
    <row r="2718" spans="1:18" x14ac:dyDescent="0.25">
      <c r="A2718" s="3">
        <v>45532</v>
      </c>
      <c r="B2718" t="s">
        <v>323</v>
      </c>
      <c r="C2718" t="s">
        <v>51</v>
      </c>
      <c r="D2718" t="s">
        <v>20</v>
      </c>
      <c r="E2718" t="s">
        <v>21</v>
      </c>
      <c r="F2718" t="s">
        <v>27</v>
      </c>
      <c r="G2718" t="s">
        <v>28</v>
      </c>
      <c r="H2718" t="s">
        <v>678</v>
      </c>
      <c r="I2718">
        <v>0.11</v>
      </c>
      <c r="J2718">
        <f t="shared" si="126"/>
        <v>70.400000000000006</v>
      </c>
      <c r="K2718">
        <v>2</v>
      </c>
      <c r="L2718">
        <f t="shared" si="127"/>
        <v>68.400000000000006</v>
      </c>
      <c r="M2718" s="4">
        <f t="shared" si="128"/>
        <v>9.7714285714285726E-2</v>
      </c>
      <c r="N2718">
        <v>700</v>
      </c>
      <c r="O2718">
        <v>640</v>
      </c>
      <c r="P2718" t="s">
        <v>25</v>
      </c>
      <c r="Q2718" t="s">
        <v>26</v>
      </c>
      <c r="R2718" t="str">
        <f>IF(COUNTIF(Sheet2!B:B, A2718) &gt; 0, "Yes", "No")</f>
        <v>No</v>
      </c>
    </row>
    <row r="2719" spans="1:18" x14ac:dyDescent="0.25">
      <c r="A2719" s="3">
        <v>45532</v>
      </c>
      <c r="B2719" t="s">
        <v>323</v>
      </c>
      <c r="C2719" t="s">
        <v>51</v>
      </c>
      <c r="D2719" t="s">
        <v>20</v>
      </c>
      <c r="E2719" t="s">
        <v>21</v>
      </c>
      <c r="F2719" t="s">
        <v>30</v>
      </c>
      <c r="G2719" t="s">
        <v>55</v>
      </c>
      <c r="H2719" t="s">
        <v>125</v>
      </c>
      <c r="I2719">
        <v>0.09</v>
      </c>
      <c r="J2719">
        <f t="shared" si="126"/>
        <v>57.599999999999994</v>
      </c>
      <c r="K2719">
        <v>1</v>
      </c>
      <c r="L2719">
        <f t="shared" si="127"/>
        <v>56.599999999999994</v>
      </c>
      <c r="M2719" s="4">
        <f t="shared" si="128"/>
        <v>8.085714285714285E-2</v>
      </c>
      <c r="N2719">
        <v>700</v>
      </c>
      <c r="O2719">
        <v>640</v>
      </c>
      <c r="P2719" t="s">
        <v>25</v>
      </c>
      <c r="Q2719" t="s">
        <v>26</v>
      </c>
      <c r="R2719" t="str">
        <f>IF(COUNTIF(Sheet2!B:B, A2719) &gt; 0, "Yes", "No")</f>
        <v>No</v>
      </c>
    </row>
    <row r="2720" spans="1:18" x14ac:dyDescent="0.25">
      <c r="A2720" s="3">
        <v>45532</v>
      </c>
      <c r="B2720" t="s">
        <v>323</v>
      </c>
      <c r="C2720" t="s">
        <v>51</v>
      </c>
      <c r="D2720" t="s">
        <v>33</v>
      </c>
      <c r="E2720" t="s">
        <v>21</v>
      </c>
      <c r="F2720" t="s">
        <v>34</v>
      </c>
      <c r="G2720" t="s">
        <v>57</v>
      </c>
      <c r="H2720" t="s">
        <v>277</v>
      </c>
      <c r="I2720">
        <v>0.15</v>
      </c>
      <c r="J2720">
        <f t="shared" si="126"/>
        <v>61.5</v>
      </c>
      <c r="K2720">
        <v>1</v>
      </c>
      <c r="L2720">
        <f t="shared" si="127"/>
        <v>60.5</v>
      </c>
      <c r="M2720" s="4">
        <f t="shared" si="128"/>
        <v>0.12346938775510204</v>
      </c>
      <c r="N2720">
        <v>490</v>
      </c>
      <c r="O2720">
        <v>410</v>
      </c>
      <c r="P2720" t="s">
        <v>25</v>
      </c>
      <c r="Q2720" t="s">
        <v>26</v>
      </c>
      <c r="R2720" t="str">
        <f>IF(COUNTIF(Sheet2!B:B, A2720) &gt; 0, "Yes", "No")</f>
        <v>No</v>
      </c>
    </row>
    <row r="2721" spans="1:18" x14ac:dyDescent="0.25">
      <c r="A2721" s="3">
        <v>45532</v>
      </c>
      <c r="B2721" t="s">
        <v>323</v>
      </c>
      <c r="C2721" t="s">
        <v>51</v>
      </c>
      <c r="D2721" t="s">
        <v>20</v>
      </c>
      <c r="E2721" t="s">
        <v>21</v>
      </c>
      <c r="F2721" t="s">
        <v>37</v>
      </c>
      <c r="G2721" t="s">
        <v>87</v>
      </c>
      <c r="H2721" t="s">
        <v>88</v>
      </c>
      <c r="I2721">
        <v>0.03</v>
      </c>
      <c r="J2721">
        <f t="shared" si="126"/>
        <v>19.2</v>
      </c>
      <c r="K2721">
        <v>2</v>
      </c>
      <c r="L2721">
        <f t="shared" si="127"/>
        <v>17.2</v>
      </c>
      <c r="M2721" s="4">
        <f t="shared" si="128"/>
        <v>2.457142857142857E-2</v>
      </c>
      <c r="N2721">
        <v>700</v>
      </c>
      <c r="O2721">
        <v>640</v>
      </c>
      <c r="P2721" t="s">
        <v>25</v>
      </c>
      <c r="Q2721" t="s">
        <v>26</v>
      </c>
      <c r="R2721" t="str">
        <f>IF(COUNTIF(Sheet2!B:B, A2721) &gt; 0, "Yes", "No")</f>
        <v>No</v>
      </c>
    </row>
    <row r="2722" spans="1:18" x14ac:dyDescent="0.25">
      <c r="A2722" s="3">
        <v>45532</v>
      </c>
      <c r="B2722" t="s">
        <v>323</v>
      </c>
      <c r="C2722" t="s">
        <v>51</v>
      </c>
      <c r="D2722" t="s">
        <v>20</v>
      </c>
      <c r="E2722" t="s">
        <v>21</v>
      </c>
      <c r="F2722" t="s">
        <v>40</v>
      </c>
      <c r="G2722" t="s">
        <v>61</v>
      </c>
      <c r="H2722" t="s">
        <v>119</v>
      </c>
      <c r="I2722">
        <v>4.4999999999999998E-2</v>
      </c>
      <c r="J2722">
        <f t="shared" si="126"/>
        <v>28.799999999999997</v>
      </c>
      <c r="K2722">
        <v>3</v>
      </c>
      <c r="L2722">
        <f t="shared" si="127"/>
        <v>25.799999999999997</v>
      </c>
      <c r="M2722" s="4">
        <f t="shared" si="128"/>
        <v>3.6857142857142852E-2</v>
      </c>
      <c r="N2722">
        <v>700</v>
      </c>
      <c r="O2722">
        <v>640</v>
      </c>
      <c r="P2722" t="s">
        <v>25</v>
      </c>
      <c r="Q2722" t="s">
        <v>26</v>
      </c>
      <c r="R2722" t="str">
        <f>IF(COUNTIF(Sheet2!B:B, A2722) &gt; 0, "Yes", "No")</f>
        <v>No</v>
      </c>
    </row>
    <row r="2723" spans="1:18" x14ac:dyDescent="0.25">
      <c r="A2723" s="3">
        <v>45532</v>
      </c>
      <c r="B2723" t="s">
        <v>323</v>
      </c>
      <c r="C2723" t="s">
        <v>51</v>
      </c>
      <c r="D2723" t="s">
        <v>20</v>
      </c>
      <c r="E2723" t="s">
        <v>21</v>
      </c>
      <c r="F2723" t="s">
        <v>43</v>
      </c>
      <c r="G2723" t="s">
        <v>44</v>
      </c>
      <c r="H2723" t="s">
        <v>198</v>
      </c>
      <c r="I2723">
        <v>0.11</v>
      </c>
      <c r="J2723">
        <f t="shared" si="126"/>
        <v>70.400000000000006</v>
      </c>
      <c r="K2723">
        <v>4</v>
      </c>
      <c r="L2723">
        <f t="shared" si="127"/>
        <v>66.400000000000006</v>
      </c>
      <c r="M2723" s="4">
        <f t="shared" si="128"/>
        <v>9.4857142857142862E-2</v>
      </c>
      <c r="N2723">
        <v>700</v>
      </c>
      <c r="O2723">
        <v>640</v>
      </c>
      <c r="P2723" t="s">
        <v>25</v>
      </c>
      <c r="Q2723" t="s">
        <v>26</v>
      </c>
      <c r="R2723" t="str">
        <f>IF(COUNTIF(Sheet2!B:B, A2723) &gt; 0, "Yes", "No")</f>
        <v>No</v>
      </c>
    </row>
    <row r="2724" spans="1:18" x14ac:dyDescent="0.25">
      <c r="A2724" s="3">
        <v>45532</v>
      </c>
      <c r="B2724" t="s">
        <v>323</v>
      </c>
      <c r="C2724" t="s">
        <v>51</v>
      </c>
      <c r="D2724" t="s">
        <v>20</v>
      </c>
      <c r="E2724" t="s">
        <v>21</v>
      </c>
      <c r="F2724" t="s">
        <v>46</v>
      </c>
      <c r="G2724" t="s">
        <v>47</v>
      </c>
      <c r="H2724" t="s">
        <v>480</v>
      </c>
      <c r="I2724">
        <v>8.5000000000000006E-2</v>
      </c>
      <c r="J2724">
        <f t="shared" si="126"/>
        <v>54.400000000000006</v>
      </c>
      <c r="K2724">
        <v>0</v>
      </c>
      <c r="L2724">
        <f t="shared" si="127"/>
        <v>54.400000000000006</v>
      </c>
      <c r="M2724" s="4">
        <f t="shared" si="128"/>
        <v>7.7714285714285722E-2</v>
      </c>
      <c r="N2724">
        <v>700</v>
      </c>
      <c r="O2724">
        <v>640</v>
      </c>
      <c r="P2724" t="s">
        <v>25</v>
      </c>
      <c r="Q2724" t="s">
        <v>26</v>
      </c>
      <c r="R2724" t="str">
        <f>IF(COUNTIF(Sheet2!B:B, A2724) &gt; 0, "Yes", "No")</f>
        <v>No</v>
      </c>
    </row>
    <row r="2725" spans="1:18" x14ac:dyDescent="0.25">
      <c r="A2725" s="3">
        <v>45532</v>
      </c>
      <c r="B2725" t="s">
        <v>323</v>
      </c>
      <c r="C2725" t="s">
        <v>51</v>
      </c>
      <c r="D2725" t="s">
        <v>20</v>
      </c>
      <c r="E2725" t="s">
        <v>21</v>
      </c>
      <c r="F2725" t="s">
        <v>49</v>
      </c>
      <c r="G2725" t="s">
        <v>50</v>
      </c>
      <c r="H2725" t="s">
        <v>49</v>
      </c>
      <c r="I2725">
        <v>0.09</v>
      </c>
      <c r="J2725">
        <f t="shared" si="126"/>
        <v>57.599999999999994</v>
      </c>
      <c r="K2725">
        <v>1</v>
      </c>
      <c r="L2725">
        <f t="shared" si="127"/>
        <v>56.599999999999994</v>
      </c>
      <c r="M2725" s="4">
        <f t="shared" si="128"/>
        <v>8.085714285714285E-2</v>
      </c>
      <c r="N2725">
        <v>700</v>
      </c>
      <c r="O2725">
        <v>640</v>
      </c>
      <c r="P2725" t="s">
        <v>25</v>
      </c>
      <c r="Q2725" t="s">
        <v>26</v>
      </c>
      <c r="R2725" t="str">
        <f>IF(COUNTIF(Sheet2!B:B, A2725) &gt; 0, "Yes", "No")</f>
        <v>No</v>
      </c>
    </row>
    <row r="2726" spans="1:18" x14ac:dyDescent="0.25">
      <c r="A2726" s="3">
        <v>45533</v>
      </c>
      <c r="B2726" t="s">
        <v>323</v>
      </c>
      <c r="C2726" t="s">
        <v>66</v>
      </c>
      <c r="D2726" t="s">
        <v>20</v>
      </c>
      <c r="E2726" t="s">
        <v>67</v>
      </c>
      <c r="F2726" t="s">
        <v>22</v>
      </c>
      <c r="G2726" t="s">
        <v>52</v>
      </c>
      <c r="H2726" t="s">
        <v>148</v>
      </c>
      <c r="I2726">
        <v>8.5000000000000006E-2</v>
      </c>
      <c r="J2726">
        <f t="shared" si="126"/>
        <v>52.7</v>
      </c>
      <c r="K2726">
        <v>1</v>
      </c>
      <c r="L2726">
        <f t="shared" si="127"/>
        <v>51.7</v>
      </c>
      <c r="M2726" s="4">
        <f t="shared" si="128"/>
        <v>7.6029411764705887E-2</v>
      </c>
      <c r="N2726">
        <v>680</v>
      </c>
      <c r="O2726">
        <v>620</v>
      </c>
      <c r="P2726" t="s">
        <v>25</v>
      </c>
      <c r="Q2726" t="s">
        <v>26</v>
      </c>
      <c r="R2726" t="str">
        <f>IF(COUNTIF(Sheet2!B:B, A2726) &gt; 0, "Yes", "No")</f>
        <v>No</v>
      </c>
    </row>
    <row r="2727" spans="1:18" x14ac:dyDescent="0.25">
      <c r="A2727" s="3">
        <v>45533</v>
      </c>
      <c r="B2727" t="s">
        <v>323</v>
      </c>
      <c r="C2727" t="s">
        <v>66</v>
      </c>
      <c r="D2727" t="s">
        <v>20</v>
      </c>
      <c r="E2727" t="s">
        <v>67</v>
      </c>
      <c r="F2727" t="s">
        <v>27</v>
      </c>
      <c r="G2727" t="s">
        <v>28</v>
      </c>
      <c r="H2727" t="s">
        <v>679</v>
      </c>
      <c r="I2727">
        <v>0.11</v>
      </c>
      <c r="J2727">
        <f t="shared" si="126"/>
        <v>68.2</v>
      </c>
      <c r="K2727">
        <v>3</v>
      </c>
      <c r="L2727">
        <f t="shared" si="127"/>
        <v>65.2</v>
      </c>
      <c r="M2727" s="4">
        <f t="shared" si="128"/>
        <v>9.5882352941176474E-2</v>
      </c>
      <c r="N2727">
        <v>680</v>
      </c>
      <c r="O2727">
        <v>620</v>
      </c>
      <c r="P2727" t="s">
        <v>25</v>
      </c>
      <c r="Q2727" t="s">
        <v>26</v>
      </c>
      <c r="R2727" t="str">
        <f>IF(COUNTIF(Sheet2!B:B, A2727) &gt; 0, "Yes", "No")</f>
        <v>No</v>
      </c>
    </row>
    <row r="2728" spans="1:18" x14ac:dyDescent="0.25">
      <c r="A2728" s="3">
        <v>45533</v>
      </c>
      <c r="B2728" t="s">
        <v>323</v>
      </c>
      <c r="C2728" t="s">
        <v>66</v>
      </c>
      <c r="D2728" t="s">
        <v>20</v>
      </c>
      <c r="E2728" t="s">
        <v>67</v>
      </c>
      <c r="F2728" t="s">
        <v>30</v>
      </c>
      <c r="G2728" t="s">
        <v>31</v>
      </c>
      <c r="H2728" t="s">
        <v>172</v>
      </c>
      <c r="I2728">
        <v>0.09</v>
      </c>
      <c r="J2728">
        <f t="shared" si="126"/>
        <v>55.8</v>
      </c>
      <c r="K2728">
        <v>1</v>
      </c>
      <c r="L2728">
        <f t="shared" si="127"/>
        <v>54.8</v>
      </c>
      <c r="M2728" s="4">
        <f t="shared" si="128"/>
        <v>8.0588235294117641E-2</v>
      </c>
      <c r="N2728">
        <v>680</v>
      </c>
      <c r="O2728">
        <v>620</v>
      </c>
      <c r="P2728" t="s">
        <v>25</v>
      </c>
      <c r="Q2728" t="s">
        <v>26</v>
      </c>
      <c r="R2728" t="str">
        <f>IF(COUNTIF(Sheet2!B:B, A2728) &gt; 0, "Yes", "No")</f>
        <v>No</v>
      </c>
    </row>
    <row r="2729" spans="1:18" x14ac:dyDescent="0.25">
      <c r="A2729" s="3">
        <v>45533</v>
      </c>
      <c r="B2729" t="s">
        <v>323</v>
      </c>
      <c r="C2729" t="s">
        <v>66</v>
      </c>
      <c r="D2729" t="s">
        <v>20</v>
      </c>
      <c r="E2729" t="s">
        <v>67</v>
      </c>
      <c r="F2729" t="s">
        <v>37</v>
      </c>
      <c r="G2729" t="s">
        <v>117</v>
      </c>
      <c r="H2729" t="s">
        <v>118</v>
      </c>
      <c r="I2729">
        <v>3.5000000000000003E-2</v>
      </c>
      <c r="J2729">
        <f t="shared" si="126"/>
        <v>21.700000000000003</v>
      </c>
      <c r="K2729">
        <v>2</v>
      </c>
      <c r="L2729">
        <f t="shared" si="127"/>
        <v>19.700000000000003</v>
      </c>
      <c r="M2729" s="4">
        <f t="shared" si="128"/>
        <v>2.8970588235294123E-2</v>
      </c>
      <c r="N2729">
        <v>680</v>
      </c>
      <c r="O2729">
        <v>620</v>
      </c>
      <c r="P2729" t="s">
        <v>25</v>
      </c>
      <c r="Q2729" t="s">
        <v>26</v>
      </c>
      <c r="R2729" t="str">
        <f>IF(COUNTIF(Sheet2!B:B, A2729) &gt; 0, "Yes", "No")</f>
        <v>No</v>
      </c>
    </row>
    <row r="2730" spans="1:18" x14ac:dyDescent="0.25">
      <c r="A2730" s="3">
        <v>45533</v>
      </c>
      <c r="B2730" t="s">
        <v>323</v>
      </c>
      <c r="C2730" t="s">
        <v>66</v>
      </c>
      <c r="D2730" t="s">
        <v>20</v>
      </c>
      <c r="E2730" t="s">
        <v>67</v>
      </c>
      <c r="F2730" t="s">
        <v>40</v>
      </c>
      <c r="G2730" t="s">
        <v>41</v>
      </c>
      <c r="H2730" t="s">
        <v>42</v>
      </c>
      <c r="I2730">
        <v>0.05</v>
      </c>
      <c r="J2730">
        <f t="shared" si="126"/>
        <v>31</v>
      </c>
      <c r="K2730">
        <v>2</v>
      </c>
      <c r="L2730">
        <f t="shared" si="127"/>
        <v>29</v>
      </c>
      <c r="M2730" s="4">
        <f t="shared" si="128"/>
        <v>4.2647058823529413E-2</v>
      </c>
      <c r="N2730">
        <v>680</v>
      </c>
      <c r="O2730">
        <v>620</v>
      </c>
      <c r="P2730" t="s">
        <v>25</v>
      </c>
      <c r="Q2730" t="s">
        <v>26</v>
      </c>
      <c r="R2730" t="str">
        <f>IF(COUNTIF(Sheet2!B:B, A2730) &gt; 0, "Yes", "No")</f>
        <v>No</v>
      </c>
    </row>
    <row r="2731" spans="1:18" x14ac:dyDescent="0.25">
      <c r="A2731" s="3">
        <v>45533</v>
      </c>
      <c r="B2731" t="s">
        <v>323</v>
      </c>
      <c r="C2731" t="s">
        <v>66</v>
      </c>
      <c r="D2731" t="s">
        <v>20</v>
      </c>
      <c r="E2731" t="s">
        <v>67</v>
      </c>
      <c r="F2731" t="s">
        <v>43</v>
      </c>
      <c r="G2731" t="s">
        <v>90</v>
      </c>
      <c r="H2731" t="s">
        <v>239</v>
      </c>
      <c r="I2731">
        <v>0.11</v>
      </c>
      <c r="J2731">
        <f t="shared" si="126"/>
        <v>68.2</v>
      </c>
      <c r="K2731">
        <v>2</v>
      </c>
      <c r="L2731">
        <f t="shared" si="127"/>
        <v>66.2</v>
      </c>
      <c r="M2731" s="4">
        <f t="shared" si="128"/>
        <v>9.7352941176470587E-2</v>
      </c>
      <c r="N2731">
        <v>680</v>
      </c>
      <c r="O2731">
        <v>620</v>
      </c>
      <c r="P2731" t="s">
        <v>25</v>
      </c>
      <c r="Q2731" t="s">
        <v>26</v>
      </c>
      <c r="R2731" t="str">
        <f>IF(COUNTIF(Sheet2!B:B, A2731) &gt; 0, "Yes", "No")</f>
        <v>No</v>
      </c>
    </row>
    <row r="2732" spans="1:18" x14ac:dyDescent="0.25">
      <c r="A2732" s="3">
        <v>45533</v>
      </c>
      <c r="B2732" t="s">
        <v>323</v>
      </c>
      <c r="C2732" t="s">
        <v>66</v>
      </c>
      <c r="D2732" t="s">
        <v>20</v>
      </c>
      <c r="E2732" t="s">
        <v>67</v>
      </c>
      <c r="F2732" t="s">
        <v>46</v>
      </c>
      <c r="G2732" t="s">
        <v>47</v>
      </c>
      <c r="H2732" t="s">
        <v>154</v>
      </c>
      <c r="I2732">
        <v>8.5000000000000006E-2</v>
      </c>
      <c r="J2732">
        <f t="shared" si="126"/>
        <v>52.7</v>
      </c>
      <c r="K2732">
        <v>1</v>
      </c>
      <c r="L2732">
        <f t="shared" si="127"/>
        <v>51.7</v>
      </c>
      <c r="M2732" s="4">
        <f t="shared" si="128"/>
        <v>7.6029411764705887E-2</v>
      </c>
      <c r="N2732">
        <v>680</v>
      </c>
      <c r="O2732">
        <v>620</v>
      </c>
      <c r="P2732" t="s">
        <v>25</v>
      </c>
      <c r="Q2732" t="s">
        <v>26</v>
      </c>
      <c r="R2732" t="str">
        <f>IF(COUNTIF(Sheet2!B:B, A2732) &gt; 0, "Yes", "No")</f>
        <v>No</v>
      </c>
    </row>
    <row r="2733" spans="1:18" x14ac:dyDescent="0.25">
      <c r="A2733" s="3">
        <v>45533</v>
      </c>
      <c r="B2733" t="s">
        <v>323</v>
      </c>
      <c r="C2733" t="s">
        <v>66</v>
      </c>
      <c r="D2733" t="s">
        <v>20</v>
      </c>
      <c r="E2733" t="s">
        <v>67</v>
      </c>
      <c r="F2733" t="s">
        <v>49</v>
      </c>
      <c r="G2733" t="s">
        <v>50</v>
      </c>
      <c r="H2733" t="s">
        <v>49</v>
      </c>
      <c r="I2733">
        <v>0.09</v>
      </c>
      <c r="J2733">
        <f t="shared" si="126"/>
        <v>55.8</v>
      </c>
      <c r="K2733">
        <v>2</v>
      </c>
      <c r="L2733">
        <f t="shared" si="127"/>
        <v>53.8</v>
      </c>
      <c r="M2733" s="4">
        <f t="shared" si="128"/>
        <v>7.9117647058823529E-2</v>
      </c>
      <c r="N2733">
        <v>680</v>
      </c>
      <c r="O2733">
        <v>620</v>
      </c>
      <c r="P2733" t="s">
        <v>25</v>
      </c>
      <c r="Q2733" t="s">
        <v>26</v>
      </c>
      <c r="R2733" t="str">
        <f>IF(COUNTIF(Sheet2!B:B, A2733) &gt; 0, "Yes", "No")</f>
        <v>No</v>
      </c>
    </row>
    <row r="2734" spans="1:18" x14ac:dyDescent="0.25">
      <c r="A2734" s="3">
        <v>45534</v>
      </c>
      <c r="B2734" t="s">
        <v>323</v>
      </c>
      <c r="C2734" t="s">
        <v>79</v>
      </c>
      <c r="D2734" t="s">
        <v>20</v>
      </c>
      <c r="E2734" t="s">
        <v>21</v>
      </c>
      <c r="F2734" t="s">
        <v>22</v>
      </c>
      <c r="G2734" t="s">
        <v>122</v>
      </c>
      <c r="H2734" t="s">
        <v>162</v>
      </c>
      <c r="I2734" s="5">
        <v>0.06</v>
      </c>
      <c r="J2734">
        <f t="shared" si="126"/>
        <v>30</v>
      </c>
      <c r="K2734">
        <v>2</v>
      </c>
      <c r="L2734">
        <f t="shared" si="127"/>
        <v>28</v>
      </c>
      <c r="M2734" s="4">
        <f t="shared" si="128"/>
        <v>5.0909090909090911E-2</v>
      </c>
      <c r="N2734">
        <v>550</v>
      </c>
      <c r="O2734">
        <v>500</v>
      </c>
      <c r="P2734" t="s">
        <v>25</v>
      </c>
      <c r="Q2734" t="s">
        <v>26</v>
      </c>
      <c r="R2734" t="str">
        <f>IF(COUNTIF(Sheet2!B:B, A2734) &gt; 0, "Yes", "No")</f>
        <v>Yes</v>
      </c>
    </row>
    <row r="2735" spans="1:18" x14ac:dyDescent="0.25">
      <c r="A2735" s="3">
        <v>45534</v>
      </c>
      <c r="B2735" t="s">
        <v>323</v>
      </c>
      <c r="C2735" t="s">
        <v>79</v>
      </c>
      <c r="D2735" t="s">
        <v>20</v>
      </c>
      <c r="E2735" t="s">
        <v>21</v>
      </c>
      <c r="F2735" t="s">
        <v>27</v>
      </c>
      <c r="G2735" t="s">
        <v>81</v>
      </c>
      <c r="H2735" t="s">
        <v>643</v>
      </c>
      <c r="I2735" s="5">
        <v>0.1</v>
      </c>
      <c r="J2735">
        <f t="shared" si="126"/>
        <v>50</v>
      </c>
      <c r="K2735">
        <v>2</v>
      </c>
      <c r="L2735">
        <f t="shared" si="127"/>
        <v>48</v>
      </c>
      <c r="M2735" s="4">
        <f t="shared" si="128"/>
        <v>8.727272727272728E-2</v>
      </c>
      <c r="N2735">
        <v>550</v>
      </c>
      <c r="O2735">
        <v>500</v>
      </c>
      <c r="P2735" t="s">
        <v>25</v>
      </c>
      <c r="Q2735" t="s">
        <v>26</v>
      </c>
      <c r="R2735" t="str">
        <f>IF(COUNTIF(Sheet2!B:B, A2735) &gt; 0, "Yes", "No")</f>
        <v>Yes</v>
      </c>
    </row>
    <row r="2736" spans="1:18" x14ac:dyDescent="0.25">
      <c r="A2736" s="3">
        <v>45534</v>
      </c>
      <c r="B2736" t="s">
        <v>323</v>
      </c>
      <c r="C2736" t="s">
        <v>79</v>
      </c>
      <c r="D2736" t="s">
        <v>20</v>
      </c>
      <c r="E2736" t="s">
        <v>21</v>
      </c>
      <c r="F2736" t="s">
        <v>30</v>
      </c>
      <c r="G2736" t="s">
        <v>55</v>
      </c>
      <c r="H2736" t="s">
        <v>56</v>
      </c>
      <c r="I2736" s="5">
        <v>0.06</v>
      </c>
      <c r="J2736">
        <f t="shared" si="126"/>
        <v>30</v>
      </c>
      <c r="K2736">
        <v>1</v>
      </c>
      <c r="L2736">
        <f t="shared" si="127"/>
        <v>29</v>
      </c>
      <c r="M2736" s="4">
        <f t="shared" si="128"/>
        <v>5.2727272727272727E-2</v>
      </c>
      <c r="N2736">
        <v>550</v>
      </c>
      <c r="O2736">
        <v>500</v>
      </c>
      <c r="P2736" t="s">
        <v>25</v>
      </c>
      <c r="Q2736" t="s">
        <v>26</v>
      </c>
      <c r="R2736" t="str">
        <f>IF(COUNTIF(Sheet2!B:B, A2736) &gt; 0, "Yes", "No")</f>
        <v>Yes</v>
      </c>
    </row>
    <row r="2737" spans="1:18" x14ac:dyDescent="0.25">
      <c r="A2737" s="3">
        <v>45534</v>
      </c>
      <c r="B2737" t="s">
        <v>323</v>
      </c>
      <c r="C2737" t="s">
        <v>79</v>
      </c>
      <c r="D2737" t="s">
        <v>33</v>
      </c>
      <c r="E2737" t="s">
        <v>21</v>
      </c>
      <c r="F2737" t="s">
        <v>84</v>
      </c>
      <c r="G2737" t="s">
        <v>85</v>
      </c>
      <c r="H2737" t="s">
        <v>201</v>
      </c>
      <c r="I2737" s="5">
        <v>0.3</v>
      </c>
      <c r="J2737">
        <f t="shared" si="126"/>
        <v>120</v>
      </c>
      <c r="K2737">
        <v>1</v>
      </c>
      <c r="L2737">
        <f t="shared" si="127"/>
        <v>119</v>
      </c>
      <c r="M2737" s="4">
        <f t="shared" si="128"/>
        <v>0.27045454545454545</v>
      </c>
      <c r="N2737">
        <v>440</v>
      </c>
      <c r="O2737">
        <v>400</v>
      </c>
      <c r="P2737" t="s">
        <v>25</v>
      </c>
      <c r="Q2737" t="s">
        <v>26</v>
      </c>
      <c r="R2737" t="str">
        <f>IF(COUNTIF(Sheet2!B:B, A2737) &gt; 0, "Yes", "No")</f>
        <v>Yes</v>
      </c>
    </row>
    <row r="2738" spans="1:18" x14ac:dyDescent="0.25">
      <c r="A2738" s="3">
        <v>45534</v>
      </c>
      <c r="B2738" t="s">
        <v>323</v>
      </c>
      <c r="C2738" t="s">
        <v>79</v>
      </c>
      <c r="D2738" t="s">
        <v>20</v>
      </c>
      <c r="E2738" t="s">
        <v>21</v>
      </c>
      <c r="F2738" t="s">
        <v>37</v>
      </c>
      <c r="G2738" t="s">
        <v>117</v>
      </c>
      <c r="H2738" t="s">
        <v>407</v>
      </c>
      <c r="I2738" s="5">
        <v>2.5000000000000001E-2</v>
      </c>
      <c r="J2738">
        <f t="shared" si="126"/>
        <v>12.5</v>
      </c>
      <c r="K2738">
        <v>1</v>
      </c>
      <c r="L2738">
        <f t="shared" si="127"/>
        <v>11.5</v>
      </c>
      <c r="M2738" s="4">
        <f t="shared" si="128"/>
        <v>2.0909090909090908E-2</v>
      </c>
      <c r="N2738">
        <v>550</v>
      </c>
      <c r="O2738">
        <v>500</v>
      </c>
      <c r="P2738" t="s">
        <v>25</v>
      </c>
      <c r="Q2738" t="s">
        <v>26</v>
      </c>
      <c r="R2738" t="str">
        <f>IF(COUNTIF(Sheet2!B:B, A2738) &gt; 0, "Yes", "No")</f>
        <v>Yes</v>
      </c>
    </row>
    <row r="2739" spans="1:18" x14ac:dyDescent="0.25">
      <c r="A2739" s="3">
        <v>45534</v>
      </c>
      <c r="B2739" t="s">
        <v>323</v>
      </c>
      <c r="C2739" t="s">
        <v>79</v>
      </c>
      <c r="D2739" t="s">
        <v>20</v>
      </c>
      <c r="E2739" t="s">
        <v>21</v>
      </c>
      <c r="F2739" t="s">
        <v>40</v>
      </c>
      <c r="G2739" t="s">
        <v>61</v>
      </c>
      <c r="H2739" t="s">
        <v>62</v>
      </c>
      <c r="I2739" s="5">
        <v>0.04</v>
      </c>
      <c r="J2739">
        <f t="shared" si="126"/>
        <v>20</v>
      </c>
      <c r="K2739">
        <v>2</v>
      </c>
      <c r="L2739">
        <f t="shared" si="127"/>
        <v>18</v>
      </c>
      <c r="M2739" s="4">
        <f t="shared" si="128"/>
        <v>3.272727272727273E-2</v>
      </c>
      <c r="N2739">
        <v>550</v>
      </c>
      <c r="O2739">
        <v>500</v>
      </c>
      <c r="P2739" t="s">
        <v>25</v>
      </c>
      <c r="Q2739" t="s">
        <v>26</v>
      </c>
      <c r="R2739" t="str">
        <f>IF(COUNTIF(Sheet2!B:B, A2739) &gt; 0, "Yes", "No")</f>
        <v>Yes</v>
      </c>
    </row>
    <row r="2740" spans="1:18" x14ac:dyDescent="0.25">
      <c r="A2740" s="3">
        <v>45534</v>
      </c>
      <c r="B2740" t="s">
        <v>323</v>
      </c>
      <c r="C2740" t="s">
        <v>79</v>
      </c>
      <c r="D2740" t="s">
        <v>20</v>
      </c>
      <c r="E2740" t="s">
        <v>21</v>
      </c>
      <c r="F2740" t="s">
        <v>43</v>
      </c>
      <c r="G2740" t="s">
        <v>139</v>
      </c>
      <c r="H2740" t="s">
        <v>680</v>
      </c>
      <c r="I2740" s="5">
        <v>7.0000000000000007E-2</v>
      </c>
      <c r="J2740">
        <f t="shared" si="126"/>
        <v>35</v>
      </c>
      <c r="K2740">
        <v>1</v>
      </c>
      <c r="L2740">
        <f t="shared" si="127"/>
        <v>34</v>
      </c>
      <c r="M2740" s="4">
        <f t="shared" si="128"/>
        <v>6.1818181818181821E-2</v>
      </c>
      <c r="N2740">
        <v>550</v>
      </c>
      <c r="O2740">
        <v>500</v>
      </c>
      <c r="P2740" t="s">
        <v>25</v>
      </c>
      <c r="Q2740" t="s">
        <v>26</v>
      </c>
      <c r="R2740" t="str">
        <f>IF(COUNTIF(Sheet2!B:B, A2740) &gt; 0, "Yes", "No")</f>
        <v>Yes</v>
      </c>
    </row>
    <row r="2741" spans="1:18" x14ac:dyDescent="0.25">
      <c r="A2741" s="3">
        <v>45534</v>
      </c>
      <c r="B2741" t="s">
        <v>323</v>
      </c>
      <c r="C2741" t="s">
        <v>79</v>
      </c>
      <c r="D2741" t="s">
        <v>20</v>
      </c>
      <c r="E2741" t="s">
        <v>21</v>
      </c>
      <c r="F2741" t="s">
        <v>46</v>
      </c>
      <c r="G2741" t="s">
        <v>130</v>
      </c>
      <c r="H2741" t="s">
        <v>681</v>
      </c>
      <c r="I2741" s="5">
        <v>0.06</v>
      </c>
      <c r="J2741">
        <f t="shared" si="126"/>
        <v>30</v>
      </c>
      <c r="K2741">
        <v>2.5</v>
      </c>
      <c r="L2741">
        <f t="shared" si="127"/>
        <v>27.5</v>
      </c>
      <c r="M2741" s="4">
        <f t="shared" si="128"/>
        <v>0.05</v>
      </c>
      <c r="N2741">
        <v>550</v>
      </c>
      <c r="O2741">
        <v>500</v>
      </c>
      <c r="P2741" t="s">
        <v>25</v>
      </c>
      <c r="Q2741" t="s">
        <v>26</v>
      </c>
      <c r="R2741" t="str">
        <f>IF(COUNTIF(Sheet2!B:B, A2741) &gt; 0, "Yes", "No")</f>
        <v>Yes</v>
      </c>
    </row>
    <row r="2742" spans="1:18" x14ac:dyDescent="0.25">
      <c r="A2742" s="3">
        <v>45534</v>
      </c>
      <c r="B2742" t="s">
        <v>323</v>
      </c>
      <c r="C2742" t="s">
        <v>79</v>
      </c>
      <c r="D2742" t="s">
        <v>20</v>
      </c>
      <c r="E2742" t="s">
        <v>21</v>
      </c>
      <c r="F2742" t="s">
        <v>49</v>
      </c>
      <c r="G2742" t="s">
        <v>50</v>
      </c>
      <c r="H2742" t="s">
        <v>49</v>
      </c>
      <c r="I2742" s="5">
        <v>0.04</v>
      </c>
      <c r="J2742">
        <f t="shared" si="126"/>
        <v>20</v>
      </c>
      <c r="K2742">
        <v>2</v>
      </c>
      <c r="L2742">
        <f t="shared" si="127"/>
        <v>18</v>
      </c>
      <c r="M2742" s="4">
        <f t="shared" si="128"/>
        <v>3.272727272727273E-2</v>
      </c>
      <c r="N2742">
        <v>550</v>
      </c>
      <c r="O2742">
        <v>500</v>
      </c>
      <c r="P2742" t="s">
        <v>25</v>
      </c>
      <c r="Q2742" t="s">
        <v>26</v>
      </c>
      <c r="R2742" t="str">
        <f>IF(COUNTIF(Sheet2!B:B, A2742) &gt; 0, "Yes", "No")</f>
        <v>Yes</v>
      </c>
    </row>
    <row r="2743" spans="1:18" x14ac:dyDescent="0.25">
      <c r="A2743" s="3">
        <v>45537</v>
      </c>
      <c r="B2743" t="s">
        <v>342</v>
      </c>
      <c r="C2743" t="s">
        <v>19</v>
      </c>
      <c r="D2743" t="s">
        <v>20</v>
      </c>
      <c r="E2743" t="s">
        <v>21</v>
      </c>
      <c r="F2743" t="s">
        <v>22</v>
      </c>
      <c r="G2743" t="s">
        <v>94</v>
      </c>
      <c r="H2743" t="s">
        <v>143</v>
      </c>
      <c r="I2743">
        <v>8.5000000000000006E-2</v>
      </c>
      <c r="J2743">
        <f t="shared" si="126"/>
        <v>51.000000000000007</v>
      </c>
      <c r="K2743">
        <v>0</v>
      </c>
      <c r="L2743">
        <f t="shared" si="127"/>
        <v>51.000000000000007</v>
      </c>
      <c r="M2743" s="4">
        <f t="shared" si="128"/>
        <v>7.8461538461538471E-2</v>
      </c>
      <c r="N2743">
        <v>650</v>
      </c>
      <c r="O2743">
        <v>600</v>
      </c>
      <c r="P2743" t="s">
        <v>25</v>
      </c>
      <c r="Q2743" t="s">
        <v>26</v>
      </c>
      <c r="R2743" t="str">
        <f>IF(COUNTIF(Sheet2!B:B, A2743) &gt; 0, "Yes", "No")</f>
        <v>No</v>
      </c>
    </row>
    <row r="2744" spans="1:18" x14ac:dyDescent="0.25">
      <c r="A2744" s="3">
        <v>45537</v>
      </c>
      <c r="B2744" t="s">
        <v>342</v>
      </c>
      <c r="C2744" t="s">
        <v>19</v>
      </c>
      <c r="D2744" t="s">
        <v>20</v>
      </c>
      <c r="E2744" t="s">
        <v>21</v>
      </c>
      <c r="F2744" t="s">
        <v>27</v>
      </c>
      <c r="G2744" t="s">
        <v>780</v>
      </c>
      <c r="H2744" t="s">
        <v>149</v>
      </c>
      <c r="I2744">
        <v>0.11</v>
      </c>
      <c r="J2744">
        <f t="shared" si="126"/>
        <v>66</v>
      </c>
      <c r="K2744">
        <v>0</v>
      </c>
      <c r="L2744">
        <f t="shared" si="127"/>
        <v>66</v>
      </c>
      <c r="M2744" s="4">
        <f t="shared" si="128"/>
        <v>0.10153846153846154</v>
      </c>
      <c r="N2744">
        <v>650</v>
      </c>
      <c r="O2744">
        <v>600</v>
      </c>
      <c r="P2744" t="s">
        <v>25</v>
      </c>
      <c r="Q2744" t="s">
        <v>26</v>
      </c>
      <c r="R2744" t="str">
        <f>IF(COUNTIF(Sheet2!B:B, A2744) &gt; 0, "Yes", "No")</f>
        <v>No</v>
      </c>
    </row>
    <row r="2745" spans="1:18" x14ac:dyDescent="0.25">
      <c r="A2745" s="3">
        <v>45537</v>
      </c>
      <c r="B2745" t="s">
        <v>342</v>
      </c>
      <c r="C2745" t="s">
        <v>19</v>
      </c>
      <c r="D2745" t="s">
        <v>20</v>
      </c>
      <c r="E2745" t="s">
        <v>21</v>
      </c>
      <c r="F2745" t="s">
        <v>30</v>
      </c>
      <c r="G2745" t="s">
        <v>31</v>
      </c>
      <c r="H2745" t="s">
        <v>31</v>
      </c>
      <c r="I2745">
        <v>0.09</v>
      </c>
      <c r="J2745">
        <f t="shared" si="126"/>
        <v>54</v>
      </c>
      <c r="K2745">
        <v>0</v>
      </c>
      <c r="L2745">
        <f t="shared" si="127"/>
        <v>54</v>
      </c>
      <c r="M2745" s="4">
        <f t="shared" si="128"/>
        <v>8.3076923076923076E-2</v>
      </c>
      <c r="N2745">
        <v>650</v>
      </c>
      <c r="O2745">
        <v>600</v>
      </c>
      <c r="P2745" t="s">
        <v>25</v>
      </c>
      <c r="Q2745" t="s">
        <v>26</v>
      </c>
      <c r="R2745" t="str">
        <f>IF(COUNTIF(Sheet2!B:B, A2745) &gt; 0, "Yes", "No")</f>
        <v>No</v>
      </c>
    </row>
    <row r="2746" spans="1:18" x14ac:dyDescent="0.25">
      <c r="A2746" s="3">
        <v>45537</v>
      </c>
      <c r="B2746" t="s">
        <v>342</v>
      </c>
      <c r="C2746" t="s">
        <v>19</v>
      </c>
      <c r="D2746" t="s">
        <v>33</v>
      </c>
      <c r="E2746" t="s">
        <v>21</v>
      </c>
      <c r="F2746" t="s">
        <v>34</v>
      </c>
      <c r="G2746" t="s">
        <v>57</v>
      </c>
      <c r="H2746" t="s">
        <v>271</v>
      </c>
      <c r="I2746">
        <v>0.15</v>
      </c>
      <c r="J2746">
        <f t="shared" si="126"/>
        <v>57</v>
      </c>
      <c r="K2746">
        <v>2</v>
      </c>
      <c r="L2746">
        <f t="shared" si="127"/>
        <v>55</v>
      </c>
      <c r="M2746" s="4">
        <f t="shared" si="128"/>
        <v>0.12087912087912088</v>
      </c>
      <c r="N2746">
        <v>455</v>
      </c>
      <c r="O2746">
        <v>380</v>
      </c>
      <c r="P2746" t="s">
        <v>25</v>
      </c>
      <c r="Q2746" t="s">
        <v>26</v>
      </c>
      <c r="R2746" t="str">
        <f>IF(COUNTIF(Sheet2!B:B, A2746) &gt; 0, "Yes", "No")</f>
        <v>No</v>
      </c>
    </row>
    <row r="2747" spans="1:18" x14ac:dyDescent="0.25">
      <c r="A2747" s="3">
        <v>45537</v>
      </c>
      <c r="B2747" t="s">
        <v>342</v>
      </c>
      <c r="C2747" t="s">
        <v>19</v>
      </c>
      <c r="D2747" t="s">
        <v>20</v>
      </c>
      <c r="E2747" t="s">
        <v>21</v>
      </c>
      <c r="F2747" t="s">
        <v>37</v>
      </c>
      <c r="G2747" t="s">
        <v>59</v>
      </c>
      <c r="H2747" t="s">
        <v>60</v>
      </c>
      <c r="I2747">
        <v>0.03</v>
      </c>
      <c r="J2747">
        <f t="shared" si="126"/>
        <v>18</v>
      </c>
      <c r="K2747">
        <v>2</v>
      </c>
      <c r="L2747">
        <f t="shared" si="127"/>
        <v>16</v>
      </c>
      <c r="M2747" s="4">
        <f t="shared" si="128"/>
        <v>2.4615384615384615E-2</v>
      </c>
      <c r="N2747">
        <v>650</v>
      </c>
      <c r="O2747">
        <v>600</v>
      </c>
      <c r="P2747" t="s">
        <v>25</v>
      </c>
      <c r="Q2747" t="s">
        <v>26</v>
      </c>
      <c r="R2747" t="str">
        <f>IF(COUNTIF(Sheet2!B:B, A2747) &gt; 0, "Yes", "No")</f>
        <v>No</v>
      </c>
    </row>
    <row r="2748" spans="1:18" x14ac:dyDescent="0.25">
      <c r="A2748" s="3">
        <v>45537</v>
      </c>
      <c r="B2748" t="s">
        <v>342</v>
      </c>
      <c r="C2748" t="s">
        <v>19</v>
      </c>
      <c r="D2748" t="s">
        <v>20</v>
      </c>
      <c r="E2748" t="s">
        <v>21</v>
      </c>
      <c r="F2748" t="s">
        <v>40</v>
      </c>
      <c r="G2748" t="s">
        <v>61</v>
      </c>
      <c r="H2748" t="s">
        <v>62</v>
      </c>
      <c r="I2748">
        <v>4.4999999999999998E-2</v>
      </c>
      <c r="J2748">
        <f t="shared" si="126"/>
        <v>27</v>
      </c>
      <c r="K2748">
        <v>2</v>
      </c>
      <c r="L2748">
        <f t="shared" si="127"/>
        <v>25</v>
      </c>
      <c r="M2748" s="4">
        <f t="shared" si="128"/>
        <v>3.8461538461538464E-2</v>
      </c>
      <c r="N2748">
        <v>650</v>
      </c>
      <c r="O2748">
        <v>600</v>
      </c>
      <c r="P2748" t="s">
        <v>25</v>
      </c>
      <c r="Q2748" t="s">
        <v>26</v>
      </c>
      <c r="R2748" t="str">
        <f>IF(COUNTIF(Sheet2!B:B, A2748) &gt; 0, "Yes", "No")</f>
        <v>No</v>
      </c>
    </row>
    <row r="2749" spans="1:18" x14ac:dyDescent="0.25">
      <c r="A2749" s="3">
        <v>45537</v>
      </c>
      <c r="B2749" t="s">
        <v>342</v>
      </c>
      <c r="C2749" t="s">
        <v>19</v>
      </c>
      <c r="D2749" t="s">
        <v>20</v>
      </c>
      <c r="E2749" t="s">
        <v>21</v>
      </c>
      <c r="F2749" t="s">
        <v>43</v>
      </c>
      <c r="G2749" t="s">
        <v>44</v>
      </c>
      <c r="H2749" t="s">
        <v>682</v>
      </c>
      <c r="I2749">
        <v>0.11</v>
      </c>
      <c r="J2749">
        <f t="shared" si="126"/>
        <v>66</v>
      </c>
      <c r="K2749">
        <v>2</v>
      </c>
      <c r="L2749">
        <f t="shared" si="127"/>
        <v>64</v>
      </c>
      <c r="M2749" s="4">
        <f t="shared" si="128"/>
        <v>9.8461538461538461E-2</v>
      </c>
      <c r="N2749">
        <v>650</v>
      </c>
      <c r="O2749">
        <v>600</v>
      </c>
      <c r="P2749" t="s">
        <v>25</v>
      </c>
      <c r="Q2749" t="s">
        <v>26</v>
      </c>
      <c r="R2749" t="str">
        <f>IF(COUNTIF(Sheet2!B:B, A2749) &gt; 0, "Yes", "No")</f>
        <v>No</v>
      </c>
    </row>
    <row r="2750" spans="1:18" x14ac:dyDescent="0.25">
      <c r="A2750" s="3">
        <v>45537</v>
      </c>
      <c r="B2750" t="s">
        <v>342</v>
      </c>
      <c r="C2750" t="s">
        <v>19</v>
      </c>
      <c r="D2750" t="s">
        <v>20</v>
      </c>
      <c r="E2750" t="s">
        <v>21</v>
      </c>
      <c r="F2750" t="s">
        <v>46</v>
      </c>
      <c r="G2750" t="s">
        <v>77</v>
      </c>
      <c r="H2750" t="s">
        <v>245</v>
      </c>
      <c r="I2750">
        <v>8.5000000000000006E-2</v>
      </c>
      <c r="J2750">
        <f t="shared" si="126"/>
        <v>51.000000000000007</v>
      </c>
      <c r="K2750">
        <v>2</v>
      </c>
      <c r="L2750">
        <f t="shared" si="127"/>
        <v>49.000000000000007</v>
      </c>
      <c r="M2750" s="4">
        <f t="shared" si="128"/>
        <v>7.5384615384615397E-2</v>
      </c>
      <c r="N2750">
        <v>650</v>
      </c>
      <c r="O2750">
        <v>600</v>
      </c>
      <c r="P2750" t="s">
        <v>25</v>
      </c>
      <c r="Q2750" t="s">
        <v>26</v>
      </c>
      <c r="R2750" t="str">
        <f>IF(COUNTIF(Sheet2!B:B, A2750) &gt; 0, "Yes", "No")</f>
        <v>No</v>
      </c>
    </row>
    <row r="2751" spans="1:18" x14ac:dyDescent="0.25">
      <c r="A2751" s="3">
        <v>45537</v>
      </c>
      <c r="B2751" t="s">
        <v>342</v>
      </c>
      <c r="C2751" t="s">
        <v>19</v>
      </c>
      <c r="D2751" t="s">
        <v>20</v>
      </c>
      <c r="E2751" t="s">
        <v>21</v>
      </c>
      <c r="F2751" t="s">
        <v>49</v>
      </c>
      <c r="G2751" t="s">
        <v>50</v>
      </c>
      <c r="H2751" t="s">
        <v>49</v>
      </c>
      <c r="I2751">
        <v>0.09</v>
      </c>
      <c r="J2751">
        <f t="shared" si="126"/>
        <v>54</v>
      </c>
      <c r="K2751">
        <v>1</v>
      </c>
      <c r="L2751">
        <f t="shared" si="127"/>
        <v>53</v>
      </c>
      <c r="M2751" s="4">
        <f t="shared" si="128"/>
        <v>8.1538461538461532E-2</v>
      </c>
      <c r="N2751">
        <v>650</v>
      </c>
      <c r="O2751">
        <v>600</v>
      </c>
      <c r="P2751" t="s">
        <v>25</v>
      </c>
      <c r="Q2751" t="s">
        <v>26</v>
      </c>
      <c r="R2751" t="str">
        <f>IF(COUNTIF(Sheet2!B:B, A2751) &gt; 0, "Yes", "No")</f>
        <v>No</v>
      </c>
    </row>
    <row r="2752" spans="1:18" x14ac:dyDescent="0.25">
      <c r="A2752" s="3">
        <v>45538</v>
      </c>
      <c r="B2752" t="s">
        <v>342</v>
      </c>
      <c r="C2752" t="s">
        <v>105</v>
      </c>
      <c r="D2752" t="s">
        <v>20</v>
      </c>
      <c r="E2752" t="s">
        <v>67</v>
      </c>
      <c r="F2752" t="s">
        <v>22</v>
      </c>
      <c r="G2752" t="s">
        <v>23</v>
      </c>
      <c r="H2752" t="s">
        <v>106</v>
      </c>
      <c r="I2752">
        <v>8.5000000000000006E-2</v>
      </c>
      <c r="J2752">
        <f t="shared" si="126"/>
        <v>51.85</v>
      </c>
      <c r="K2752">
        <v>0</v>
      </c>
      <c r="L2752">
        <f t="shared" si="127"/>
        <v>51.85</v>
      </c>
      <c r="M2752" s="4">
        <f t="shared" si="128"/>
        <v>7.6249999999999998E-2</v>
      </c>
      <c r="N2752">
        <v>680</v>
      </c>
      <c r="O2752">
        <v>610</v>
      </c>
      <c r="P2752" t="s">
        <v>25</v>
      </c>
      <c r="Q2752" t="s">
        <v>26</v>
      </c>
      <c r="R2752" t="str">
        <f>IF(COUNTIF(Sheet2!B:B, A2752) &gt; 0, "Yes", "No")</f>
        <v>No</v>
      </c>
    </row>
    <row r="2753" spans="1:18" x14ac:dyDescent="0.25">
      <c r="A2753" s="3">
        <v>45538</v>
      </c>
      <c r="B2753" t="s">
        <v>342</v>
      </c>
      <c r="C2753" t="s">
        <v>105</v>
      </c>
      <c r="D2753" t="s">
        <v>20</v>
      </c>
      <c r="E2753" t="s">
        <v>67</v>
      </c>
      <c r="F2753" t="s">
        <v>27</v>
      </c>
      <c r="G2753" t="s">
        <v>28</v>
      </c>
      <c r="H2753" t="s">
        <v>683</v>
      </c>
      <c r="I2753">
        <v>0.11</v>
      </c>
      <c r="J2753">
        <f t="shared" si="126"/>
        <v>67.099999999999994</v>
      </c>
      <c r="K2753">
        <v>3</v>
      </c>
      <c r="L2753">
        <f t="shared" si="127"/>
        <v>64.099999999999994</v>
      </c>
      <c r="M2753" s="4">
        <f t="shared" si="128"/>
        <v>9.4264705882352931E-2</v>
      </c>
      <c r="N2753">
        <v>680</v>
      </c>
      <c r="O2753">
        <v>610</v>
      </c>
      <c r="P2753" t="s">
        <v>25</v>
      </c>
      <c r="Q2753" t="s">
        <v>26</v>
      </c>
      <c r="R2753" t="str">
        <f>IF(COUNTIF(Sheet2!B:B, A2753) &gt; 0, "Yes", "No")</f>
        <v>No</v>
      </c>
    </row>
    <row r="2754" spans="1:18" x14ac:dyDescent="0.25">
      <c r="A2754" s="3">
        <v>45538</v>
      </c>
      <c r="B2754" t="s">
        <v>342</v>
      </c>
      <c r="C2754" t="s">
        <v>105</v>
      </c>
      <c r="D2754" t="s">
        <v>20</v>
      </c>
      <c r="E2754" t="s">
        <v>67</v>
      </c>
      <c r="F2754" t="s">
        <v>30</v>
      </c>
      <c r="G2754" t="s">
        <v>55</v>
      </c>
      <c r="H2754" t="s">
        <v>183</v>
      </c>
      <c r="I2754">
        <v>0.09</v>
      </c>
      <c r="J2754">
        <f t="shared" si="126"/>
        <v>54.9</v>
      </c>
      <c r="K2754">
        <v>1</v>
      </c>
      <c r="L2754">
        <f t="shared" si="127"/>
        <v>53.9</v>
      </c>
      <c r="M2754" s="4">
        <f t="shared" si="128"/>
        <v>7.9264705882352945E-2</v>
      </c>
      <c r="N2754">
        <v>680</v>
      </c>
      <c r="O2754">
        <v>610</v>
      </c>
      <c r="P2754" t="s">
        <v>25</v>
      </c>
      <c r="Q2754" t="s">
        <v>26</v>
      </c>
      <c r="R2754" t="str">
        <f>IF(COUNTIF(Sheet2!B:B, A2754) &gt; 0, "Yes", "No")</f>
        <v>No</v>
      </c>
    </row>
    <row r="2755" spans="1:18" x14ac:dyDescent="0.25">
      <c r="A2755" s="3">
        <v>45538</v>
      </c>
      <c r="B2755" t="s">
        <v>342</v>
      </c>
      <c r="C2755" t="s">
        <v>105</v>
      </c>
      <c r="D2755" t="s">
        <v>20</v>
      </c>
      <c r="E2755" t="s">
        <v>67</v>
      </c>
      <c r="F2755" t="s">
        <v>37</v>
      </c>
      <c r="G2755" t="s">
        <v>117</v>
      </c>
      <c r="H2755" t="s">
        <v>118</v>
      </c>
      <c r="I2755">
        <v>3.5000000000000003E-2</v>
      </c>
      <c r="J2755">
        <f t="shared" ref="J2755:J2818" si="129">I2755*O2755</f>
        <v>21.35</v>
      </c>
      <c r="K2755">
        <v>2</v>
      </c>
      <c r="L2755">
        <f t="shared" ref="L2755:L2818" si="130">J2755-K2755</f>
        <v>19.350000000000001</v>
      </c>
      <c r="M2755" s="4">
        <f t="shared" ref="M2755:M2818" si="131">((I2755*O2755)-K2755)/N2755</f>
        <v>2.8455882352941178E-2</v>
      </c>
      <c r="N2755">
        <v>680</v>
      </c>
      <c r="O2755">
        <v>610</v>
      </c>
      <c r="P2755" t="s">
        <v>25</v>
      </c>
      <c r="Q2755" t="s">
        <v>26</v>
      </c>
      <c r="R2755" t="str">
        <f>IF(COUNTIF(Sheet2!B:B, A2755) &gt; 0, "Yes", "No")</f>
        <v>No</v>
      </c>
    </row>
    <row r="2756" spans="1:18" x14ac:dyDescent="0.25">
      <c r="A2756" s="3">
        <v>45538</v>
      </c>
      <c r="B2756" t="s">
        <v>342</v>
      </c>
      <c r="C2756" t="s">
        <v>105</v>
      </c>
      <c r="D2756" t="s">
        <v>20</v>
      </c>
      <c r="E2756" t="s">
        <v>67</v>
      </c>
      <c r="F2756" t="s">
        <v>40</v>
      </c>
      <c r="G2756" t="s">
        <v>137</v>
      </c>
      <c r="H2756" t="s">
        <v>138</v>
      </c>
      <c r="I2756">
        <v>0.05</v>
      </c>
      <c r="J2756">
        <f t="shared" si="129"/>
        <v>30.5</v>
      </c>
      <c r="K2756">
        <v>3</v>
      </c>
      <c r="L2756">
        <f t="shared" si="130"/>
        <v>27.5</v>
      </c>
      <c r="M2756" s="4">
        <f t="shared" si="131"/>
        <v>4.0441176470588237E-2</v>
      </c>
      <c r="N2756">
        <v>680</v>
      </c>
      <c r="O2756">
        <v>610</v>
      </c>
      <c r="P2756" t="s">
        <v>25</v>
      </c>
      <c r="Q2756" t="s">
        <v>26</v>
      </c>
      <c r="R2756" t="str">
        <f>IF(COUNTIF(Sheet2!B:B, A2756) &gt; 0, "Yes", "No")</f>
        <v>No</v>
      </c>
    </row>
    <row r="2757" spans="1:18" x14ac:dyDescent="0.25">
      <c r="A2757" s="3">
        <v>45538</v>
      </c>
      <c r="B2757" t="s">
        <v>342</v>
      </c>
      <c r="C2757" t="s">
        <v>105</v>
      </c>
      <c r="D2757" t="s">
        <v>20</v>
      </c>
      <c r="E2757" t="s">
        <v>67</v>
      </c>
      <c r="F2757" t="s">
        <v>43</v>
      </c>
      <c r="G2757" t="s">
        <v>90</v>
      </c>
      <c r="H2757" t="s">
        <v>684</v>
      </c>
      <c r="I2757">
        <v>0.11</v>
      </c>
      <c r="J2757">
        <f t="shared" si="129"/>
        <v>67.099999999999994</v>
      </c>
      <c r="K2757">
        <v>3</v>
      </c>
      <c r="L2757">
        <f t="shared" si="130"/>
        <v>64.099999999999994</v>
      </c>
      <c r="M2757" s="4">
        <f t="shared" si="131"/>
        <v>9.4264705882352931E-2</v>
      </c>
      <c r="N2757">
        <v>680</v>
      </c>
      <c r="O2757">
        <v>610</v>
      </c>
      <c r="P2757" t="s">
        <v>25</v>
      </c>
      <c r="Q2757" t="s">
        <v>26</v>
      </c>
      <c r="R2757" t="str">
        <f>IF(COUNTIF(Sheet2!B:B, A2757) &gt; 0, "Yes", "No")</f>
        <v>No</v>
      </c>
    </row>
    <row r="2758" spans="1:18" x14ac:dyDescent="0.25">
      <c r="A2758" s="3">
        <v>45538</v>
      </c>
      <c r="B2758" t="s">
        <v>342</v>
      </c>
      <c r="C2758" t="s">
        <v>105</v>
      </c>
      <c r="D2758" t="s">
        <v>20</v>
      </c>
      <c r="E2758" t="s">
        <v>67</v>
      </c>
      <c r="F2758" t="s">
        <v>46</v>
      </c>
      <c r="G2758" t="s">
        <v>175</v>
      </c>
      <c r="H2758" t="s">
        <v>173</v>
      </c>
      <c r="I2758">
        <v>8.5000000000000006E-2</v>
      </c>
      <c r="J2758">
        <f t="shared" si="129"/>
        <v>51.85</v>
      </c>
      <c r="K2758">
        <v>0</v>
      </c>
      <c r="L2758">
        <f t="shared" si="130"/>
        <v>51.85</v>
      </c>
      <c r="M2758" s="4">
        <f t="shared" si="131"/>
        <v>7.6249999999999998E-2</v>
      </c>
      <c r="N2758">
        <v>680</v>
      </c>
      <c r="O2758">
        <v>610</v>
      </c>
      <c r="P2758" t="s">
        <v>25</v>
      </c>
      <c r="Q2758" t="s">
        <v>26</v>
      </c>
      <c r="R2758" t="str">
        <f>IF(COUNTIF(Sheet2!B:B, A2758) &gt; 0, "Yes", "No")</f>
        <v>No</v>
      </c>
    </row>
    <row r="2759" spans="1:18" x14ac:dyDescent="0.25">
      <c r="A2759" s="3">
        <v>45538</v>
      </c>
      <c r="B2759" t="s">
        <v>342</v>
      </c>
      <c r="C2759" t="s">
        <v>105</v>
      </c>
      <c r="D2759" t="s">
        <v>20</v>
      </c>
      <c r="E2759" t="s">
        <v>67</v>
      </c>
      <c r="F2759" t="s">
        <v>49</v>
      </c>
      <c r="G2759" t="s">
        <v>50</v>
      </c>
      <c r="H2759" t="s">
        <v>49</v>
      </c>
      <c r="I2759">
        <v>0.09</v>
      </c>
      <c r="J2759">
        <f t="shared" si="129"/>
        <v>54.9</v>
      </c>
      <c r="K2759">
        <v>1</v>
      </c>
      <c r="L2759">
        <f t="shared" si="130"/>
        <v>53.9</v>
      </c>
      <c r="M2759" s="4">
        <f t="shared" si="131"/>
        <v>7.9264705882352945E-2</v>
      </c>
      <c r="N2759">
        <v>680</v>
      </c>
      <c r="O2759">
        <v>610</v>
      </c>
      <c r="P2759" t="s">
        <v>25</v>
      </c>
      <c r="Q2759" t="s">
        <v>26</v>
      </c>
      <c r="R2759" t="str">
        <f>IF(COUNTIF(Sheet2!B:B, A2759) &gt; 0, "Yes", "No")</f>
        <v>No</v>
      </c>
    </row>
    <row r="2760" spans="1:18" x14ac:dyDescent="0.25">
      <c r="A2760" s="3">
        <v>45539</v>
      </c>
      <c r="B2760" t="s">
        <v>342</v>
      </c>
      <c r="C2760" t="s">
        <v>51</v>
      </c>
      <c r="D2760" t="s">
        <v>20</v>
      </c>
      <c r="E2760" t="s">
        <v>21</v>
      </c>
      <c r="F2760" t="s">
        <v>22</v>
      </c>
      <c r="G2760" t="s">
        <v>94</v>
      </c>
      <c r="H2760" t="s">
        <v>685</v>
      </c>
      <c r="I2760">
        <v>8.5000000000000006E-2</v>
      </c>
      <c r="J2760">
        <f t="shared" si="129"/>
        <v>54.400000000000006</v>
      </c>
      <c r="K2760">
        <v>1</v>
      </c>
      <c r="L2760">
        <f t="shared" si="130"/>
        <v>53.400000000000006</v>
      </c>
      <c r="M2760" s="4">
        <f t="shared" si="131"/>
        <v>7.628571428571429E-2</v>
      </c>
      <c r="N2760">
        <v>700</v>
      </c>
      <c r="O2760">
        <v>640</v>
      </c>
      <c r="P2760" t="s">
        <v>25</v>
      </c>
      <c r="Q2760" t="s">
        <v>26</v>
      </c>
      <c r="R2760" t="str">
        <f>IF(COUNTIF(Sheet2!B:B, A2760) &gt; 0, "Yes", "No")</f>
        <v>No</v>
      </c>
    </row>
    <row r="2761" spans="1:18" x14ac:dyDescent="0.25">
      <c r="A2761" s="3">
        <v>45539</v>
      </c>
      <c r="B2761" t="s">
        <v>342</v>
      </c>
      <c r="C2761" t="s">
        <v>51</v>
      </c>
      <c r="D2761" t="s">
        <v>20</v>
      </c>
      <c r="E2761" t="s">
        <v>21</v>
      </c>
      <c r="F2761" t="s">
        <v>27</v>
      </c>
      <c r="G2761" t="s">
        <v>304</v>
      </c>
      <c r="H2761" t="s">
        <v>613</v>
      </c>
      <c r="I2761">
        <v>0.12</v>
      </c>
      <c r="J2761">
        <f t="shared" si="129"/>
        <v>76.8</v>
      </c>
      <c r="K2761">
        <v>1</v>
      </c>
      <c r="L2761">
        <f t="shared" si="130"/>
        <v>75.8</v>
      </c>
      <c r="M2761" s="4">
        <f t="shared" si="131"/>
        <v>0.10828571428571428</v>
      </c>
      <c r="N2761">
        <v>700</v>
      </c>
      <c r="O2761">
        <v>640</v>
      </c>
      <c r="P2761" t="s">
        <v>25</v>
      </c>
      <c r="Q2761" t="s">
        <v>26</v>
      </c>
      <c r="R2761" t="str">
        <f>IF(COUNTIF(Sheet2!B:B, A2761) &gt; 0, "Yes", "No")</f>
        <v>No</v>
      </c>
    </row>
    <row r="2762" spans="1:18" x14ac:dyDescent="0.25">
      <c r="A2762" s="3">
        <v>45539</v>
      </c>
      <c r="B2762" t="s">
        <v>342</v>
      </c>
      <c r="C2762" t="s">
        <v>51</v>
      </c>
      <c r="D2762" t="s">
        <v>20</v>
      </c>
      <c r="E2762" t="s">
        <v>21</v>
      </c>
      <c r="F2762" t="s">
        <v>30</v>
      </c>
      <c r="G2762" t="s">
        <v>31</v>
      </c>
      <c r="H2762" t="s">
        <v>70</v>
      </c>
      <c r="I2762">
        <v>0.09</v>
      </c>
      <c r="J2762">
        <f t="shared" si="129"/>
        <v>57.599999999999994</v>
      </c>
      <c r="K2762">
        <v>2</v>
      </c>
      <c r="L2762">
        <f t="shared" si="130"/>
        <v>55.599999999999994</v>
      </c>
      <c r="M2762" s="4">
        <f t="shared" si="131"/>
        <v>7.9428571428571418E-2</v>
      </c>
      <c r="N2762">
        <v>700</v>
      </c>
      <c r="O2762">
        <v>640</v>
      </c>
      <c r="P2762" t="s">
        <v>25</v>
      </c>
      <c r="Q2762" t="s">
        <v>26</v>
      </c>
      <c r="R2762" t="str">
        <f>IF(COUNTIF(Sheet2!B:B, A2762) &gt; 0, "Yes", "No")</f>
        <v>No</v>
      </c>
    </row>
    <row r="2763" spans="1:18" x14ac:dyDescent="0.25">
      <c r="A2763" s="3">
        <v>45539</v>
      </c>
      <c r="B2763" t="s">
        <v>342</v>
      </c>
      <c r="C2763" t="s">
        <v>51</v>
      </c>
      <c r="D2763" t="s">
        <v>33</v>
      </c>
      <c r="E2763" t="s">
        <v>21</v>
      </c>
      <c r="F2763" t="s">
        <v>34</v>
      </c>
      <c r="G2763" t="s">
        <v>35</v>
      </c>
      <c r="H2763" t="s">
        <v>287</v>
      </c>
      <c r="I2763">
        <v>0.15</v>
      </c>
      <c r="J2763">
        <f t="shared" si="129"/>
        <v>61.5</v>
      </c>
      <c r="K2763">
        <v>0</v>
      </c>
      <c r="L2763">
        <f t="shared" si="130"/>
        <v>61.5</v>
      </c>
      <c r="M2763" s="4">
        <f t="shared" si="131"/>
        <v>0.12551020408163266</v>
      </c>
      <c r="N2763">
        <v>490</v>
      </c>
      <c r="O2763">
        <v>410</v>
      </c>
      <c r="P2763" t="s">
        <v>25</v>
      </c>
      <c r="Q2763" t="s">
        <v>26</v>
      </c>
      <c r="R2763" t="str">
        <f>IF(COUNTIF(Sheet2!B:B, A2763) &gt; 0, "Yes", "No")</f>
        <v>No</v>
      </c>
    </row>
    <row r="2764" spans="1:18" x14ac:dyDescent="0.25">
      <c r="A2764" s="3">
        <v>45539</v>
      </c>
      <c r="B2764" t="s">
        <v>342</v>
      </c>
      <c r="C2764" t="s">
        <v>51</v>
      </c>
      <c r="D2764" t="s">
        <v>20</v>
      </c>
      <c r="E2764" t="s">
        <v>21</v>
      </c>
      <c r="F2764" t="s">
        <v>37</v>
      </c>
      <c r="G2764" t="s">
        <v>71</v>
      </c>
      <c r="H2764" t="s">
        <v>151</v>
      </c>
      <c r="I2764">
        <v>0.03</v>
      </c>
      <c r="J2764">
        <f t="shared" si="129"/>
        <v>19.2</v>
      </c>
      <c r="K2764">
        <v>3</v>
      </c>
      <c r="L2764">
        <f t="shared" si="130"/>
        <v>16.2</v>
      </c>
      <c r="M2764" s="4">
        <f t="shared" si="131"/>
        <v>2.3142857142857142E-2</v>
      </c>
      <c r="N2764">
        <v>700</v>
      </c>
      <c r="O2764">
        <v>640</v>
      </c>
      <c r="P2764" t="s">
        <v>25</v>
      </c>
      <c r="Q2764" t="s">
        <v>26</v>
      </c>
      <c r="R2764" t="str">
        <f>IF(COUNTIF(Sheet2!B:B, A2764) &gt; 0, "Yes", "No")</f>
        <v>No</v>
      </c>
    </row>
    <row r="2765" spans="1:18" x14ac:dyDescent="0.25">
      <c r="A2765" s="3">
        <v>45539</v>
      </c>
      <c r="B2765" t="s">
        <v>342</v>
      </c>
      <c r="C2765" t="s">
        <v>51</v>
      </c>
      <c r="D2765" t="s">
        <v>20</v>
      </c>
      <c r="E2765" t="s">
        <v>21</v>
      </c>
      <c r="F2765" t="s">
        <v>40</v>
      </c>
      <c r="G2765" t="s">
        <v>164</v>
      </c>
      <c r="H2765" t="s">
        <v>202</v>
      </c>
      <c r="I2765">
        <v>4.4999999999999998E-2</v>
      </c>
      <c r="J2765">
        <f t="shared" si="129"/>
        <v>28.799999999999997</v>
      </c>
      <c r="K2765">
        <v>3</v>
      </c>
      <c r="L2765">
        <f t="shared" si="130"/>
        <v>25.799999999999997</v>
      </c>
      <c r="M2765" s="4">
        <f t="shared" si="131"/>
        <v>3.6857142857142852E-2</v>
      </c>
      <c r="N2765">
        <v>700</v>
      </c>
      <c r="O2765">
        <v>640</v>
      </c>
      <c r="P2765" t="s">
        <v>25</v>
      </c>
      <c r="Q2765" t="s">
        <v>26</v>
      </c>
      <c r="R2765" t="str">
        <f>IF(COUNTIF(Sheet2!B:B, A2765) &gt; 0, "Yes", "No")</f>
        <v>No</v>
      </c>
    </row>
    <row r="2766" spans="1:18" x14ac:dyDescent="0.25">
      <c r="A2766" s="3">
        <v>45539</v>
      </c>
      <c r="B2766" t="s">
        <v>342</v>
      </c>
      <c r="C2766" t="s">
        <v>51</v>
      </c>
      <c r="D2766" t="s">
        <v>20</v>
      </c>
      <c r="E2766" t="s">
        <v>21</v>
      </c>
      <c r="F2766" t="s">
        <v>43</v>
      </c>
      <c r="G2766" t="s">
        <v>301</v>
      </c>
      <c r="H2766" t="s">
        <v>490</v>
      </c>
      <c r="I2766">
        <v>0.11</v>
      </c>
      <c r="J2766">
        <f t="shared" si="129"/>
        <v>70.400000000000006</v>
      </c>
      <c r="K2766">
        <v>3</v>
      </c>
      <c r="L2766">
        <f t="shared" si="130"/>
        <v>67.400000000000006</v>
      </c>
      <c r="M2766" s="4">
        <f t="shared" si="131"/>
        <v>9.6285714285714294E-2</v>
      </c>
      <c r="N2766">
        <v>700</v>
      </c>
      <c r="O2766">
        <v>640</v>
      </c>
      <c r="P2766" t="s">
        <v>25</v>
      </c>
      <c r="Q2766" t="s">
        <v>26</v>
      </c>
      <c r="R2766" t="str">
        <f>IF(COUNTIF(Sheet2!B:B, A2766) &gt; 0, "Yes", "No")</f>
        <v>No</v>
      </c>
    </row>
    <row r="2767" spans="1:18" x14ac:dyDescent="0.25">
      <c r="A2767" s="3">
        <v>45539</v>
      </c>
      <c r="B2767" t="s">
        <v>342</v>
      </c>
      <c r="C2767" t="s">
        <v>51</v>
      </c>
      <c r="D2767" t="s">
        <v>20</v>
      </c>
      <c r="E2767" t="s">
        <v>21</v>
      </c>
      <c r="F2767" t="s">
        <v>46</v>
      </c>
      <c r="G2767" t="s">
        <v>103</v>
      </c>
      <c r="H2767" t="s">
        <v>420</v>
      </c>
      <c r="I2767">
        <v>0.09</v>
      </c>
      <c r="J2767">
        <f t="shared" si="129"/>
        <v>57.599999999999994</v>
      </c>
      <c r="K2767">
        <v>0</v>
      </c>
      <c r="L2767">
        <f t="shared" si="130"/>
        <v>57.599999999999994</v>
      </c>
      <c r="M2767" s="4">
        <f t="shared" si="131"/>
        <v>8.2285714285714281E-2</v>
      </c>
      <c r="N2767">
        <v>700</v>
      </c>
      <c r="O2767">
        <v>640</v>
      </c>
      <c r="P2767" t="s">
        <v>25</v>
      </c>
      <c r="Q2767" t="s">
        <v>26</v>
      </c>
      <c r="R2767" t="str">
        <f>IF(COUNTIF(Sheet2!B:B, A2767) &gt; 0, "Yes", "No")</f>
        <v>No</v>
      </c>
    </row>
    <row r="2768" spans="1:18" x14ac:dyDescent="0.25">
      <c r="A2768" s="3">
        <v>45539</v>
      </c>
      <c r="B2768" t="s">
        <v>342</v>
      </c>
      <c r="C2768" t="s">
        <v>51</v>
      </c>
      <c r="D2768" t="s">
        <v>20</v>
      </c>
      <c r="E2768" t="s">
        <v>21</v>
      </c>
      <c r="F2768" t="s">
        <v>49</v>
      </c>
      <c r="G2768" t="s">
        <v>50</v>
      </c>
      <c r="H2768" t="s">
        <v>49</v>
      </c>
      <c r="I2768">
        <v>0.09</v>
      </c>
      <c r="J2768">
        <f t="shared" si="129"/>
        <v>57.599999999999994</v>
      </c>
      <c r="K2768">
        <v>2</v>
      </c>
      <c r="L2768">
        <f t="shared" si="130"/>
        <v>55.599999999999994</v>
      </c>
      <c r="M2768" s="4">
        <f t="shared" si="131"/>
        <v>7.9428571428571418E-2</v>
      </c>
      <c r="N2768">
        <v>700</v>
      </c>
      <c r="O2768">
        <v>640</v>
      </c>
      <c r="P2768" t="s">
        <v>25</v>
      </c>
      <c r="Q2768" t="s">
        <v>26</v>
      </c>
      <c r="R2768" t="str">
        <f>IF(COUNTIF(Sheet2!B:B, A2768) &gt; 0, "Yes", "No")</f>
        <v>No</v>
      </c>
    </row>
    <row r="2769" spans="1:18" x14ac:dyDescent="0.25">
      <c r="A2769" s="3">
        <v>45540</v>
      </c>
      <c r="B2769" t="s">
        <v>342</v>
      </c>
      <c r="C2769" t="s">
        <v>66</v>
      </c>
      <c r="D2769" t="s">
        <v>20</v>
      </c>
      <c r="E2769" t="s">
        <v>67</v>
      </c>
      <c r="F2769" t="s">
        <v>22</v>
      </c>
      <c r="G2769" t="s">
        <v>52</v>
      </c>
      <c r="H2769" t="s">
        <v>53</v>
      </c>
      <c r="I2769">
        <v>8.5000000000000006E-2</v>
      </c>
      <c r="J2769">
        <f t="shared" si="129"/>
        <v>51.000000000000007</v>
      </c>
      <c r="K2769">
        <v>4</v>
      </c>
      <c r="L2769">
        <f t="shared" si="130"/>
        <v>47.000000000000007</v>
      </c>
      <c r="M2769" s="4">
        <f t="shared" si="131"/>
        <v>6.9117647058823534E-2</v>
      </c>
      <c r="N2769">
        <v>680</v>
      </c>
      <c r="O2769">
        <v>600</v>
      </c>
      <c r="P2769" t="s">
        <v>25</v>
      </c>
      <c r="Q2769" t="s">
        <v>26</v>
      </c>
      <c r="R2769" t="str">
        <f>IF(COUNTIF(Sheet2!B:B, A2769) &gt; 0, "Yes", "No")</f>
        <v>No</v>
      </c>
    </row>
    <row r="2770" spans="1:18" x14ac:dyDescent="0.25">
      <c r="A2770" s="3">
        <v>45540</v>
      </c>
      <c r="B2770" t="s">
        <v>342</v>
      </c>
      <c r="C2770" t="s">
        <v>66</v>
      </c>
      <c r="D2770" t="s">
        <v>20</v>
      </c>
      <c r="E2770" t="s">
        <v>67</v>
      </c>
      <c r="F2770" t="s">
        <v>27</v>
      </c>
      <c r="G2770" t="s">
        <v>235</v>
      </c>
      <c r="H2770" t="s">
        <v>581</v>
      </c>
      <c r="I2770">
        <v>0.12</v>
      </c>
      <c r="J2770">
        <f t="shared" si="129"/>
        <v>72</v>
      </c>
      <c r="K2770">
        <v>4</v>
      </c>
      <c r="L2770">
        <f t="shared" si="130"/>
        <v>68</v>
      </c>
      <c r="M2770" s="4">
        <f t="shared" si="131"/>
        <v>0.1</v>
      </c>
      <c r="N2770">
        <v>680</v>
      </c>
      <c r="O2770">
        <v>600</v>
      </c>
      <c r="P2770" t="s">
        <v>25</v>
      </c>
      <c r="Q2770" t="s">
        <v>26</v>
      </c>
      <c r="R2770" t="str">
        <f>IF(COUNTIF(Sheet2!B:B, A2770) &gt; 0, "Yes", "No")</f>
        <v>No</v>
      </c>
    </row>
    <row r="2771" spans="1:18" x14ac:dyDescent="0.25">
      <c r="A2771" s="3">
        <v>45540</v>
      </c>
      <c r="B2771" t="s">
        <v>342</v>
      </c>
      <c r="C2771" t="s">
        <v>66</v>
      </c>
      <c r="D2771" t="s">
        <v>20</v>
      </c>
      <c r="E2771" t="s">
        <v>67</v>
      </c>
      <c r="F2771" t="s">
        <v>30</v>
      </c>
      <c r="G2771" t="s">
        <v>55</v>
      </c>
      <c r="H2771" t="s">
        <v>56</v>
      </c>
      <c r="I2771">
        <v>0.09</v>
      </c>
      <c r="J2771">
        <f t="shared" si="129"/>
        <v>54</v>
      </c>
      <c r="K2771">
        <v>3</v>
      </c>
      <c r="L2771">
        <f t="shared" si="130"/>
        <v>51</v>
      </c>
      <c r="M2771" s="4">
        <f t="shared" si="131"/>
        <v>7.4999999999999997E-2</v>
      </c>
      <c r="N2771">
        <v>680</v>
      </c>
      <c r="O2771">
        <v>600</v>
      </c>
      <c r="P2771" t="s">
        <v>25</v>
      </c>
      <c r="Q2771" t="s">
        <v>26</v>
      </c>
      <c r="R2771" t="str">
        <f>IF(COUNTIF(Sheet2!B:B, A2771) &gt; 0, "Yes", "No")</f>
        <v>No</v>
      </c>
    </row>
    <row r="2772" spans="1:18" x14ac:dyDescent="0.25">
      <c r="A2772" s="3">
        <v>45540</v>
      </c>
      <c r="B2772" t="s">
        <v>342</v>
      </c>
      <c r="C2772" t="s">
        <v>66</v>
      </c>
      <c r="D2772" t="s">
        <v>20</v>
      </c>
      <c r="E2772" t="s">
        <v>67</v>
      </c>
      <c r="F2772" t="s">
        <v>37</v>
      </c>
      <c r="G2772" t="s">
        <v>108</v>
      </c>
      <c r="H2772" t="s">
        <v>126</v>
      </c>
      <c r="I2772">
        <v>3.5000000000000003E-2</v>
      </c>
      <c r="J2772">
        <f t="shared" si="129"/>
        <v>21.000000000000004</v>
      </c>
      <c r="K2772">
        <v>3</v>
      </c>
      <c r="L2772">
        <f t="shared" si="130"/>
        <v>18.000000000000004</v>
      </c>
      <c r="M2772" s="4">
        <f t="shared" si="131"/>
        <v>2.6470588235294124E-2</v>
      </c>
      <c r="N2772">
        <v>680</v>
      </c>
      <c r="O2772">
        <v>600</v>
      </c>
      <c r="P2772" t="s">
        <v>25</v>
      </c>
      <c r="Q2772" t="s">
        <v>26</v>
      </c>
      <c r="R2772" t="str">
        <f>IF(COUNTIF(Sheet2!B:B, A2772) &gt; 0, "Yes", "No")</f>
        <v>No</v>
      </c>
    </row>
    <row r="2773" spans="1:18" x14ac:dyDescent="0.25">
      <c r="A2773" s="3">
        <v>45540</v>
      </c>
      <c r="B2773" t="s">
        <v>342</v>
      </c>
      <c r="C2773" t="s">
        <v>66</v>
      </c>
      <c r="D2773" t="s">
        <v>20</v>
      </c>
      <c r="E2773" t="s">
        <v>67</v>
      </c>
      <c r="F2773" t="s">
        <v>40</v>
      </c>
      <c r="G2773" t="s">
        <v>164</v>
      </c>
      <c r="H2773" t="s">
        <v>193</v>
      </c>
      <c r="I2773">
        <v>0.05</v>
      </c>
      <c r="J2773">
        <f t="shared" si="129"/>
        <v>30</v>
      </c>
      <c r="K2773">
        <v>3</v>
      </c>
      <c r="L2773">
        <f t="shared" si="130"/>
        <v>27</v>
      </c>
      <c r="M2773" s="4">
        <f t="shared" si="131"/>
        <v>3.9705882352941174E-2</v>
      </c>
      <c r="N2773">
        <v>680</v>
      </c>
      <c r="O2773">
        <v>600</v>
      </c>
      <c r="P2773" t="s">
        <v>25</v>
      </c>
      <c r="Q2773" t="s">
        <v>26</v>
      </c>
      <c r="R2773" t="str">
        <f>IF(COUNTIF(Sheet2!B:B, A2773) &gt; 0, "Yes", "No")</f>
        <v>No</v>
      </c>
    </row>
    <row r="2774" spans="1:18" x14ac:dyDescent="0.25">
      <c r="A2774" s="3">
        <v>45540</v>
      </c>
      <c r="B2774" t="s">
        <v>342</v>
      </c>
      <c r="C2774" t="s">
        <v>66</v>
      </c>
      <c r="D2774" t="s">
        <v>20</v>
      </c>
      <c r="E2774" t="s">
        <v>67</v>
      </c>
      <c r="F2774" t="s">
        <v>43</v>
      </c>
      <c r="G2774" t="s">
        <v>159</v>
      </c>
      <c r="H2774" t="s">
        <v>493</v>
      </c>
      <c r="I2774">
        <v>0.11</v>
      </c>
      <c r="J2774">
        <f t="shared" si="129"/>
        <v>66</v>
      </c>
      <c r="K2774">
        <v>4</v>
      </c>
      <c r="L2774">
        <f t="shared" si="130"/>
        <v>62</v>
      </c>
      <c r="M2774" s="4">
        <f t="shared" si="131"/>
        <v>9.1176470588235289E-2</v>
      </c>
      <c r="N2774">
        <v>680</v>
      </c>
      <c r="O2774">
        <v>600</v>
      </c>
      <c r="P2774" t="s">
        <v>25</v>
      </c>
      <c r="Q2774" t="s">
        <v>26</v>
      </c>
      <c r="R2774" t="str">
        <f>IF(COUNTIF(Sheet2!B:B, A2774) &gt; 0, "Yes", "No")</f>
        <v>No</v>
      </c>
    </row>
    <row r="2775" spans="1:18" x14ac:dyDescent="0.25">
      <c r="A2775" s="3">
        <v>45540</v>
      </c>
      <c r="B2775" t="s">
        <v>342</v>
      </c>
      <c r="C2775" t="s">
        <v>66</v>
      </c>
      <c r="D2775" t="s">
        <v>20</v>
      </c>
      <c r="E2775" t="s">
        <v>67</v>
      </c>
      <c r="F2775" t="s">
        <v>46</v>
      </c>
      <c r="G2775" t="s">
        <v>47</v>
      </c>
      <c r="H2775" t="s">
        <v>659</v>
      </c>
      <c r="I2775">
        <v>8.5000000000000006E-2</v>
      </c>
      <c r="J2775">
        <f t="shared" si="129"/>
        <v>51.000000000000007</v>
      </c>
      <c r="K2775">
        <v>4</v>
      </c>
      <c r="L2775">
        <f t="shared" si="130"/>
        <v>47.000000000000007</v>
      </c>
      <c r="M2775" s="4">
        <f t="shared" si="131"/>
        <v>6.9117647058823534E-2</v>
      </c>
      <c r="N2775">
        <v>680</v>
      </c>
      <c r="O2775">
        <v>600</v>
      </c>
      <c r="P2775" t="s">
        <v>25</v>
      </c>
      <c r="Q2775" t="s">
        <v>26</v>
      </c>
      <c r="R2775" t="str">
        <f>IF(COUNTIF(Sheet2!B:B, A2775) &gt; 0, "Yes", "No")</f>
        <v>No</v>
      </c>
    </row>
    <row r="2776" spans="1:18" x14ac:dyDescent="0.25">
      <c r="A2776" s="3">
        <v>45540</v>
      </c>
      <c r="B2776" t="s">
        <v>342</v>
      </c>
      <c r="C2776" t="s">
        <v>66</v>
      </c>
      <c r="D2776" t="s">
        <v>20</v>
      </c>
      <c r="E2776" t="s">
        <v>67</v>
      </c>
      <c r="F2776" t="s">
        <v>49</v>
      </c>
      <c r="G2776" t="s">
        <v>50</v>
      </c>
      <c r="H2776" t="s">
        <v>49</v>
      </c>
      <c r="I2776">
        <v>0.09</v>
      </c>
      <c r="J2776">
        <f t="shared" si="129"/>
        <v>54</v>
      </c>
      <c r="K2776">
        <v>1</v>
      </c>
      <c r="L2776">
        <f t="shared" si="130"/>
        <v>53</v>
      </c>
      <c r="M2776" s="4">
        <f t="shared" si="131"/>
        <v>7.7941176470588236E-2</v>
      </c>
      <c r="N2776">
        <v>680</v>
      </c>
      <c r="O2776">
        <v>600</v>
      </c>
      <c r="P2776" t="s">
        <v>25</v>
      </c>
      <c r="Q2776" t="s">
        <v>26</v>
      </c>
      <c r="R2776" t="str">
        <f>IF(COUNTIF(Sheet2!B:B, A2776) &gt; 0, "Yes", "No")</f>
        <v>No</v>
      </c>
    </row>
    <row r="2777" spans="1:18" x14ac:dyDescent="0.25">
      <c r="A2777" s="3">
        <v>45541</v>
      </c>
      <c r="B2777" t="s">
        <v>342</v>
      </c>
      <c r="C2777" t="s">
        <v>79</v>
      </c>
      <c r="D2777" t="s">
        <v>20</v>
      </c>
      <c r="E2777" t="s">
        <v>21</v>
      </c>
      <c r="F2777" t="s">
        <v>22</v>
      </c>
      <c r="G2777" t="s">
        <v>94</v>
      </c>
      <c r="H2777" t="s">
        <v>199</v>
      </c>
      <c r="I2777" s="5">
        <v>0.06</v>
      </c>
      <c r="J2777">
        <f t="shared" si="129"/>
        <v>30</v>
      </c>
      <c r="K2777">
        <v>2</v>
      </c>
      <c r="L2777">
        <f t="shared" si="130"/>
        <v>28</v>
      </c>
      <c r="M2777" s="4">
        <f t="shared" si="131"/>
        <v>5.0909090909090911E-2</v>
      </c>
      <c r="N2777">
        <v>550</v>
      </c>
      <c r="O2777">
        <v>500</v>
      </c>
      <c r="P2777" t="s">
        <v>283</v>
      </c>
      <c r="Q2777" t="s">
        <v>284</v>
      </c>
      <c r="R2777" t="str">
        <f>IF(COUNTIF(Sheet2!B:B, A2777) &gt; 0, "Yes", "No")</f>
        <v>Yes</v>
      </c>
    </row>
    <row r="2778" spans="1:18" x14ac:dyDescent="0.25">
      <c r="A2778" s="3">
        <v>45541</v>
      </c>
      <c r="B2778" t="s">
        <v>342</v>
      </c>
      <c r="C2778" t="s">
        <v>79</v>
      </c>
      <c r="D2778" t="s">
        <v>20</v>
      </c>
      <c r="E2778" t="s">
        <v>21</v>
      </c>
      <c r="F2778" t="s">
        <v>27</v>
      </c>
      <c r="G2778" t="s">
        <v>81</v>
      </c>
      <c r="H2778" t="s">
        <v>686</v>
      </c>
      <c r="I2778" s="5">
        <v>0.1</v>
      </c>
      <c r="J2778">
        <f t="shared" si="129"/>
        <v>50</v>
      </c>
      <c r="K2778">
        <v>3</v>
      </c>
      <c r="L2778">
        <f t="shared" si="130"/>
        <v>47</v>
      </c>
      <c r="M2778" s="4">
        <f t="shared" si="131"/>
        <v>8.545454545454545E-2</v>
      </c>
      <c r="N2778">
        <v>550</v>
      </c>
      <c r="O2778">
        <v>500</v>
      </c>
      <c r="P2778" t="s">
        <v>283</v>
      </c>
      <c r="Q2778" t="s">
        <v>284</v>
      </c>
      <c r="R2778" t="str">
        <f>IF(COUNTIF(Sheet2!B:B, A2778) &gt; 0, "Yes", "No")</f>
        <v>Yes</v>
      </c>
    </row>
    <row r="2779" spans="1:18" x14ac:dyDescent="0.25">
      <c r="A2779" s="3">
        <v>45541</v>
      </c>
      <c r="B2779" t="s">
        <v>342</v>
      </c>
      <c r="C2779" t="s">
        <v>79</v>
      </c>
      <c r="D2779" t="s">
        <v>20</v>
      </c>
      <c r="E2779" t="s">
        <v>21</v>
      </c>
      <c r="F2779" t="s">
        <v>30</v>
      </c>
      <c r="G2779" t="s">
        <v>31</v>
      </c>
      <c r="H2779" t="s">
        <v>172</v>
      </c>
      <c r="I2779" s="5">
        <v>0.06</v>
      </c>
      <c r="J2779">
        <f t="shared" si="129"/>
        <v>30</v>
      </c>
      <c r="K2779">
        <v>1</v>
      </c>
      <c r="L2779">
        <f t="shared" si="130"/>
        <v>29</v>
      </c>
      <c r="M2779" s="4">
        <f t="shared" si="131"/>
        <v>5.2727272727272727E-2</v>
      </c>
      <c r="N2779">
        <v>550</v>
      </c>
      <c r="O2779">
        <v>500</v>
      </c>
      <c r="P2779" t="s">
        <v>283</v>
      </c>
      <c r="Q2779" t="s">
        <v>284</v>
      </c>
      <c r="R2779" t="str">
        <f>IF(COUNTIF(Sheet2!B:B, A2779) &gt; 0, "Yes", "No")</f>
        <v>Yes</v>
      </c>
    </row>
    <row r="2780" spans="1:18" x14ac:dyDescent="0.25">
      <c r="A2780" s="3">
        <v>45541</v>
      </c>
      <c r="B2780" t="s">
        <v>342</v>
      </c>
      <c r="C2780" t="s">
        <v>79</v>
      </c>
      <c r="D2780" t="s">
        <v>33</v>
      </c>
      <c r="E2780" t="s">
        <v>21</v>
      </c>
      <c r="F2780" t="s">
        <v>84</v>
      </c>
      <c r="G2780" t="s">
        <v>177</v>
      </c>
      <c r="H2780" t="s">
        <v>220</v>
      </c>
      <c r="I2780" s="5">
        <v>0.3</v>
      </c>
      <c r="J2780">
        <f t="shared" si="129"/>
        <v>120</v>
      </c>
      <c r="K2780">
        <v>4</v>
      </c>
      <c r="L2780">
        <f t="shared" si="130"/>
        <v>116</v>
      </c>
      <c r="M2780" s="4">
        <f t="shared" si="131"/>
        <v>0.26363636363636361</v>
      </c>
      <c r="N2780">
        <v>440</v>
      </c>
      <c r="O2780">
        <v>400</v>
      </c>
      <c r="P2780" t="s">
        <v>283</v>
      </c>
      <c r="Q2780" t="s">
        <v>284</v>
      </c>
      <c r="R2780" t="str">
        <f>IF(COUNTIF(Sheet2!B:B, A2780) &gt; 0, "Yes", "No")</f>
        <v>Yes</v>
      </c>
    </row>
    <row r="2781" spans="1:18" x14ac:dyDescent="0.25">
      <c r="A2781" s="3">
        <v>45541</v>
      </c>
      <c r="B2781" t="s">
        <v>342</v>
      </c>
      <c r="C2781" t="s">
        <v>79</v>
      </c>
      <c r="D2781" t="s">
        <v>20</v>
      </c>
      <c r="E2781" t="s">
        <v>21</v>
      </c>
      <c r="F2781" t="s">
        <v>37</v>
      </c>
      <c r="G2781" t="s">
        <v>87</v>
      </c>
      <c r="H2781" t="s">
        <v>88</v>
      </c>
      <c r="I2781" s="5">
        <v>2.5000000000000001E-2</v>
      </c>
      <c r="J2781">
        <f t="shared" si="129"/>
        <v>12.5</v>
      </c>
      <c r="K2781">
        <v>2</v>
      </c>
      <c r="L2781">
        <f t="shared" si="130"/>
        <v>10.5</v>
      </c>
      <c r="M2781" s="4">
        <f t="shared" si="131"/>
        <v>1.9090909090909092E-2</v>
      </c>
      <c r="N2781">
        <v>550</v>
      </c>
      <c r="O2781">
        <v>500</v>
      </c>
      <c r="P2781" t="s">
        <v>283</v>
      </c>
      <c r="Q2781" t="s">
        <v>284</v>
      </c>
      <c r="R2781" t="str">
        <f>IF(COUNTIF(Sheet2!B:B, A2781) &gt; 0, "Yes", "No")</f>
        <v>Yes</v>
      </c>
    </row>
    <row r="2782" spans="1:18" x14ac:dyDescent="0.25">
      <c r="A2782" s="3">
        <v>45541</v>
      </c>
      <c r="B2782" t="s">
        <v>342</v>
      </c>
      <c r="C2782" t="s">
        <v>79</v>
      </c>
      <c r="D2782" t="s">
        <v>20</v>
      </c>
      <c r="E2782" t="s">
        <v>21</v>
      </c>
      <c r="F2782" t="s">
        <v>40</v>
      </c>
      <c r="G2782" t="s">
        <v>137</v>
      </c>
      <c r="H2782" t="s">
        <v>687</v>
      </c>
      <c r="I2782" s="5">
        <v>0.04</v>
      </c>
      <c r="J2782">
        <f t="shared" si="129"/>
        <v>20</v>
      </c>
      <c r="K2782">
        <v>1</v>
      </c>
      <c r="L2782">
        <f t="shared" si="130"/>
        <v>19</v>
      </c>
      <c r="M2782" s="4">
        <f t="shared" si="131"/>
        <v>3.4545454545454546E-2</v>
      </c>
      <c r="N2782">
        <v>550</v>
      </c>
      <c r="O2782">
        <v>500</v>
      </c>
      <c r="P2782" t="s">
        <v>283</v>
      </c>
      <c r="Q2782" t="s">
        <v>284</v>
      </c>
      <c r="R2782" t="str">
        <f>IF(COUNTIF(Sheet2!B:B, A2782) &gt; 0, "Yes", "No")</f>
        <v>Yes</v>
      </c>
    </row>
    <row r="2783" spans="1:18" x14ac:dyDescent="0.25">
      <c r="A2783" s="3">
        <v>45541</v>
      </c>
      <c r="B2783" t="s">
        <v>342</v>
      </c>
      <c r="C2783" t="s">
        <v>79</v>
      </c>
      <c r="D2783" t="s">
        <v>20</v>
      </c>
      <c r="E2783" t="s">
        <v>21</v>
      </c>
      <c r="F2783" t="s">
        <v>43</v>
      </c>
      <c r="G2783" t="s">
        <v>90</v>
      </c>
      <c r="H2783" t="s">
        <v>688</v>
      </c>
      <c r="I2783" s="5">
        <v>7.0000000000000007E-2</v>
      </c>
      <c r="J2783">
        <f t="shared" si="129"/>
        <v>35</v>
      </c>
      <c r="K2783">
        <v>2</v>
      </c>
      <c r="L2783">
        <f t="shared" si="130"/>
        <v>33</v>
      </c>
      <c r="M2783" s="4">
        <f t="shared" si="131"/>
        <v>0.06</v>
      </c>
      <c r="N2783">
        <v>550</v>
      </c>
      <c r="O2783">
        <v>500</v>
      </c>
      <c r="P2783" t="s">
        <v>283</v>
      </c>
      <c r="Q2783" t="s">
        <v>284</v>
      </c>
      <c r="R2783" t="str">
        <f>IF(COUNTIF(Sheet2!B:B, A2783) &gt; 0, "Yes", "No")</f>
        <v>Yes</v>
      </c>
    </row>
    <row r="2784" spans="1:18" x14ac:dyDescent="0.25">
      <c r="A2784" s="3">
        <v>45541</v>
      </c>
      <c r="B2784" t="s">
        <v>342</v>
      </c>
      <c r="C2784" t="s">
        <v>79</v>
      </c>
      <c r="D2784" t="s">
        <v>20</v>
      </c>
      <c r="E2784" t="s">
        <v>21</v>
      </c>
      <c r="F2784" t="s">
        <v>46</v>
      </c>
      <c r="G2784" t="s">
        <v>92</v>
      </c>
      <c r="H2784" t="s">
        <v>275</v>
      </c>
      <c r="I2784" s="5">
        <v>0.06</v>
      </c>
      <c r="J2784">
        <f t="shared" si="129"/>
        <v>30</v>
      </c>
      <c r="K2784">
        <v>2</v>
      </c>
      <c r="L2784">
        <f t="shared" si="130"/>
        <v>28</v>
      </c>
      <c r="M2784" s="4">
        <f t="shared" si="131"/>
        <v>5.0909090909090911E-2</v>
      </c>
      <c r="N2784">
        <v>550</v>
      </c>
      <c r="O2784">
        <v>500</v>
      </c>
      <c r="P2784" t="s">
        <v>283</v>
      </c>
      <c r="Q2784" t="s">
        <v>284</v>
      </c>
      <c r="R2784" t="str">
        <f>IF(COUNTIF(Sheet2!B:B, A2784) &gt; 0, "Yes", "No")</f>
        <v>Yes</v>
      </c>
    </row>
    <row r="2785" spans="1:18" x14ac:dyDescent="0.25">
      <c r="A2785" s="3">
        <v>45541</v>
      </c>
      <c r="B2785" t="s">
        <v>342</v>
      </c>
      <c r="C2785" t="s">
        <v>79</v>
      </c>
      <c r="D2785" t="s">
        <v>20</v>
      </c>
      <c r="E2785" t="s">
        <v>21</v>
      </c>
      <c r="F2785" t="s">
        <v>49</v>
      </c>
      <c r="G2785" t="s">
        <v>50</v>
      </c>
      <c r="H2785" t="s">
        <v>49</v>
      </c>
      <c r="I2785" s="5">
        <v>0.04</v>
      </c>
      <c r="J2785">
        <f t="shared" si="129"/>
        <v>20</v>
      </c>
      <c r="K2785">
        <v>1</v>
      </c>
      <c r="L2785">
        <f t="shared" si="130"/>
        <v>19</v>
      </c>
      <c r="M2785" s="4">
        <f t="shared" si="131"/>
        <v>3.4545454545454546E-2</v>
      </c>
      <c r="N2785">
        <v>550</v>
      </c>
      <c r="O2785">
        <v>500</v>
      </c>
      <c r="P2785" t="s">
        <v>283</v>
      </c>
      <c r="Q2785" t="s">
        <v>284</v>
      </c>
      <c r="R2785" t="str">
        <f>IF(COUNTIF(Sheet2!B:B, A2785) &gt; 0, "Yes", "No")</f>
        <v>Yes</v>
      </c>
    </row>
    <row r="2786" spans="1:18" x14ac:dyDescent="0.25">
      <c r="A2786" s="3">
        <v>45544</v>
      </c>
      <c r="B2786" t="s">
        <v>342</v>
      </c>
      <c r="C2786" t="s">
        <v>19</v>
      </c>
      <c r="D2786" t="s">
        <v>20</v>
      </c>
      <c r="E2786" t="s">
        <v>21</v>
      </c>
      <c r="F2786" t="s">
        <v>22</v>
      </c>
      <c r="G2786" t="s">
        <v>94</v>
      </c>
      <c r="H2786" t="s">
        <v>685</v>
      </c>
      <c r="I2786">
        <v>8.5000000000000006E-2</v>
      </c>
      <c r="J2786">
        <f t="shared" si="129"/>
        <v>54.400000000000006</v>
      </c>
      <c r="K2786">
        <v>2</v>
      </c>
      <c r="L2786">
        <f t="shared" si="130"/>
        <v>52.400000000000006</v>
      </c>
      <c r="M2786" s="4">
        <f t="shared" si="131"/>
        <v>7.4857142857142872E-2</v>
      </c>
      <c r="N2786">
        <v>700</v>
      </c>
      <c r="O2786">
        <v>640</v>
      </c>
      <c r="P2786" t="s">
        <v>25</v>
      </c>
      <c r="Q2786" t="s">
        <v>26</v>
      </c>
      <c r="R2786" t="str">
        <f>IF(COUNTIF(Sheet2!B:B, A2786) &gt; 0, "Yes", "No")</f>
        <v>No</v>
      </c>
    </row>
    <row r="2787" spans="1:18" x14ac:dyDescent="0.25">
      <c r="A2787" s="3">
        <v>45544</v>
      </c>
      <c r="B2787" t="s">
        <v>342</v>
      </c>
      <c r="C2787" t="s">
        <v>19</v>
      </c>
      <c r="D2787" t="s">
        <v>20</v>
      </c>
      <c r="E2787" t="s">
        <v>21</v>
      </c>
      <c r="F2787" t="s">
        <v>27</v>
      </c>
      <c r="G2787" t="s">
        <v>115</v>
      </c>
      <c r="H2787" t="s">
        <v>115</v>
      </c>
      <c r="I2787">
        <v>0.11</v>
      </c>
      <c r="J2787">
        <f t="shared" si="129"/>
        <v>70.400000000000006</v>
      </c>
      <c r="K2787">
        <v>2</v>
      </c>
      <c r="L2787">
        <f t="shared" si="130"/>
        <v>68.400000000000006</v>
      </c>
      <c r="M2787" s="4">
        <f t="shared" si="131"/>
        <v>9.7714285714285726E-2</v>
      </c>
      <c r="N2787">
        <v>700</v>
      </c>
      <c r="O2787">
        <v>640</v>
      </c>
      <c r="P2787" t="s">
        <v>25</v>
      </c>
      <c r="Q2787" t="s">
        <v>26</v>
      </c>
      <c r="R2787" t="str">
        <f>IF(COUNTIF(Sheet2!B:B, A2787) &gt; 0, "Yes", "No")</f>
        <v>No</v>
      </c>
    </row>
    <row r="2788" spans="1:18" x14ac:dyDescent="0.25">
      <c r="A2788" s="3">
        <v>45544</v>
      </c>
      <c r="B2788" t="s">
        <v>342</v>
      </c>
      <c r="C2788" t="s">
        <v>19</v>
      </c>
      <c r="D2788" t="s">
        <v>20</v>
      </c>
      <c r="E2788" t="s">
        <v>21</v>
      </c>
      <c r="F2788" t="s">
        <v>30</v>
      </c>
      <c r="G2788" t="s">
        <v>55</v>
      </c>
      <c r="H2788" t="s">
        <v>689</v>
      </c>
      <c r="I2788">
        <v>0.09</v>
      </c>
      <c r="J2788">
        <f t="shared" si="129"/>
        <v>57.599999999999994</v>
      </c>
      <c r="K2788">
        <v>2</v>
      </c>
      <c r="L2788">
        <f t="shared" si="130"/>
        <v>55.599999999999994</v>
      </c>
      <c r="M2788" s="4">
        <f t="shared" si="131"/>
        <v>7.9428571428571418E-2</v>
      </c>
      <c r="N2788">
        <v>700</v>
      </c>
      <c r="O2788">
        <v>640</v>
      </c>
      <c r="P2788" t="s">
        <v>25</v>
      </c>
      <c r="Q2788" t="s">
        <v>26</v>
      </c>
      <c r="R2788" t="str">
        <f>IF(COUNTIF(Sheet2!B:B, A2788) &gt; 0, "Yes", "No")</f>
        <v>No</v>
      </c>
    </row>
    <row r="2789" spans="1:18" x14ac:dyDescent="0.25">
      <c r="A2789" s="3">
        <v>45544</v>
      </c>
      <c r="B2789" t="s">
        <v>342</v>
      </c>
      <c r="C2789" t="s">
        <v>19</v>
      </c>
      <c r="D2789" t="s">
        <v>33</v>
      </c>
      <c r="E2789" t="s">
        <v>21</v>
      </c>
      <c r="F2789" t="s">
        <v>34</v>
      </c>
      <c r="G2789" t="s">
        <v>57</v>
      </c>
      <c r="H2789" t="s">
        <v>576</v>
      </c>
      <c r="I2789">
        <v>0.15</v>
      </c>
      <c r="J2789">
        <f t="shared" si="129"/>
        <v>60</v>
      </c>
      <c r="K2789">
        <v>2</v>
      </c>
      <c r="L2789">
        <f t="shared" si="130"/>
        <v>58</v>
      </c>
      <c r="M2789" s="4">
        <f t="shared" si="131"/>
        <v>0.11836734693877551</v>
      </c>
      <c r="N2789">
        <v>490</v>
      </c>
      <c r="O2789">
        <v>400</v>
      </c>
      <c r="P2789" t="s">
        <v>25</v>
      </c>
      <c r="Q2789" t="s">
        <v>26</v>
      </c>
      <c r="R2789" t="str">
        <f>IF(COUNTIF(Sheet2!B:B, A2789) &gt; 0, "Yes", "No")</f>
        <v>No</v>
      </c>
    </row>
    <row r="2790" spans="1:18" x14ac:dyDescent="0.25">
      <c r="A2790" s="3">
        <v>45544</v>
      </c>
      <c r="B2790" t="s">
        <v>342</v>
      </c>
      <c r="C2790" t="s">
        <v>19</v>
      </c>
      <c r="D2790" t="s">
        <v>20</v>
      </c>
      <c r="E2790" t="s">
        <v>21</v>
      </c>
      <c r="F2790" t="s">
        <v>37</v>
      </c>
      <c r="G2790" t="s">
        <v>38</v>
      </c>
      <c r="H2790" t="s">
        <v>39</v>
      </c>
      <c r="I2790">
        <v>0.03</v>
      </c>
      <c r="J2790">
        <f t="shared" si="129"/>
        <v>19.2</v>
      </c>
      <c r="K2790">
        <v>2</v>
      </c>
      <c r="L2790">
        <f t="shared" si="130"/>
        <v>17.2</v>
      </c>
      <c r="M2790" s="4">
        <f t="shared" si="131"/>
        <v>2.457142857142857E-2</v>
      </c>
      <c r="N2790">
        <v>700</v>
      </c>
      <c r="O2790">
        <v>640</v>
      </c>
      <c r="P2790" t="s">
        <v>25</v>
      </c>
      <c r="Q2790" t="s">
        <v>26</v>
      </c>
      <c r="R2790" t="str">
        <f>IF(COUNTIF(Sheet2!B:B, A2790) &gt; 0, "Yes", "No")</f>
        <v>No</v>
      </c>
    </row>
    <row r="2791" spans="1:18" x14ac:dyDescent="0.25">
      <c r="A2791" s="3">
        <v>45544</v>
      </c>
      <c r="B2791" t="s">
        <v>342</v>
      </c>
      <c r="C2791" t="s">
        <v>19</v>
      </c>
      <c r="D2791" t="s">
        <v>20</v>
      </c>
      <c r="E2791" t="s">
        <v>21</v>
      </c>
      <c r="F2791" t="s">
        <v>40</v>
      </c>
      <c r="G2791" t="s">
        <v>137</v>
      </c>
      <c r="H2791" t="s">
        <v>690</v>
      </c>
      <c r="I2791">
        <v>4.4999999999999998E-2</v>
      </c>
      <c r="J2791">
        <f t="shared" si="129"/>
        <v>28.799999999999997</v>
      </c>
      <c r="K2791">
        <v>2</v>
      </c>
      <c r="L2791">
        <f t="shared" si="130"/>
        <v>26.799999999999997</v>
      </c>
      <c r="M2791" s="4">
        <f t="shared" si="131"/>
        <v>3.8285714285714284E-2</v>
      </c>
      <c r="N2791">
        <v>700</v>
      </c>
      <c r="O2791">
        <v>640</v>
      </c>
      <c r="P2791" t="s">
        <v>25</v>
      </c>
      <c r="Q2791" t="s">
        <v>26</v>
      </c>
      <c r="R2791" t="str">
        <f>IF(COUNTIF(Sheet2!B:B, A2791) &gt; 0, "Yes", "No")</f>
        <v>No</v>
      </c>
    </row>
    <row r="2792" spans="1:18" x14ac:dyDescent="0.25">
      <c r="A2792" s="3">
        <v>45544</v>
      </c>
      <c r="B2792" t="s">
        <v>342</v>
      </c>
      <c r="C2792" t="s">
        <v>19</v>
      </c>
      <c r="D2792" t="s">
        <v>20</v>
      </c>
      <c r="E2792" t="s">
        <v>21</v>
      </c>
      <c r="F2792" t="s">
        <v>43</v>
      </c>
      <c r="G2792" t="s">
        <v>159</v>
      </c>
      <c r="H2792" t="s">
        <v>160</v>
      </c>
      <c r="I2792">
        <v>0.11</v>
      </c>
      <c r="J2792">
        <f t="shared" si="129"/>
        <v>70.400000000000006</v>
      </c>
      <c r="K2792">
        <v>3</v>
      </c>
      <c r="L2792">
        <f t="shared" si="130"/>
        <v>67.400000000000006</v>
      </c>
      <c r="M2792" s="4">
        <f t="shared" si="131"/>
        <v>9.6285714285714294E-2</v>
      </c>
      <c r="N2792">
        <v>700</v>
      </c>
      <c r="O2792">
        <v>640</v>
      </c>
      <c r="P2792" t="s">
        <v>25</v>
      </c>
      <c r="Q2792" t="s">
        <v>26</v>
      </c>
      <c r="R2792" t="str">
        <f>IF(COUNTIF(Sheet2!B:B, A2792) &gt; 0, "Yes", "No")</f>
        <v>No</v>
      </c>
    </row>
    <row r="2793" spans="1:18" x14ac:dyDescent="0.25">
      <c r="A2793" s="3">
        <v>45544</v>
      </c>
      <c r="B2793" t="s">
        <v>342</v>
      </c>
      <c r="C2793" t="s">
        <v>19</v>
      </c>
      <c r="D2793" t="s">
        <v>20</v>
      </c>
      <c r="E2793" t="s">
        <v>21</v>
      </c>
      <c r="F2793" t="s">
        <v>46</v>
      </c>
      <c r="G2793" t="s">
        <v>47</v>
      </c>
      <c r="H2793" t="s">
        <v>141</v>
      </c>
      <c r="I2793">
        <v>8.5000000000000006E-2</v>
      </c>
      <c r="J2793">
        <f t="shared" si="129"/>
        <v>54.400000000000006</v>
      </c>
      <c r="K2793">
        <v>2</v>
      </c>
      <c r="L2793">
        <f t="shared" si="130"/>
        <v>52.400000000000006</v>
      </c>
      <c r="M2793" s="4">
        <f t="shared" si="131"/>
        <v>7.4857142857142872E-2</v>
      </c>
      <c r="N2793">
        <v>700</v>
      </c>
      <c r="O2793">
        <v>640</v>
      </c>
      <c r="P2793" t="s">
        <v>25</v>
      </c>
      <c r="Q2793" t="s">
        <v>26</v>
      </c>
      <c r="R2793" t="str">
        <f>IF(COUNTIF(Sheet2!B:B, A2793) &gt; 0, "Yes", "No")</f>
        <v>No</v>
      </c>
    </row>
    <row r="2794" spans="1:18" x14ac:dyDescent="0.25">
      <c r="A2794" s="3">
        <v>45544</v>
      </c>
      <c r="B2794" t="s">
        <v>342</v>
      </c>
      <c r="C2794" t="s">
        <v>19</v>
      </c>
      <c r="D2794" t="s">
        <v>20</v>
      </c>
      <c r="E2794" t="s">
        <v>21</v>
      </c>
      <c r="F2794" t="s">
        <v>49</v>
      </c>
      <c r="G2794" t="s">
        <v>50</v>
      </c>
      <c r="H2794" t="s">
        <v>49</v>
      </c>
      <c r="I2794">
        <v>0.09</v>
      </c>
      <c r="J2794">
        <f t="shared" si="129"/>
        <v>57.599999999999994</v>
      </c>
      <c r="K2794">
        <v>1</v>
      </c>
      <c r="L2794">
        <f t="shared" si="130"/>
        <v>56.599999999999994</v>
      </c>
      <c r="M2794" s="4">
        <f t="shared" si="131"/>
        <v>8.085714285714285E-2</v>
      </c>
      <c r="N2794">
        <v>700</v>
      </c>
      <c r="O2794">
        <v>640</v>
      </c>
      <c r="P2794" t="s">
        <v>25</v>
      </c>
      <c r="Q2794" t="s">
        <v>26</v>
      </c>
      <c r="R2794" t="str">
        <f>IF(COUNTIF(Sheet2!B:B, A2794) &gt; 0, "Yes", "No")</f>
        <v>No</v>
      </c>
    </row>
    <row r="2795" spans="1:18" x14ac:dyDescent="0.25">
      <c r="A2795" s="3">
        <v>45545</v>
      </c>
      <c r="B2795" t="s">
        <v>342</v>
      </c>
      <c r="C2795" t="s">
        <v>105</v>
      </c>
      <c r="D2795" t="s">
        <v>20</v>
      </c>
      <c r="E2795" t="s">
        <v>67</v>
      </c>
      <c r="F2795" t="s">
        <v>22</v>
      </c>
      <c r="G2795" t="s">
        <v>94</v>
      </c>
      <c r="H2795" t="s">
        <v>691</v>
      </c>
      <c r="I2795">
        <v>8.5000000000000006E-2</v>
      </c>
      <c r="J2795">
        <f t="shared" si="129"/>
        <v>57.800000000000004</v>
      </c>
      <c r="K2795">
        <v>0</v>
      </c>
      <c r="L2795">
        <f t="shared" si="130"/>
        <v>57.800000000000004</v>
      </c>
      <c r="M2795" s="4">
        <f t="shared" si="131"/>
        <v>7.7066666666666672E-2</v>
      </c>
      <c r="N2795">
        <v>750</v>
      </c>
      <c r="O2795">
        <v>680</v>
      </c>
      <c r="P2795" t="s">
        <v>25</v>
      </c>
      <c r="Q2795" t="s">
        <v>26</v>
      </c>
      <c r="R2795" t="str">
        <f>IF(COUNTIF(Sheet2!B:B, A2795) &gt; 0, "Yes", "No")</f>
        <v>No</v>
      </c>
    </row>
    <row r="2796" spans="1:18" x14ac:dyDescent="0.25">
      <c r="A2796" s="3">
        <v>45545</v>
      </c>
      <c r="B2796" t="s">
        <v>342</v>
      </c>
      <c r="C2796" t="s">
        <v>105</v>
      </c>
      <c r="D2796" t="s">
        <v>20</v>
      </c>
      <c r="E2796" t="s">
        <v>67</v>
      </c>
      <c r="F2796" t="s">
        <v>27</v>
      </c>
      <c r="G2796" t="s">
        <v>28</v>
      </c>
      <c r="H2796" t="s">
        <v>648</v>
      </c>
      <c r="I2796">
        <v>0.11</v>
      </c>
      <c r="J2796">
        <f t="shared" si="129"/>
        <v>74.8</v>
      </c>
      <c r="K2796">
        <v>3</v>
      </c>
      <c r="L2796">
        <f t="shared" si="130"/>
        <v>71.8</v>
      </c>
      <c r="M2796" s="4">
        <f t="shared" si="131"/>
        <v>9.5733333333333323E-2</v>
      </c>
      <c r="N2796">
        <v>750</v>
      </c>
      <c r="O2796">
        <v>680</v>
      </c>
      <c r="P2796" t="s">
        <v>25</v>
      </c>
      <c r="Q2796" t="s">
        <v>26</v>
      </c>
      <c r="R2796" t="str">
        <f>IF(COUNTIF(Sheet2!B:B, A2796) &gt; 0, "Yes", "No")</f>
        <v>No</v>
      </c>
    </row>
    <row r="2797" spans="1:18" x14ac:dyDescent="0.25">
      <c r="A2797" s="3">
        <v>45545</v>
      </c>
      <c r="B2797" t="s">
        <v>342</v>
      </c>
      <c r="C2797" t="s">
        <v>105</v>
      </c>
      <c r="D2797" t="s">
        <v>20</v>
      </c>
      <c r="E2797" t="s">
        <v>67</v>
      </c>
      <c r="F2797" t="s">
        <v>30</v>
      </c>
      <c r="G2797" t="s">
        <v>55</v>
      </c>
      <c r="H2797" t="s">
        <v>183</v>
      </c>
      <c r="I2797">
        <v>0.09</v>
      </c>
      <c r="J2797">
        <f t="shared" si="129"/>
        <v>61.199999999999996</v>
      </c>
      <c r="K2797">
        <v>0.5</v>
      </c>
      <c r="L2797">
        <f t="shared" si="130"/>
        <v>60.699999999999996</v>
      </c>
      <c r="M2797" s="4">
        <f t="shared" si="131"/>
        <v>8.0933333333333329E-2</v>
      </c>
      <c r="N2797">
        <v>750</v>
      </c>
      <c r="O2797">
        <v>680</v>
      </c>
      <c r="P2797" t="s">
        <v>25</v>
      </c>
      <c r="Q2797" t="s">
        <v>26</v>
      </c>
      <c r="R2797" t="str">
        <f>IF(COUNTIF(Sheet2!B:B, A2797) &gt; 0, "Yes", "No")</f>
        <v>No</v>
      </c>
    </row>
    <row r="2798" spans="1:18" x14ac:dyDescent="0.25">
      <c r="A2798" s="3">
        <v>45545</v>
      </c>
      <c r="B2798" t="s">
        <v>342</v>
      </c>
      <c r="C2798" t="s">
        <v>105</v>
      </c>
      <c r="D2798" t="s">
        <v>20</v>
      </c>
      <c r="E2798" t="s">
        <v>67</v>
      </c>
      <c r="F2798" t="s">
        <v>37</v>
      </c>
      <c r="G2798" t="s">
        <v>59</v>
      </c>
      <c r="H2798" t="s">
        <v>60</v>
      </c>
      <c r="I2798">
        <v>3.5000000000000003E-2</v>
      </c>
      <c r="J2798">
        <f t="shared" si="129"/>
        <v>23.8</v>
      </c>
      <c r="K2798">
        <v>2</v>
      </c>
      <c r="L2798">
        <f t="shared" si="130"/>
        <v>21.8</v>
      </c>
      <c r="M2798" s="4">
        <f t="shared" si="131"/>
        <v>2.9066666666666668E-2</v>
      </c>
      <c r="N2798">
        <v>750</v>
      </c>
      <c r="O2798">
        <v>680</v>
      </c>
      <c r="P2798" t="s">
        <v>25</v>
      </c>
      <c r="Q2798" t="s">
        <v>26</v>
      </c>
      <c r="R2798" t="str">
        <f>IF(COUNTIF(Sheet2!B:B, A2798) &gt; 0, "Yes", "No")</f>
        <v>No</v>
      </c>
    </row>
    <row r="2799" spans="1:18" x14ac:dyDescent="0.25">
      <c r="A2799" s="3">
        <v>45545</v>
      </c>
      <c r="B2799" t="s">
        <v>342</v>
      </c>
      <c r="C2799" t="s">
        <v>105</v>
      </c>
      <c r="D2799" t="s">
        <v>20</v>
      </c>
      <c r="E2799" t="s">
        <v>67</v>
      </c>
      <c r="F2799" t="s">
        <v>40</v>
      </c>
      <c r="G2799" t="s">
        <v>127</v>
      </c>
      <c r="H2799" t="s">
        <v>358</v>
      </c>
      <c r="I2799">
        <v>0.05</v>
      </c>
      <c r="J2799">
        <f t="shared" si="129"/>
        <v>34</v>
      </c>
      <c r="K2799">
        <v>1</v>
      </c>
      <c r="L2799">
        <f t="shared" si="130"/>
        <v>33</v>
      </c>
      <c r="M2799" s="4">
        <f t="shared" si="131"/>
        <v>4.3999999999999997E-2</v>
      </c>
      <c r="N2799">
        <v>750</v>
      </c>
      <c r="O2799">
        <v>680</v>
      </c>
      <c r="P2799" t="s">
        <v>25</v>
      </c>
      <c r="Q2799" t="s">
        <v>26</v>
      </c>
      <c r="R2799" t="str">
        <f>IF(COUNTIF(Sheet2!B:B, A2799) &gt; 0, "Yes", "No")</f>
        <v>No</v>
      </c>
    </row>
    <row r="2800" spans="1:18" x14ac:dyDescent="0.25">
      <c r="A2800" s="3">
        <v>45545</v>
      </c>
      <c r="B2800" t="s">
        <v>342</v>
      </c>
      <c r="C2800" t="s">
        <v>105</v>
      </c>
      <c r="D2800" t="s">
        <v>20</v>
      </c>
      <c r="E2800" t="s">
        <v>67</v>
      </c>
      <c r="F2800" t="s">
        <v>43</v>
      </c>
      <c r="G2800" t="s">
        <v>75</v>
      </c>
      <c r="H2800" t="s">
        <v>120</v>
      </c>
      <c r="I2800">
        <v>0.11</v>
      </c>
      <c r="J2800">
        <f t="shared" si="129"/>
        <v>74.8</v>
      </c>
      <c r="K2800">
        <v>2</v>
      </c>
      <c r="L2800">
        <f t="shared" si="130"/>
        <v>72.8</v>
      </c>
      <c r="M2800" s="4">
        <f t="shared" si="131"/>
        <v>9.7066666666666662E-2</v>
      </c>
      <c r="N2800">
        <v>750</v>
      </c>
      <c r="O2800">
        <v>680</v>
      </c>
      <c r="P2800" t="s">
        <v>25</v>
      </c>
      <c r="Q2800" t="s">
        <v>26</v>
      </c>
      <c r="R2800" t="str">
        <f>IF(COUNTIF(Sheet2!B:B, A2800) &gt; 0, "Yes", "No")</f>
        <v>No</v>
      </c>
    </row>
    <row r="2801" spans="1:18" x14ac:dyDescent="0.25">
      <c r="A2801" s="3">
        <v>45545</v>
      </c>
      <c r="B2801" t="s">
        <v>342</v>
      </c>
      <c r="C2801" t="s">
        <v>105</v>
      </c>
      <c r="D2801" t="s">
        <v>20</v>
      </c>
      <c r="E2801" t="s">
        <v>67</v>
      </c>
      <c r="F2801" t="s">
        <v>46</v>
      </c>
      <c r="G2801" t="s">
        <v>92</v>
      </c>
      <c r="H2801" t="s">
        <v>484</v>
      </c>
      <c r="I2801">
        <v>8.5000000000000006E-2</v>
      </c>
      <c r="J2801">
        <f t="shared" si="129"/>
        <v>57.800000000000004</v>
      </c>
      <c r="K2801">
        <v>0</v>
      </c>
      <c r="L2801">
        <f t="shared" si="130"/>
        <v>57.800000000000004</v>
      </c>
      <c r="M2801" s="4">
        <f t="shared" si="131"/>
        <v>7.7066666666666672E-2</v>
      </c>
      <c r="N2801">
        <v>750</v>
      </c>
      <c r="O2801">
        <v>680</v>
      </c>
      <c r="P2801" t="s">
        <v>25</v>
      </c>
      <c r="Q2801" t="s">
        <v>26</v>
      </c>
      <c r="R2801" t="str">
        <f>IF(COUNTIF(Sheet2!B:B, A2801) &gt; 0, "Yes", "No")</f>
        <v>No</v>
      </c>
    </row>
    <row r="2802" spans="1:18" x14ac:dyDescent="0.25">
      <c r="A2802" s="3">
        <v>45545</v>
      </c>
      <c r="B2802" t="s">
        <v>342</v>
      </c>
      <c r="C2802" t="s">
        <v>105</v>
      </c>
      <c r="D2802" t="s">
        <v>20</v>
      </c>
      <c r="E2802" t="s">
        <v>67</v>
      </c>
      <c r="F2802" t="s">
        <v>49</v>
      </c>
      <c r="G2802" t="s">
        <v>50</v>
      </c>
      <c r="H2802" t="s">
        <v>49</v>
      </c>
      <c r="I2802">
        <v>0.09</v>
      </c>
      <c r="J2802">
        <f t="shared" si="129"/>
        <v>61.199999999999996</v>
      </c>
      <c r="K2802">
        <v>1</v>
      </c>
      <c r="L2802">
        <f t="shared" si="130"/>
        <v>60.199999999999996</v>
      </c>
      <c r="M2802" s="4">
        <f t="shared" si="131"/>
        <v>8.0266666666666667E-2</v>
      </c>
      <c r="N2802">
        <v>750</v>
      </c>
      <c r="O2802">
        <v>680</v>
      </c>
      <c r="P2802" t="s">
        <v>25</v>
      </c>
      <c r="Q2802" t="s">
        <v>26</v>
      </c>
      <c r="R2802" t="str">
        <f>IF(COUNTIF(Sheet2!B:B, A2802) &gt; 0, "Yes", "No")</f>
        <v>No</v>
      </c>
    </row>
    <row r="2803" spans="1:18" x14ac:dyDescent="0.25">
      <c r="A2803" s="3">
        <v>45546</v>
      </c>
      <c r="B2803" t="s">
        <v>342</v>
      </c>
      <c r="C2803" t="s">
        <v>51</v>
      </c>
      <c r="D2803" t="s">
        <v>20</v>
      </c>
      <c r="E2803" t="s">
        <v>21</v>
      </c>
      <c r="F2803" t="s">
        <v>22</v>
      </c>
      <c r="G2803" t="s">
        <v>52</v>
      </c>
      <c r="H2803" t="s">
        <v>572</v>
      </c>
      <c r="I2803">
        <v>8.5000000000000006E-2</v>
      </c>
      <c r="J2803">
        <f t="shared" si="129"/>
        <v>68</v>
      </c>
      <c r="K2803">
        <v>2</v>
      </c>
      <c r="L2803">
        <f t="shared" si="130"/>
        <v>66</v>
      </c>
      <c r="M2803" s="4">
        <f t="shared" si="131"/>
        <v>7.3333333333333334E-2</v>
      </c>
      <c r="N2803">
        <v>900</v>
      </c>
      <c r="O2803">
        <v>800</v>
      </c>
      <c r="P2803" t="s">
        <v>25</v>
      </c>
      <c r="Q2803" t="s">
        <v>26</v>
      </c>
      <c r="R2803" t="str">
        <f>IF(COUNTIF(Sheet2!B:B, A2803) &gt; 0, "Yes", "No")</f>
        <v>No</v>
      </c>
    </row>
    <row r="2804" spans="1:18" x14ac:dyDescent="0.25">
      <c r="A2804" s="3">
        <v>45546</v>
      </c>
      <c r="B2804" t="s">
        <v>342</v>
      </c>
      <c r="C2804" t="s">
        <v>51</v>
      </c>
      <c r="D2804" t="s">
        <v>20</v>
      </c>
      <c r="E2804" t="s">
        <v>21</v>
      </c>
      <c r="F2804" t="s">
        <v>27</v>
      </c>
      <c r="G2804" t="s">
        <v>28</v>
      </c>
      <c r="H2804" t="s">
        <v>692</v>
      </c>
      <c r="I2804">
        <v>0.11</v>
      </c>
      <c r="J2804">
        <f t="shared" si="129"/>
        <v>88</v>
      </c>
      <c r="K2804">
        <v>0</v>
      </c>
      <c r="L2804">
        <f t="shared" si="130"/>
        <v>88</v>
      </c>
      <c r="M2804" s="4">
        <f t="shared" si="131"/>
        <v>9.7777777777777783E-2</v>
      </c>
      <c r="N2804">
        <v>900</v>
      </c>
      <c r="O2804">
        <v>800</v>
      </c>
      <c r="P2804" t="s">
        <v>25</v>
      </c>
      <c r="Q2804" t="s">
        <v>26</v>
      </c>
      <c r="R2804" t="str">
        <f>IF(COUNTIF(Sheet2!B:B, A2804) &gt; 0, "Yes", "No")</f>
        <v>No</v>
      </c>
    </row>
    <row r="2805" spans="1:18" x14ac:dyDescent="0.25">
      <c r="A2805" s="3">
        <v>45546</v>
      </c>
      <c r="B2805" t="s">
        <v>342</v>
      </c>
      <c r="C2805" t="s">
        <v>51</v>
      </c>
      <c r="D2805" t="s">
        <v>20</v>
      </c>
      <c r="E2805" t="s">
        <v>21</v>
      </c>
      <c r="F2805" t="s">
        <v>30</v>
      </c>
      <c r="G2805" t="s">
        <v>31</v>
      </c>
      <c r="H2805" t="s">
        <v>389</v>
      </c>
      <c r="I2805">
        <v>0.09</v>
      </c>
      <c r="J2805">
        <f t="shared" si="129"/>
        <v>72</v>
      </c>
      <c r="K2805">
        <v>3</v>
      </c>
      <c r="L2805">
        <f t="shared" si="130"/>
        <v>69</v>
      </c>
      <c r="M2805" s="4">
        <f t="shared" si="131"/>
        <v>7.6666666666666661E-2</v>
      </c>
      <c r="N2805">
        <v>900</v>
      </c>
      <c r="O2805">
        <v>800</v>
      </c>
      <c r="P2805" t="s">
        <v>25</v>
      </c>
      <c r="Q2805" t="s">
        <v>26</v>
      </c>
      <c r="R2805" t="str">
        <f>IF(COUNTIF(Sheet2!B:B, A2805) &gt; 0, "Yes", "No")</f>
        <v>No</v>
      </c>
    </row>
    <row r="2806" spans="1:18" x14ac:dyDescent="0.25">
      <c r="A2806" s="3">
        <v>45546</v>
      </c>
      <c r="B2806" t="s">
        <v>342</v>
      </c>
      <c r="C2806" t="s">
        <v>51</v>
      </c>
      <c r="D2806" t="s">
        <v>33</v>
      </c>
      <c r="E2806" t="s">
        <v>21</v>
      </c>
      <c r="F2806" t="s">
        <v>34</v>
      </c>
      <c r="G2806" t="s">
        <v>57</v>
      </c>
      <c r="H2806" t="s">
        <v>693</v>
      </c>
      <c r="I2806">
        <v>0.15</v>
      </c>
      <c r="J2806">
        <f t="shared" si="129"/>
        <v>82.5</v>
      </c>
      <c r="K2806">
        <v>1</v>
      </c>
      <c r="L2806">
        <f t="shared" si="130"/>
        <v>81.5</v>
      </c>
      <c r="M2806" s="4">
        <f t="shared" si="131"/>
        <v>0.12936507936507938</v>
      </c>
      <c r="N2806">
        <v>630</v>
      </c>
      <c r="O2806">
        <v>550</v>
      </c>
      <c r="P2806" t="s">
        <v>25</v>
      </c>
      <c r="Q2806" t="s">
        <v>26</v>
      </c>
      <c r="R2806" t="str">
        <f>IF(COUNTIF(Sheet2!B:B, A2806) &gt; 0, "Yes", "No")</f>
        <v>No</v>
      </c>
    </row>
    <row r="2807" spans="1:18" x14ac:dyDescent="0.25">
      <c r="A2807" s="3">
        <v>45546</v>
      </c>
      <c r="B2807" t="s">
        <v>342</v>
      </c>
      <c r="C2807" t="s">
        <v>51</v>
      </c>
      <c r="D2807" t="s">
        <v>20</v>
      </c>
      <c r="E2807" t="s">
        <v>21</v>
      </c>
      <c r="F2807" t="s">
        <v>37</v>
      </c>
      <c r="G2807" t="s">
        <v>71</v>
      </c>
      <c r="H2807" t="s">
        <v>72</v>
      </c>
      <c r="I2807">
        <v>0.03</v>
      </c>
      <c r="J2807">
        <f t="shared" si="129"/>
        <v>24</v>
      </c>
      <c r="K2807">
        <v>4</v>
      </c>
      <c r="L2807">
        <f t="shared" si="130"/>
        <v>20</v>
      </c>
      <c r="M2807" s="4">
        <f t="shared" si="131"/>
        <v>2.2222222222222223E-2</v>
      </c>
      <c r="N2807">
        <v>900</v>
      </c>
      <c r="O2807">
        <v>800</v>
      </c>
      <c r="P2807" t="s">
        <v>25</v>
      </c>
      <c r="Q2807" t="s">
        <v>26</v>
      </c>
      <c r="R2807" t="str">
        <f>IF(COUNTIF(Sheet2!B:B, A2807) &gt; 0, "Yes", "No")</f>
        <v>No</v>
      </c>
    </row>
    <row r="2808" spans="1:18" x14ac:dyDescent="0.25">
      <c r="A2808" s="3">
        <v>45546</v>
      </c>
      <c r="B2808" t="s">
        <v>342</v>
      </c>
      <c r="C2808" t="s">
        <v>51</v>
      </c>
      <c r="D2808" t="s">
        <v>20</v>
      </c>
      <c r="E2808" t="s">
        <v>21</v>
      </c>
      <c r="F2808" t="s">
        <v>40</v>
      </c>
      <c r="G2808" t="s">
        <v>127</v>
      </c>
      <c r="H2808" t="s">
        <v>127</v>
      </c>
      <c r="I2808">
        <v>4.4999999999999998E-2</v>
      </c>
      <c r="J2808">
        <f t="shared" si="129"/>
        <v>36</v>
      </c>
      <c r="K2808">
        <v>3</v>
      </c>
      <c r="L2808">
        <f t="shared" si="130"/>
        <v>33</v>
      </c>
      <c r="M2808" s="4">
        <f t="shared" si="131"/>
        <v>3.6666666666666667E-2</v>
      </c>
      <c r="N2808">
        <v>900</v>
      </c>
      <c r="O2808">
        <v>800</v>
      </c>
      <c r="P2808" t="s">
        <v>25</v>
      </c>
      <c r="Q2808" t="s">
        <v>26</v>
      </c>
      <c r="R2808" t="str">
        <f>IF(COUNTIF(Sheet2!B:B, A2808) &gt; 0, "Yes", "No")</f>
        <v>No</v>
      </c>
    </row>
    <row r="2809" spans="1:18" x14ac:dyDescent="0.25">
      <c r="A2809" s="3">
        <v>45546</v>
      </c>
      <c r="B2809" t="s">
        <v>342</v>
      </c>
      <c r="C2809" t="s">
        <v>51</v>
      </c>
      <c r="D2809" t="s">
        <v>20</v>
      </c>
      <c r="E2809" t="s">
        <v>21</v>
      </c>
      <c r="F2809" t="s">
        <v>43</v>
      </c>
      <c r="G2809" t="s">
        <v>44</v>
      </c>
      <c r="H2809" t="s">
        <v>382</v>
      </c>
      <c r="I2809">
        <v>0.11</v>
      </c>
      <c r="J2809">
        <f t="shared" si="129"/>
        <v>88</v>
      </c>
      <c r="K2809">
        <v>1</v>
      </c>
      <c r="L2809">
        <f t="shared" si="130"/>
        <v>87</v>
      </c>
      <c r="M2809" s="4">
        <f t="shared" si="131"/>
        <v>9.6666666666666665E-2</v>
      </c>
      <c r="N2809">
        <v>900</v>
      </c>
      <c r="O2809">
        <v>800</v>
      </c>
      <c r="P2809" t="s">
        <v>25</v>
      </c>
      <c r="Q2809" t="s">
        <v>26</v>
      </c>
      <c r="R2809" t="str">
        <f>IF(COUNTIF(Sheet2!B:B, A2809) &gt; 0, "Yes", "No")</f>
        <v>No</v>
      </c>
    </row>
    <row r="2810" spans="1:18" x14ac:dyDescent="0.25">
      <c r="A2810" s="3">
        <v>45546</v>
      </c>
      <c r="B2810" t="s">
        <v>342</v>
      </c>
      <c r="C2810" t="s">
        <v>51</v>
      </c>
      <c r="D2810" t="s">
        <v>20</v>
      </c>
      <c r="E2810" t="s">
        <v>21</v>
      </c>
      <c r="F2810" t="s">
        <v>46</v>
      </c>
      <c r="G2810" t="s">
        <v>47</v>
      </c>
      <c r="H2810" t="s">
        <v>694</v>
      </c>
      <c r="I2810">
        <v>8.5000000000000006E-2</v>
      </c>
      <c r="J2810">
        <f t="shared" si="129"/>
        <v>68</v>
      </c>
      <c r="K2810">
        <v>6</v>
      </c>
      <c r="L2810">
        <f t="shared" si="130"/>
        <v>62</v>
      </c>
      <c r="M2810" s="4">
        <f t="shared" si="131"/>
        <v>6.8888888888888888E-2</v>
      </c>
      <c r="N2810">
        <v>900</v>
      </c>
      <c r="O2810">
        <v>800</v>
      </c>
      <c r="P2810" t="s">
        <v>25</v>
      </c>
      <c r="Q2810" t="s">
        <v>26</v>
      </c>
      <c r="R2810" t="str">
        <f>IF(COUNTIF(Sheet2!B:B, A2810) &gt; 0, "Yes", "No")</f>
        <v>No</v>
      </c>
    </row>
    <row r="2811" spans="1:18" x14ac:dyDescent="0.25">
      <c r="A2811" s="3">
        <v>45546</v>
      </c>
      <c r="B2811" t="s">
        <v>342</v>
      </c>
      <c r="C2811" t="s">
        <v>51</v>
      </c>
      <c r="D2811" t="s">
        <v>20</v>
      </c>
      <c r="E2811" t="s">
        <v>21</v>
      </c>
      <c r="F2811" t="s">
        <v>49</v>
      </c>
      <c r="G2811" t="s">
        <v>50</v>
      </c>
      <c r="H2811" t="s">
        <v>49</v>
      </c>
      <c r="I2811">
        <v>0.09</v>
      </c>
      <c r="J2811">
        <f t="shared" si="129"/>
        <v>72</v>
      </c>
      <c r="K2811">
        <v>4</v>
      </c>
      <c r="L2811">
        <f t="shared" si="130"/>
        <v>68</v>
      </c>
      <c r="M2811" s="4">
        <f t="shared" si="131"/>
        <v>7.5555555555555556E-2</v>
      </c>
      <c r="N2811">
        <v>900</v>
      </c>
      <c r="O2811">
        <v>800</v>
      </c>
      <c r="P2811" t="s">
        <v>25</v>
      </c>
      <c r="Q2811" t="s">
        <v>26</v>
      </c>
      <c r="R2811" t="str">
        <f>IF(COUNTIF(Sheet2!B:B, A2811) &gt; 0, "Yes", "No")</f>
        <v>No</v>
      </c>
    </row>
    <row r="2812" spans="1:18" x14ac:dyDescent="0.25">
      <c r="A2812" s="3">
        <v>45547</v>
      </c>
      <c r="B2812" t="s">
        <v>342</v>
      </c>
      <c r="C2812" t="s">
        <v>66</v>
      </c>
      <c r="D2812" t="s">
        <v>20</v>
      </c>
      <c r="E2812" t="s">
        <v>67</v>
      </c>
      <c r="F2812" t="s">
        <v>22</v>
      </c>
      <c r="G2812" t="s">
        <v>94</v>
      </c>
      <c r="H2812" t="s">
        <v>368</v>
      </c>
      <c r="I2812">
        <v>8.5000000000000006E-2</v>
      </c>
      <c r="J2812">
        <f t="shared" si="129"/>
        <v>46.75</v>
      </c>
      <c r="K2812">
        <v>0</v>
      </c>
      <c r="L2812">
        <f t="shared" si="130"/>
        <v>46.75</v>
      </c>
      <c r="M2812" s="4">
        <f t="shared" si="131"/>
        <v>7.7916666666666662E-2</v>
      </c>
      <c r="N2812">
        <v>600</v>
      </c>
      <c r="O2812">
        <v>550</v>
      </c>
      <c r="P2812" t="s">
        <v>25</v>
      </c>
      <c r="Q2812" t="s">
        <v>26</v>
      </c>
      <c r="R2812" t="str">
        <f>IF(COUNTIF(Sheet2!B:B, A2812) &gt; 0, "Yes", "No")</f>
        <v>No</v>
      </c>
    </row>
    <row r="2813" spans="1:18" x14ac:dyDescent="0.25">
      <c r="A2813" s="3">
        <v>45547</v>
      </c>
      <c r="B2813" t="s">
        <v>342</v>
      </c>
      <c r="C2813" t="s">
        <v>66</v>
      </c>
      <c r="D2813" t="s">
        <v>20</v>
      </c>
      <c r="E2813" t="s">
        <v>67</v>
      </c>
      <c r="F2813" t="s">
        <v>27</v>
      </c>
      <c r="G2813" t="s">
        <v>304</v>
      </c>
      <c r="H2813" t="s">
        <v>569</v>
      </c>
      <c r="I2813">
        <v>0.12</v>
      </c>
      <c r="J2813">
        <f t="shared" si="129"/>
        <v>66</v>
      </c>
      <c r="K2813">
        <v>1</v>
      </c>
      <c r="L2813">
        <f t="shared" si="130"/>
        <v>65</v>
      </c>
      <c r="M2813" s="4">
        <f t="shared" si="131"/>
        <v>0.10833333333333334</v>
      </c>
      <c r="N2813">
        <v>600</v>
      </c>
      <c r="O2813">
        <v>550</v>
      </c>
      <c r="P2813" t="s">
        <v>25</v>
      </c>
      <c r="Q2813" t="s">
        <v>26</v>
      </c>
      <c r="R2813" t="str">
        <f>IF(COUNTIF(Sheet2!B:B, A2813) &gt; 0, "Yes", "No")</f>
        <v>No</v>
      </c>
    </row>
    <row r="2814" spans="1:18" x14ac:dyDescent="0.25">
      <c r="A2814" s="3">
        <v>45547</v>
      </c>
      <c r="B2814" t="s">
        <v>342</v>
      </c>
      <c r="C2814" t="s">
        <v>66</v>
      </c>
      <c r="D2814" t="s">
        <v>20</v>
      </c>
      <c r="E2814" t="s">
        <v>67</v>
      </c>
      <c r="F2814" t="s">
        <v>30</v>
      </c>
      <c r="G2814" t="s">
        <v>55</v>
      </c>
      <c r="H2814" t="s">
        <v>97</v>
      </c>
      <c r="I2814">
        <v>0.09</v>
      </c>
      <c r="J2814">
        <f t="shared" si="129"/>
        <v>49.5</v>
      </c>
      <c r="K2814">
        <v>1</v>
      </c>
      <c r="L2814">
        <f t="shared" si="130"/>
        <v>48.5</v>
      </c>
      <c r="M2814" s="4">
        <f t="shared" si="131"/>
        <v>8.0833333333333326E-2</v>
      </c>
      <c r="N2814">
        <v>600</v>
      </c>
      <c r="O2814">
        <v>550</v>
      </c>
      <c r="P2814" t="s">
        <v>25</v>
      </c>
      <c r="Q2814" t="s">
        <v>26</v>
      </c>
      <c r="R2814" t="str">
        <f>IF(COUNTIF(Sheet2!B:B, A2814) &gt; 0, "Yes", "No")</f>
        <v>No</v>
      </c>
    </row>
    <row r="2815" spans="1:18" x14ac:dyDescent="0.25">
      <c r="A2815" s="3">
        <v>45547</v>
      </c>
      <c r="B2815" t="s">
        <v>342</v>
      </c>
      <c r="C2815" t="s">
        <v>66</v>
      </c>
      <c r="D2815" t="s">
        <v>20</v>
      </c>
      <c r="E2815" t="s">
        <v>67</v>
      </c>
      <c r="F2815" t="s">
        <v>37</v>
      </c>
      <c r="G2815" t="s">
        <v>87</v>
      </c>
      <c r="H2815" t="s">
        <v>99</v>
      </c>
      <c r="I2815">
        <v>3.5000000000000003E-2</v>
      </c>
      <c r="J2815">
        <f t="shared" si="129"/>
        <v>19.250000000000004</v>
      </c>
      <c r="K2815">
        <v>1</v>
      </c>
      <c r="L2815">
        <f t="shared" si="130"/>
        <v>18.250000000000004</v>
      </c>
      <c r="M2815" s="4">
        <f t="shared" si="131"/>
        <v>3.0416666666666672E-2</v>
      </c>
      <c r="N2815">
        <v>600</v>
      </c>
      <c r="O2815">
        <v>550</v>
      </c>
      <c r="P2815" t="s">
        <v>25</v>
      </c>
      <c r="Q2815" t="s">
        <v>26</v>
      </c>
      <c r="R2815" t="str">
        <f>IF(COUNTIF(Sheet2!B:B, A2815) &gt; 0, "Yes", "No")</f>
        <v>No</v>
      </c>
    </row>
    <row r="2816" spans="1:18" x14ac:dyDescent="0.25">
      <c r="A2816" s="3">
        <v>45547</v>
      </c>
      <c r="B2816" t="s">
        <v>342</v>
      </c>
      <c r="C2816" t="s">
        <v>66</v>
      </c>
      <c r="D2816" t="s">
        <v>20</v>
      </c>
      <c r="E2816" t="s">
        <v>67</v>
      </c>
      <c r="F2816" t="s">
        <v>40</v>
      </c>
      <c r="G2816" t="s">
        <v>137</v>
      </c>
      <c r="H2816" t="s">
        <v>622</v>
      </c>
      <c r="I2816">
        <v>0.05</v>
      </c>
      <c r="J2816">
        <f t="shared" si="129"/>
        <v>27.5</v>
      </c>
      <c r="K2816">
        <v>2</v>
      </c>
      <c r="L2816">
        <f t="shared" si="130"/>
        <v>25.5</v>
      </c>
      <c r="M2816" s="4">
        <f t="shared" si="131"/>
        <v>4.2500000000000003E-2</v>
      </c>
      <c r="N2816">
        <v>600</v>
      </c>
      <c r="O2816">
        <v>550</v>
      </c>
      <c r="P2816" t="s">
        <v>25</v>
      </c>
      <c r="Q2816" t="s">
        <v>26</v>
      </c>
      <c r="R2816" t="str">
        <f>IF(COUNTIF(Sheet2!B:B, A2816) &gt; 0, "Yes", "No")</f>
        <v>No</v>
      </c>
    </row>
    <row r="2817" spans="1:18" x14ac:dyDescent="0.25">
      <c r="A2817" s="3">
        <v>45547</v>
      </c>
      <c r="B2817" t="s">
        <v>342</v>
      </c>
      <c r="C2817" t="s">
        <v>66</v>
      </c>
      <c r="D2817" t="s">
        <v>20</v>
      </c>
      <c r="E2817" t="s">
        <v>67</v>
      </c>
      <c r="F2817" t="s">
        <v>43</v>
      </c>
      <c r="G2817" t="s">
        <v>90</v>
      </c>
      <c r="H2817" t="s">
        <v>543</v>
      </c>
      <c r="I2817">
        <v>0.11</v>
      </c>
      <c r="J2817">
        <f t="shared" si="129"/>
        <v>60.5</v>
      </c>
      <c r="K2817">
        <v>2</v>
      </c>
      <c r="L2817">
        <f t="shared" si="130"/>
        <v>58.5</v>
      </c>
      <c r="M2817" s="4">
        <f t="shared" si="131"/>
        <v>9.7500000000000003E-2</v>
      </c>
      <c r="N2817">
        <v>600</v>
      </c>
      <c r="O2817">
        <v>550</v>
      </c>
      <c r="P2817" t="s">
        <v>25</v>
      </c>
      <c r="Q2817" t="s">
        <v>26</v>
      </c>
      <c r="R2817" t="str">
        <f>IF(COUNTIF(Sheet2!B:B, A2817) &gt; 0, "Yes", "No")</f>
        <v>No</v>
      </c>
    </row>
    <row r="2818" spans="1:18" x14ac:dyDescent="0.25">
      <c r="A2818" s="3">
        <v>45547</v>
      </c>
      <c r="B2818" t="s">
        <v>342</v>
      </c>
      <c r="C2818" t="s">
        <v>66</v>
      </c>
      <c r="D2818" t="s">
        <v>20</v>
      </c>
      <c r="E2818" t="s">
        <v>67</v>
      </c>
      <c r="F2818" t="s">
        <v>46</v>
      </c>
      <c r="G2818" t="s">
        <v>103</v>
      </c>
      <c r="H2818" t="s">
        <v>695</v>
      </c>
      <c r="I2818">
        <v>0.09</v>
      </c>
      <c r="J2818">
        <f t="shared" si="129"/>
        <v>49.5</v>
      </c>
      <c r="K2818">
        <v>0</v>
      </c>
      <c r="L2818">
        <f t="shared" si="130"/>
        <v>49.5</v>
      </c>
      <c r="M2818" s="4">
        <f t="shared" si="131"/>
        <v>8.2500000000000004E-2</v>
      </c>
      <c r="N2818">
        <v>600</v>
      </c>
      <c r="O2818">
        <v>550</v>
      </c>
      <c r="P2818" t="s">
        <v>25</v>
      </c>
      <c r="Q2818" t="s">
        <v>26</v>
      </c>
      <c r="R2818" t="str">
        <f>IF(COUNTIF(Sheet2!B:B, A2818) &gt; 0, "Yes", "No")</f>
        <v>No</v>
      </c>
    </row>
    <row r="2819" spans="1:18" x14ac:dyDescent="0.25">
      <c r="A2819" s="3">
        <v>45547</v>
      </c>
      <c r="B2819" t="s">
        <v>342</v>
      </c>
      <c r="C2819" t="s">
        <v>66</v>
      </c>
      <c r="D2819" t="s">
        <v>20</v>
      </c>
      <c r="E2819" t="s">
        <v>67</v>
      </c>
      <c r="F2819" t="s">
        <v>49</v>
      </c>
      <c r="G2819" t="s">
        <v>50</v>
      </c>
      <c r="H2819" t="s">
        <v>49</v>
      </c>
      <c r="I2819">
        <v>0.09</v>
      </c>
      <c r="J2819">
        <f t="shared" ref="J2819:J2882" si="132">I2819*O2819</f>
        <v>49.5</v>
      </c>
      <c r="K2819">
        <v>2</v>
      </c>
      <c r="L2819">
        <f t="shared" ref="L2819:L2882" si="133">J2819-K2819</f>
        <v>47.5</v>
      </c>
      <c r="M2819" s="4">
        <f t="shared" ref="M2819:M2882" si="134">((I2819*O2819)-K2819)/N2819</f>
        <v>7.9166666666666663E-2</v>
      </c>
      <c r="N2819">
        <v>600</v>
      </c>
      <c r="O2819">
        <v>550</v>
      </c>
      <c r="P2819" t="s">
        <v>25</v>
      </c>
      <c r="Q2819" t="s">
        <v>26</v>
      </c>
      <c r="R2819" t="str">
        <f>IF(COUNTIF(Sheet2!B:B, A2819) &gt; 0, "Yes", "No")</f>
        <v>No</v>
      </c>
    </row>
    <row r="2820" spans="1:18" x14ac:dyDescent="0.25">
      <c r="A2820" s="3">
        <v>45548</v>
      </c>
      <c r="B2820" t="s">
        <v>342</v>
      </c>
      <c r="C2820" t="s">
        <v>79</v>
      </c>
      <c r="D2820" t="s">
        <v>20</v>
      </c>
      <c r="E2820" t="s">
        <v>21</v>
      </c>
      <c r="F2820" t="s">
        <v>22</v>
      </c>
      <c r="G2820" t="s">
        <v>52</v>
      </c>
      <c r="H2820" t="s">
        <v>53</v>
      </c>
      <c r="I2820" s="5">
        <v>0.06</v>
      </c>
      <c r="J2820">
        <f t="shared" si="132"/>
        <v>27.599999999999998</v>
      </c>
      <c r="K2820">
        <v>1</v>
      </c>
      <c r="L2820">
        <f t="shared" si="133"/>
        <v>26.599999999999998</v>
      </c>
      <c r="M2820" s="4">
        <f t="shared" si="134"/>
        <v>5.1153846153846147E-2</v>
      </c>
      <c r="N2820">
        <v>520</v>
      </c>
      <c r="O2820">
        <v>460</v>
      </c>
      <c r="P2820" t="s">
        <v>25</v>
      </c>
      <c r="Q2820" t="s">
        <v>26</v>
      </c>
      <c r="R2820" t="str">
        <f>IF(COUNTIF(Sheet2!B:B, A2820) &gt; 0, "Yes", "No")</f>
        <v>Yes</v>
      </c>
    </row>
    <row r="2821" spans="1:18" x14ac:dyDescent="0.25">
      <c r="A2821" s="3">
        <v>45548</v>
      </c>
      <c r="B2821" t="s">
        <v>342</v>
      </c>
      <c r="C2821" t="s">
        <v>79</v>
      </c>
      <c r="D2821" t="s">
        <v>20</v>
      </c>
      <c r="E2821" t="s">
        <v>21</v>
      </c>
      <c r="F2821" t="s">
        <v>27</v>
      </c>
      <c r="G2821" t="s">
        <v>81</v>
      </c>
      <c r="H2821" t="s">
        <v>219</v>
      </c>
      <c r="I2821" s="5">
        <v>0.1</v>
      </c>
      <c r="J2821">
        <f t="shared" si="132"/>
        <v>46</v>
      </c>
      <c r="K2821">
        <v>2</v>
      </c>
      <c r="L2821">
        <f t="shared" si="133"/>
        <v>44</v>
      </c>
      <c r="M2821" s="4">
        <f t="shared" si="134"/>
        <v>8.461538461538462E-2</v>
      </c>
      <c r="N2821">
        <v>520</v>
      </c>
      <c r="O2821">
        <v>460</v>
      </c>
      <c r="P2821" t="s">
        <v>25</v>
      </c>
      <c r="Q2821" t="s">
        <v>26</v>
      </c>
      <c r="R2821" t="str">
        <f>IF(COUNTIF(Sheet2!B:B, A2821) &gt; 0, "Yes", "No")</f>
        <v>Yes</v>
      </c>
    </row>
    <row r="2822" spans="1:18" x14ac:dyDescent="0.25">
      <c r="A2822" s="3">
        <v>45548</v>
      </c>
      <c r="B2822" t="s">
        <v>342</v>
      </c>
      <c r="C2822" t="s">
        <v>79</v>
      </c>
      <c r="D2822" t="s">
        <v>20</v>
      </c>
      <c r="E2822" t="s">
        <v>21</v>
      </c>
      <c r="F2822" t="s">
        <v>30</v>
      </c>
      <c r="G2822" t="s">
        <v>55</v>
      </c>
      <c r="H2822" t="s">
        <v>125</v>
      </c>
      <c r="I2822" s="5">
        <v>0.06</v>
      </c>
      <c r="J2822">
        <f t="shared" si="132"/>
        <v>27.599999999999998</v>
      </c>
      <c r="K2822">
        <v>1</v>
      </c>
      <c r="L2822">
        <f t="shared" si="133"/>
        <v>26.599999999999998</v>
      </c>
      <c r="M2822" s="4">
        <f t="shared" si="134"/>
        <v>5.1153846153846147E-2</v>
      </c>
      <c r="N2822">
        <v>520</v>
      </c>
      <c r="O2822">
        <v>460</v>
      </c>
      <c r="P2822" t="s">
        <v>25</v>
      </c>
      <c r="Q2822" t="s">
        <v>26</v>
      </c>
      <c r="R2822" t="str">
        <f>IF(COUNTIF(Sheet2!B:B, A2822) &gt; 0, "Yes", "No")</f>
        <v>Yes</v>
      </c>
    </row>
    <row r="2823" spans="1:18" x14ac:dyDescent="0.25">
      <c r="A2823" s="3">
        <v>45548</v>
      </c>
      <c r="B2823" t="s">
        <v>342</v>
      </c>
      <c r="C2823" t="s">
        <v>79</v>
      </c>
      <c r="D2823" t="s">
        <v>33</v>
      </c>
      <c r="E2823" t="s">
        <v>21</v>
      </c>
      <c r="F2823" t="s">
        <v>84</v>
      </c>
      <c r="G2823" t="s">
        <v>85</v>
      </c>
      <c r="H2823" t="s">
        <v>135</v>
      </c>
      <c r="I2823" s="5">
        <v>0.3</v>
      </c>
      <c r="J2823">
        <f t="shared" si="132"/>
        <v>111</v>
      </c>
      <c r="K2823">
        <v>1</v>
      </c>
      <c r="L2823">
        <f t="shared" si="133"/>
        <v>110</v>
      </c>
      <c r="M2823" s="4">
        <f t="shared" si="134"/>
        <v>0.26442307692307693</v>
      </c>
      <c r="N2823">
        <v>416</v>
      </c>
      <c r="O2823">
        <v>370</v>
      </c>
      <c r="P2823" t="s">
        <v>25</v>
      </c>
      <c r="Q2823" t="s">
        <v>26</v>
      </c>
      <c r="R2823" t="str">
        <f>IF(COUNTIF(Sheet2!B:B, A2823) &gt; 0, "Yes", "No")</f>
        <v>Yes</v>
      </c>
    </row>
    <row r="2824" spans="1:18" x14ac:dyDescent="0.25">
      <c r="A2824" s="3">
        <v>45548</v>
      </c>
      <c r="B2824" t="s">
        <v>342</v>
      </c>
      <c r="C2824" t="s">
        <v>79</v>
      </c>
      <c r="D2824" t="s">
        <v>20</v>
      </c>
      <c r="E2824" t="s">
        <v>21</v>
      </c>
      <c r="F2824" t="s">
        <v>37</v>
      </c>
      <c r="G2824" t="s">
        <v>108</v>
      </c>
      <c r="H2824" t="s">
        <v>126</v>
      </c>
      <c r="I2824" s="5">
        <v>2.5000000000000001E-2</v>
      </c>
      <c r="J2824">
        <f t="shared" si="132"/>
        <v>11.5</v>
      </c>
      <c r="K2824">
        <v>1</v>
      </c>
      <c r="L2824">
        <f t="shared" si="133"/>
        <v>10.5</v>
      </c>
      <c r="M2824" s="4">
        <f t="shared" si="134"/>
        <v>2.0192307692307693E-2</v>
      </c>
      <c r="N2824">
        <v>520</v>
      </c>
      <c r="O2824">
        <v>460</v>
      </c>
      <c r="P2824" t="s">
        <v>25</v>
      </c>
      <c r="Q2824" t="s">
        <v>26</v>
      </c>
      <c r="R2824" t="str">
        <f>IF(COUNTIF(Sheet2!B:B, A2824) &gt; 0, "Yes", "No")</f>
        <v>Yes</v>
      </c>
    </row>
    <row r="2825" spans="1:18" x14ac:dyDescent="0.25">
      <c r="A2825" s="3">
        <v>45548</v>
      </c>
      <c r="B2825" t="s">
        <v>342</v>
      </c>
      <c r="C2825" t="s">
        <v>79</v>
      </c>
      <c r="D2825" t="s">
        <v>20</v>
      </c>
      <c r="E2825" t="s">
        <v>21</v>
      </c>
      <c r="F2825" t="s">
        <v>40</v>
      </c>
      <c r="G2825" t="s">
        <v>61</v>
      </c>
      <c r="H2825" t="s">
        <v>62</v>
      </c>
      <c r="I2825" s="5">
        <v>0.04</v>
      </c>
      <c r="J2825">
        <f t="shared" si="132"/>
        <v>18.400000000000002</v>
      </c>
      <c r="K2825">
        <v>2</v>
      </c>
      <c r="L2825">
        <f t="shared" si="133"/>
        <v>16.400000000000002</v>
      </c>
      <c r="M2825" s="4">
        <f t="shared" si="134"/>
        <v>3.1538461538461543E-2</v>
      </c>
      <c r="N2825">
        <v>520</v>
      </c>
      <c r="O2825">
        <v>460</v>
      </c>
      <c r="P2825" t="s">
        <v>25</v>
      </c>
      <c r="Q2825" t="s">
        <v>26</v>
      </c>
      <c r="R2825" t="str">
        <f>IF(COUNTIF(Sheet2!B:B, A2825) &gt; 0, "Yes", "No")</f>
        <v>Yes</v>
      </c>
    </row>
    <row r="2826" spans="1:18" x14ac:dyDescent="0.25">
      <c r="A2826" s="3">
        <v>45548</v>
      </c>
      <c r="B2826" t="s">
        <v>342</v>
      </c>
      <c r="C2826" t="s">
        <v>79</v>
      </c>
      <c r="D2826" t="s">
        <v>20</v>
      </c>
      <c r="E2826" t="s">
        <v>21</v>
      </c>
      <c r="F2826" t="s">
        <v>43</v>
      </c>
      <c r="G2826" t="s">
        <v>139</v>
      </c>
      <c r="H2826" t="s">
        <v>140</v>
      </c>
      <c r="I2826" s="5">
        <v>7.4999999999999997E-2</v>
      </c>
      <c r="J2826">
        <f t="shared" si="132"/>
        <v>34.5</v>
      </c>
      <c r="K2826">
        <v>3</v>
      </c>
      <c r="L2826">
        <f t="shared" si="133"/>
        <v>31.5</v>
      </c>
      <c r="M2826" s="4">
        <f t="shared" si="134"/>
        <v>6.0576923076923077E-2</v>
      </c>
      <c r="N2826">
        <v>520</v>
      </c>
      <c r="O2826">
        <v>460</v>
      </c>
      <c r="P2826" t="s">
        <v>25</v>
      </c>
      <c r="Q2826" t="s">
        <v>26</v>
      </c>
      <c r="R2826" t="str">
        <f>IF(COUNTIF(Sheet2!B:B, A2826) &gt; 0, "Yes", "No")</f>
        <v>Yes</v>
      </c>
    </row>
    <row r="2827" spans="1:18" x14ac:dyDescent="0.25">
      <c r="A2827" s="3">
        <v>45548</v>
      </c>
      <c r="B2827" t="s">
        <v>342</v>
      </c>
      <c r="C2827" t="s">
        <v>79</v>
      </c>
      <c r="D2827" t="s">
        <v>20</v>
      </c>
      <c r="E2827" t="s">
        <v>21</v>
      </c>
      <c r="F2827" t="s">
        <v>46</v>
      </c>
      <c r="G2827" t="s">
        <v>47</v>
      </c>
      <c r="H2827" t="s">
        <v>424</v>
      </c>
      <c r="I2827" s="5">
        <v>5.5E-2</v>
      </c>
      <c r="J2827">
        <f t="shared" si="132"/>
        <v>25.3</v>
      </c>
      <c r="K2827">
        <v>2</v>
      </c>
      <c r="L2827">
        <f t="shared" si="133"/>
        <v>23.3</v>
      </c>
      <c r="M2827" s="4">
        <f t="shared" si="134"/>
        <v>4.4807692307692312E-2</v>
      </c>
      <c r="N2827">
        <v>520</v>
      </c>
      <c r="O2827">
        <v>460</v>
      </c>
      <c r="P2827" t="s">
        <v>25</v>
      </c>
      <c r="Q2827" t="s">
        <v>26</v>
      </c>
      <c r="R2827" t="str">
        <f>IF(COUNTIF(Sheet2!B:B, A2827) &gt; 0, "Yes", "No")</f>
        <v>Yes</v>
      </c>
    </row>
    <row r="2828" spans="1:18" x14ac:dyDescent="0.25">
      <c r="A2828" s="3">
        <v>45548</v>
      </c>
      <c r="B2828" t="s">
        <v>342</v>
      </c>
      <c r="C2828" t="s">
        <v>79</v>
      </c>
      <c r="D2828" t="s">
        <v>20</v>
      </c>
      <c r="E2828" t="s">
        <v>21</v>
      </c>
      <c r="F2828" t="s">
        <v>49</v>
      </c>
      <c r="G2828" t="s">
        <v>50</v>
      </c>
      <c r="H2828" t="s">
        <v>49</v>
      </c>
      <c r="I2828" s="5">
        <v>0.04</v>
      </c>
      <c r="J2828">
        <f t="shared" si="132"/>
        <v>18.400000000000002</v>
      </c>
      <c r="K2828">
        <v>2</v>
      </c>
      <c r="L2828">
        <f t="shared" si="133"/>
        <v>16.400000000000002</v>
      </c>
      <c r="M2828" s="4">
        <f t="shared" si="134"/>
        <v>3.1538461538461543E-2</v>
      </c>
      <c r="N2828">
        <v>520</v>
      </c>
      <c r="O2828">
        <v>460</v>
      </c>
      <c r="P2828" t="s">
        <v>25</v>
      </c>
      <c r="Q2828" t="s">
        <v>26</v>
      </c>
      <c r="R2828" t="str">
        <f>IF(COUNTIF(Sheet2!B:B, A2828) &gt; 0, "Yes", "No")</f>
        <v>Yes</v>
      </c>
    </row>
    <row r="2829" spans="1:18" x14ac:dyDescent="0.25">
      <c r="A2829" s="3">
        <v>45551</v>
      </c>
      <c r="B2829" t="s">
        <v>342</v>
      </c>
      <c r="C2829" t="s">
        <v>19</v>
      </c>
      <c r="D2829" t="s">
        <v>20</v>
      </c>
      <c r="E2829" t="s">
        <v>67</v>
      </c>
      <c r="F2829" t="s">
        <v>22</v>
      </c>
      <c r="G2829" t="s">
        <v>122</v>
      </c>
      <c r="H2829" t="s">
        <v>206</v>
      </c>
      <c r="I2829">
        <v>8.5000000000000006E-2</v>
      </c>
      <c r="J2829">
        <f t="shared" si="132"/>
        <v>55.250000000000007</v>
      </c>
      <c r="K2829">
        <v>0</v>
      </c>
      <c r="L2829">
        <f t="shared" si="133"/>
        <v>55.250000000000007</v>
      </c>
      <c r="M2829" s="4">
        <f t="shared" si="134"/>
        <v>7.8928571428571445E-2</v>
      </c>
      <c r="N2829">
        <v>700</v>
      </c>
      <c r="O2829">
        <v>650</v>
      </c>
      <c r="P2829" t="s">
        <v>341</v>
      </c>
      <c r="Q2829" t="s">
        <v>320</v>
      </c>
      <c r="R2829" t="str">
        <f>IF(COUNTIF(Sheet2!B:B, A2829) &gt; 0, "Yes", "No")</f>
        <v>No</v>
      </c>
    </row>
    <row r="2830" spans="1:18" x14ac:dyDescent="0.25">
      <c r="A2830" s="3">
        <v>45551</v>
      </c>
      <c r="B2830" t="s">
        <v>342</v>
      </c>
      <c r="C2830" t="s">
        <v>19</v>
      </c>
      <c r="D2830" t="s">
        <v>20</v>
      </c>
      <c r="E2830" t="s">
        <v>67</v>
      </c>
      <c r="F2830" t="s">
        <v>27</v>
      </c>
      <c r="G2830" t="s">
        <v>190</v>
      </c>
      <c r="H2830" t="s">
        <v>696</v>
      </c>
      <c r="I2830">
        <v>0.11</v>
      </c>
      <c r="J2830">
        <f t="shared" si="132"/>
        <v>71.5</v>
      </c>
      <c r="K2830">
        <v>1</v>
      </c>
      <c r="L2830">
        <f t="shared" si="133"/>
        <v>70.5</v>
      </c>
      <c r="M2830" s="4">
        <f t="shared" si="134"/>
        <v>0.10071428571428571</v>
      </c>
      <c r="N2830">
        <v>700</v>
      </c>
      <c r="O2830">
        <v>650</v>
      </c>
      <c r="P2830" t="s">
        <v>341</v>
      </c>
      <c r="Q2830" t="s">
        <v>320</v>
      </c>
      <c r="R2830" t="str">
        <f>IF(COUNTIF(Sheet2!B:B, A2830) &gt; 0, "Yes", "No")</f>
        <v>No</v>
      </c>
    </row>
    <row r="2831" spans="1:18" x14ac:dyDescent="0.25">
      <c r="A2831" s="3">
        <v>45551</v>
      </c>
      <c r="B2831" t="s">
        <v>342</v>
      </c>
      <c r="C2831" t="s">
        <v>19</v>
      </c>
      <c r="D2831" t="s">
        <v>20</v>
      </c>
      <c r="E2831" t="s">
        <v>67</v>
      </c>
      <c r="F2831" t="s">
        <v>30</v>
      </c>
      <c r="G2831" t="s">
        <v>31</v>
      </c>
      <c r="H2831" t="s">
        <v>389</v>
      </c>
      <c r="I2831">
        <v>0.09</v>
      </c>
      <c r="J2831">
        <f t="shared" si="132"/>
        <v>58.5</v>
      </c>
      <c r="K2831">
        <v>0</v>
      </c>
      <c r="L2831">
        <f t="shared" si="133"/>
        <v>58.5</v>
      </c>
      <c r="M2831" s="4">
        <f t="shared" si="134"/>
        <v>8.3571428571428574E-2</v>
      </c>
      <c r="N2831">
        <v>700</v>
      </c>
      <c r="O2831">
        <v>650</v>
      </c>
      <c r="P2831" t="s">
        <v>341</v>
      </c>
      <c r="Q2831" t="s">
        <v>320</v>
      </c>
      <c r="R2831" t="str">
        <f>IF(COUNTIF(Sheet2!B:B, A2831) &gt; 0, "Yes", "No")</f>
        <v>No</v>
      </c>
    </row>
    <row r="2832" spans="1:18" x14ac:dyDescent="0.25">
      <c r="A2832" s="3">
        <v>45551</v>
      </c>
      <c r="B2832" t="s">
        <v>342</v>
      </c>
      <c r="C2832" t="s">
        <v>19</v>
      </c>
      <c r="D2832" t="s">
        <v>20</v>
      </c>
      <c r="E2832" t="s">
        <v>67</v>
      </c>
      <c r="F2832" t="s">
        <v>37</v>
      </c>
      <c r="G2832" t="s">
        <v>38</v>
      </c>
      <c r="H2832" t="s">
        <v>697</v>
      </c>
      <c r="I2832">
        <v>0.03</v>
      </c>
      <c r="J2832">
        <f t="shared" si="132"/>
        <v>19.5</v>
      </c>
      <c r="K2832">
        <v>1</v>
      </c>
      <c r="L2832">
        <f t="shared" si="133"/>
        <v>18.5</v>
      </c>
      <c r="M2832" s="4">
        <f t="shared" si="134"/>
        <v>2.642857142857143E-2</v>
      </c>
      <c r="N2832">
        <v>700</v>
      </c>
      <c r="O2832">
        <v>650</v>
      </c>
      <c r="P2832" t="s">
        <v>341</v>
      </c>
      <c r="Q2832" t="s">
        <v>320</v>
      </c>
      <c r="R2832" t="str">
        <f>IF(COUNTIF(Sheet2!B:B, A2832) &gt; 0, "Yes", "No")</f>
        <v>No</v>
      </c>
    </row>
    <row r="2833" spans="1:18" x14ac:dyDescent="0.25">
      <c r="A2833" s="3">
        <v>45551</v>
      </c>
      <c r="B2833" t="s">
        <v>342</v>
      </c>
      <c r="C2833" t="s">
        <v>19</v>
      </c>
      <c r="D2833" t="s">
        <v>20</v>
      </c>
      <c r="E2833" t="s">
        <v>67</v>
      </c>
      <c r="F2833" t="s">
        <v>40</v>
      </c>
      <c r="G2833" t="s">
        <v>137</v>
      </c>
      <c r="H2833" t="s">
        <v>567</v>
      </c>
      <c r="I2833">
        <v>4.4999999999999998E-2</v>
      </c>
      <c r="J2833">
        <f t="shared" si="132"/>
        <v>29.25</v>
      </c>
      <c r="K2833">
        <v>0</v>
      </c>
      <c r="L2833">
        <f t="shared" si="133"/>
        <v>29.25</v>
      </c>
      <c r="M2833" s="4">
        <f t="shared" si="134"/>
        <v>4.1785714285714287E-2</v>
      </c>
      <c r="N2833">
        <v>700</v>
      </c>
      <c r="O2833">
        <v>650</v>
      </c>
      <c r="P2833" t="s">
        <v>341</v>
      </c>
      <c r="Q2833" t="s">
        <v>320</v>
      </c>
      <c r="R2833" t="str">
        <f>IF(COUNTIF(Sheet2!B:B, A2833) &gt; 0, "Yes", "No")</f>
        <v>No</v>
      </c>
    </row>
    <row r="2834" spans="1:18" x14ac:dyDescent="0.25">
      <c r="A2834" s="3">
        <v>45551</v>
      </c>
      <c r="B2834" t="s">
        <v>342</v>
      </c>
      <c r="C2834" t="s">
        <v>19</v>
      </c>
      <c r="D2834" t="s">
        <v>20</v>
      </c>
      <c r="E2834" t="s">
        <v>67</v>
      </c>
      <c r="F2834" t="s">
        <v>43</v>
      </c>
      <c r="G2834" t="s">
        <v>90</v>
      </c>
      <c r="H2834" t="s">
        <v>698</v>
      </c>
      <c r="I2834">
        <v>0.11</v>
      </c>
      <c r="J2834">
        <f t="shared" si="132"/>
        <v>71.5</v>
      </c>
      <c r="K2834">
        <v>0</v>
      </c>
      <c r="L2834">
        <f t="shared" si="133"/>
        <v>71.5</v>
      </c>
      <c r="M2834" s="4">
        <f t="shared" si="134"/>
        <v>0.10214285714285715</v>
      </c>
      <c r="N2834">
        <v>700</v>
      </c>
      <c r="O2834">
        <v>650</v>
      </c>
      <c r="P2834" t="s">
        <v>341</v>
      </c>
      <c r="Q2834" t="s">
        <v>320</v>
      </c>
      <c r="R2834" t="str">
        <f>IF(COUNTIF(Sheet2!B:B, A2834) &gt; 0, "Yes", "No")</f>
        <v>No</v>
      </c>
    </row>
    <row r="2835" spans="1:18" x14ac:dyDescent="0.25">
      <c r="A2835" s="3">
        <v>45551</v>
      </c>
      <c r="B2835" t="s">
        <v>342</v>
      </c>
      <c r="C2835" t="s">
        <v>19</v>
      </c>
      <c r="D2835" t="s">
        <v>20</v>
      </c>
      <c r="E2835" t="s">
        <v>67</v>
      </c>
      <c r="F2835" t="s">
        <v>46</v>
      </c>
      <c r="G2835" t="s">
        <v>47</v>
      </c>
      <c r="H2835" t="s">
        <v>699</v>
      </c>
      <c r="I2835">
        <v>8.5000000000000006E-2</v>
      </c>
      <c r="J2835">
        <f t="shared" si="132"/>
        <v>55.250000000000007</v>
      </c>
      <c r="K2835">
        <v>0</v>
      </c>
      <c r="L2835">
        <f t="shared" si="133"/>
        <v>55.250000000000007</v>
      </c>
      <c r="M2835" s="4">
        <f t="shared" si="134"/>
        <v>7.8928571428571445E-2</v>
      </c>
      <c r="N2835">
        <v>700</v>
      </c>
      <c r="O2835">
        <v>650</v>
      </c>
      <c r="P2835" t="s">
        <v>341</v>
      </c>
      <c r="Q2835" t="s">
        <v>320</v>
      </c>
      <c r="R2835" t="str">
        <f>IF(COUNTIF(Sheet2!B:B, A2835) &gt; 0, "Yes", "No")</f>
        <v>No</v>
      </c>
    </row>
    <row r="2836" spans="1:18" x14ac:dyDescent="0.25">
      <c r="A2836" s="3">
        <v>45551</v>
      </c>
      <c r="B2836" t="s">
        <v>342</v>
      </c>
      <c r="C2836" t="s">
        <v>19</v>
      </c>
      <c r="D2836" t="s">
        <v>20</v>
      </c>
      <c r="E2836" t="s">
        <v>67</v>
      </c>
      <c r="F2836" t="s">
        <v>49</v>
      </c>
      <c r="G2836" t="s">
        <v>50</v>
      </c>
      <c r="H2836" t="s">
        <v>49</v>
      </c>
      <c r="I2836">
        <v>0.09</v>
      </c>
      <c r="J2836">
        <f t="shared" si="132"/>
        <v>58.5</v>
      </c>
      <c r="K2836">
        <v>2</v>
      </c>
      <c r="L2836">
        <f t="shared" si="133"/>
        <v>56.5</v>
      </c>
      <c r="M2836" s="4">
        <f t="shared" si="134"/>
        <v>8.0714285714285711E-2</v>
      </c>
      <c r="N2836">
        <v>700</v>
      </c>
      <c r="O2836">
        <v>650</v>
      </c>
      <c r="P2836" t="s">
        <v>341</v>
      </c>
      <c r="Q2836" t="s">
        <v>320</v>
      </c>
      <c r="R2836" t="str">
        <f>IF(COUNTIF(Sheet2!B:B, A2836) &gt; 0, "Yes", "No")</f>
        <v>No</v>
      </c>
    </row>
    <row r="2837" spans="1:18" x14ac:dyDescent="0.25">
      <c r="A2837" s="3">
        <v>45553</v>
      </c>
      <c r="B2837" t="s">
        <v>342</v>
      </c>
      <c r="C2837" t="s">
        <v>51</v>
      </c>
      <c r="D2837" t="s">
        <v>20</v>
      </c>
      <c r="E2837" t="s">
        <v>21</v>
      </c>
      <c r="F2837" t="s">
        <v>22</v>
      </c>
      <c r="G2837" t="s">
        <v>122</v>
      </c>
      <c r="H2837" t="s">
        <v>181</v>
      </c>
      <c r="I2837">
        <v>8.5000000000000006E-2</v>
      </c>
      <c r="J2837">
        <f t="shared" si="132"/>
        <v>55.250000000000007</v>
      </c>
      <c r="K2837">
        <v>2</v>
      </c>
      <c r="L2837">
        <f t="shared" si="133"/>
        <v>53.250000000000007</v>
      </c>
      <c r="M2837" s="4">
        <f t="shared" si="134"/>
        <v>7.3958333333333348E-2</v>
      </c>
      <c r="N2837">
        <v>720</v>
      </c>
      <c r="O2837">
        <v>650</v>
      </c>
      <c r="P2837" t="s">
        <v>25</v>
      </c>
      <c r="Q2837" t="s">
        <v>26</v>
      </c>
      <c r="R2837" t="str">
        <f>IF(COUNTIF(Sheet2!B:B, A2837) &gt; 0, "Yes", "No")</f>
        <v>No</v>
      </c>
    </row>
    <row r="2838" spans="1:18" x14ac:dyDescent="0.25">
      <c r="A2838" s="3">
        <v>45553</v>
      </c>
      <c r="B2838" t="s">
        <v>342</v>
      </c>
      <c r="C2838" t="s">
        <v>51</v>
      </c>
      <c r="D2838" t="s">
        <v>20</v>
      </c>
      <c r="E2838" t="s">
        <v>21</v>
      </c>
      <c r="F2838" t="s">
        <v>27</v>
      </c>
      <c r="G2838" t="s">
        <v>28</v>
      </c>
      <c r="H2838" t="s">
        <v>207</v>
      </c>
      <c r="I2838">
        <v>0.11</v>
      </c>
      <c r="J2838">
        <f t="shared" si="132"/>
        <v>71.5</v>
      </c>
      <c r="K2838">
        <v>1</v>
      </c>
      <c r="L2838">
        <f t="shared" si="133"/>
        <v>70.5</v>
      </c>
      <c r="M2838" s="4">
        <f t="shared" si="134"/>
        <v>9.7916666666666666E-2</v>
      </c>
      <c r="N2838">
        <v>720</v>
      </c>
      <c r="O2838">
        <v>650</v>
      </c>
      <c r="P2838" t="s">
        <v>25</v>
      </c>
      <c r="Q2838" t="s">
        <v>26</v>
      </c>
      <c r="R2838" t="str">
        <f>IF(COUNTIF(Sheet2!B:B, A2838) &gt; 0, "Yes", "No")</f>
        <v>No</v>
      </c>
    </row>
    <row r="2839" spans="1:18" x14ac:dyDescent="0.25">
      <c r="A2839" s="3">
        <v>45553</v>
      </c>
      <c r="B2839" t="s">
        <v>342</v>
      </c>
      <c r="C2839" t="s">
        <v>51</v>
      </c>
      <c r="D2839" t="s">
        <v>20</v>
      </c>
      <c r="E2839" t="s">
        <v>21</v>
      </c>
      <c r="F2839" t="s">
        <v>30</v>
      </c>
      <c r="G2839" t="s">
        <v>55</v>
      </c>
      <c r="H2839" t="s">
        <v>183</v>
      </c>
      <c r="I2839">
        <v>0.09</v>
      </c>
      <c r="J2839">
        <f t="shared" si="132"/>
        <v>58.5</v>
      </c>
      <c r="K2839">
        <v>2</v>
      </c>
      <c r="L2839">
        <f t="shared" si="133"/>
        <v>56.5</v>
      </c>
      <c r="M2839" s="4">
        <f t="shared" si="134"/>
        <v>7.8472222222222221E-2</v>
      </c>
      <c r="N2839">
        <v>720</v>
      </c>
      <c r="O2839">
        <v>650</v>
      </c>
      <c r="P2839" t="s">
        <v>25</v>
      </c>
      <c r="Q2839" t="s">
        <v>26</v>
      </c>
      <c r="R2839" t="str">
        <f>IF(COUNTIF(Sheet2!B:B, A2839) &gt; 0, "Yes", "No")</f>
        <v>No</v>
      </c>
    </row>
    <row r="2840" spans="1:18" x14ac:dyDescent="0.25">
      <c r="A2840" s="3">
        <v>45553</v>
      </c>
      <c r="B2840" t="s">
        <v>342</v>
      </c>
      <c r="C2840" t="s">
        <v>51</v>
      </c>
      <c r="D2840" t="s">
        <v>33</v>
      </c>
      <c r="E2840" t="s">
        <v>21</v>
      </c>
      <c r="F2840" t="s">
        <v>34</v>
      </c>
      <c r="G2840" t="s">
        <v>57</v>
      </c>
      <c r="H2840" t="s">
        <v>612</v>
      </c>
      <c r="I2840">
        <v>0.15</v>
      </c>
      <c r="J2840">
        <f t="shared" si="132"/>
        <v>67.5</v>
      </c>
      <c r="K2840">
        <v>0</v>
      </c>
      <c r="L2840">
        <f t="shared" si="133"/>
        <v>67.5</v>
      </c>
      <c r="M2840" s="4">
        <f t="shared" si="134"/>
        <v>0.13392857142857142</v>
      </c>
      <c r="N2840">
        <v>504</v>
      </c>
      <c r="O2840">
        <v>450</v>
      </c>
      <c r="P2840" t="s">
        <v>25</v>
      </c>
      <c r="Q2840" t="s">
        <v>26</v>
      </c>
      <c r="R2840" t="str">
        <f>IF(COUNTIF(Sheet2!B:B, A2840) &gt; 0, "Yes", "No")</f>
        <v>No</v>
      </c>
    </row>
    <row r="2841" spans="1:18" x14ac:dyDescent="0.25">
      <c r="A2841" s="3">
        <v>45553</v>
      </c>
      <c r="B2841" t="s">
        <v>342</v>
      </c>
      <c r="C2841" t="s">
        <v>51</v>
      </c>
      <c r="D2841" t="s">
        <v>20</v>
      </c>
      <c r="E2841" t="s">
        <v>21</v>
      </c>
      <c r="F2841" t="s">
        <v>37</v>
      </c>
      <c r="G2841" t="s">
        <v>38</v>
      </c>
      <c r="H2841" t="s">
        <v>39</v>
      </c>
      <c r="I2841">
        <v>0.03</v>
      </c>
      <c r="J2841">
        <f t="shared" si="132"/>
        <v>19.5</v>
      </c>
      <c r="K2841">
        <v>2</v>
      </c>
      <c r="L2841">
        <f t="shared" si="133"/>
        <v>17.5</v>
      </c>
      <c r="M2841" s="4">
        <f t="shared" si="134"/>
        <v>2.4305555555555556E-2</v>
      </c>
      <c r="N2841">
        <v>720</v>
      </c>
      <c r="O2841">
        <v>650</v>
      </c>
      <c r="P2841" t="s">
        <v>25</v>
      </c>
      <c r="Q2841" t="s">
        <v>26</v>
      </c>
      <c r="R2841" t="str">
        <f>IF(COUNTIF(Sheet2!B:B, A2841) &gt; 0, "Yes", "No")</f>
        <v>No</v>
      </c>
    </row>
    <row r="2842" spans="1:18" x14ac:dyDescent="0.25">
      <c r="A2842" s="3">
        <v>45553</v>
      </c>
      <c r="B2842" t="s">
        <v>342</v>
      </c>
      <c r="C2842" t="s">
        <v>51</v>
      </c>
      <c r="D2842" t="s">
        <v>20</v>
      </c>
      <c r="E2842" t="s">
        <v>21</v>
      </c>
      <c r="F2842" t="s">
        <v>40</v>
      </c>
      <c r="G2842" t="s">
        <v>164</v>
      </c>
      <c r="H2842" t="s">
        <v>630</v>
      </c>
      <c r="I2842">
        <v>4.4999999999999998E-2</v>
      </c>
      <c r="J2842">
        <f t="shared" si="132"/>
        <v>29.25</v>
      </c>
      <c r="K2842">
        <v>2</v>
      </c>
      <c r="L2842">
        <f t="shared" si="133"/>
        <v>27.25</v>
      </c>
      <c r="M2842" s="4">
        <f t="shared" si="134"/>
        <v>3.784722222222222E-2</v>
      </c>
      <c r="N2842">
        <v>720</v>
      </c>
      <c r="O2842">
        <v>650</v>
      </c>
      <c r="P2842" t="s">
        <v>25</v>
      </c>
      <c r="Q2842" t="s">
        <v>26</v>
      </c>
      <c r="R2842" t="str">
        <f>IF(COUNTIF(Sheet2!B:B, A2842) &gt; 0, "Yes", "No")</f>
        <v>No</v>
      </c>
    </row>
    <row r="2843" spans="1:18" x14ac:dyDescent="0.25">
      <c r="A2843" s="3">
        <v>45553</v>
      </c>
      <c r="B2843" t="s">
        <v>342</v>
      </c>
      <c r="C2843" t="s">
        <v>51</v>
      </c>
      <c r="D2843" t="s">
        <v>20</v>
      </c>
      <c r="E2843" t="s">
        <v>21</v>
      </c>
      <c r="F2843" t="s">
        <v>43</v>
      </c>
      <c r="G2843" t="s">
        <v>75</v>
      </c>
      <c r="H2843" t="s">
        <v>700</v>
      </c>
      <c r="I2843">
        <v>0.11</v>
      </c>
      <c r="J2843">
        <f t="shared" si="132"/>
        <v>71.5</v>
      </c>
      <c r="K2843">
        <v>2</v>
      </c>
      <c r="L2843">
        <f t="shared" si="133"/>
        <v>69.5</v>
      </c>
      <c r="M2843" s="4">
        <f t="shared" si="134"/>
        <v>9.6527777777777782E-2</v>
      </c>
      <c r="N2843">
        <v>720</v>
      </c>
      <c r="O2843">
        <v>650</v>
      </c>
      <c r="P2843" t="s">
        <v>25</v>
      </c>
      <c r="Q2843" t="s">
        <v>26</v>
      </c>
      <c r="R2843" t="str">
        <f>IF(COUNTIF(Sheet2!B:B, A2843) &gt; 0, "Yes", "No")</f>
        <v>No</v>
      </c>
    </row>
    <row r="2844" spans="1:18" x14ac:dyDescent="0.25">
      <c r="A2844" s="3">
        <v>45553</v>
      </c>
      <c r="B2844" t="s">
        <v>342</v>
      </c>
      <c r="C2844" t="s">
        <v>51</v>
      </c>
      <c r="D2844" t="s">
        <v>20</v>
      </c>
      <c r="E2844" t="s">
        <v>21</v>
      </c>
      <c r="F2844" t="s">
        <v>46</v>
      </c>
      <c r="G2844" t="s">
        <v>47</v>
      </c>
      <c r="H2844" t="s">
        <v>113</v>
      </c>
      <c r="I2844">
        <v>8.5000000000000006E-2</v>
      </c>
      <c r="J2844">
        <f t="shared" si="132"/>
        <v>55.250000000000007</v>
      </c>
      <c r="K2844">
        <v>2</v>
      </c>
      <c r="L2844">
        <f t="shared" si="133"/>
        <v>53.250000000000007</v>
      </c>
      <c r="M2844" s="4">
        <f t="shared" si="134"/>
        <v>7.3958333333333348E-2</v>
      </c>
      <c r="N2844">
        <v>720</v>
      </c>
      <c r="O2844">
        <v>650</v>
      </c>
      <c r="P2844" t="s">
        <v>25</v>
      </c>
      <c r="Q2844" t="s">
        <v>26</v>
      </c>
      <c r="R2844" t="str">
        <f>IF(COUNTIF(Sheet2!B:B, A2844) &gt; 0, "Yes", "No")</f>
        <v>No</v>
      </c>
    </row>
    <row r="2845" spans="1:18" x14ac:dyDescent="0.25">
      <c r="A2845" s="3">
        <v>45553</v>
      </c>
      <c r="B2845" t="s">
        <v>342</v>
      </c>
      <c r="C2845" t="s">
        <v>51</v>
      </c>
      <c r="D2845" t="s">
        <v>20</v>
      </c>
      <c r="E2845" t="s">
        <v>21</v>
      </c>
      <c r="F2845" t="s">
        <v>49</v>
      </c>
      <c r="G2845" t="s">
        <v>50</v>
      </c>
      <c r="H2845" t="s">
        <v>49</v>
      </c>
      <c r="I2845">
        <v>0.09</v>
      </c>
      <c r="J2845">
        <f t="shared" si="132"/>
        <v>58.5</v>
      </c>
      <c r="K2845">
        <v>2</v>
      </c>
      <c r="L2845">
        <f t="shared" si="133"/>
        <v>56.5</v>
      </c>
      <c r="M2845" s="4">
        <f t="shared" si="134"/>
        <v>7.8472222222222221E-2</v>
      </c>
      <c r="N2845">
        <v>720</v>
      </c>
      <c r="O2845">
        <v>650</v>
      </c>
      <c r="P2845" t="s">
        <v>25</v>
      </c>
      <c r="Q2845" t="s">
        <v>26</v>
      </c>
      <c r="R2845" t="str">
        <f>IF(COUNTIF(Sheet2!B:B, A2845) &gt; 0, "Yes", "No")</f>
        <v>No</v>
      </c>
    </row>
    <row r="2846" spans="1:18" x14ac:dyDescent="0.25">
      <c r="A2846" s="3">
        <v>45554</v>
      </c>
      <c r="B2846" t="s">
        <v>342</v>
      </c>
      <c r="C2846" t="s">
        <v>66</v>
      </c>
      <c r="D2846" t="s">
        <v>20</v>
      </c>
      <c r="E2846" t="s">
        <v>67</v>
      </c>
      <c r="F2846" t="s">
        <v>22</v>
      </c>
      <c r="G2846" t="s">
        <v>94</v>
      </c>
      <c r="H2846" t="s">
        <v>598</v>
      </c>
      <c r="I2846">
        <v>8.5000000000000006E-2</v>
      </c>
      <c r="J2846">
        <f t="shared" si="132"/>
        <v>51.000000000000007</v>
      </c>
      <c r="K2846">
        <v>1</v>
      </c>
      <c r="L2846">
        <f t="shared" si="133"/>
        <v>50.000000000000007</v>
      </c>
      <c r="M2846" s="4">
        <f t="shared" si="134"/>
        <v>7.3529411764705899E-2</v>
      </c>
      <c r="N2846">
        <v>680</v>
      </c>
      <c r="O2846">
        <v>600</v>
      </c>
      <c r="P2846" t="s">
        <v>25</v>
      </c>
      <c r="Q2846" t="s">
        <v>26</v>
      </c>
      <c r="R2846" t="str">
        <f>IF(COUNTIF(Sheet2!B:B, A2846) &gt; 0, "Yes", "No")</f>
        <v>No</v>
      </c>
    </row>
    <row r="2847" spans="1:18" x14ac:dyDescent="0.25">
      <c r="A2847" s="3">
        <v>45554</v>
      </c>
      <c r="B2847" t="s">
        <v>342</v>
      </c>
      <c r="C2847" t="s">
        <v>66</v>
      </c>
      <c r="D2847" t="s">
        <v>20</v>
      </c>
      <c r="E2847" t="s">
        <v>67</v>
      </c>
      <c r="F2847" t="s">
        <v>27</v>
      </c>
      <c r="G2847" t="s">
        <v>28</v>
      </c>
      <c r="H2847" t="s">
        <v>204</v>
      </c>
      <c r="I2847">
        <v>0.11</v>
      </c>
      <c r="J2847">
        <f t="shared" si="132"/>
        <v>66</v>
      </c>
      <c r="K2847">
        <v>3</v>
      </c>
      <c r="L2847">
        <f t="shared" si="133"/>
        <v>63</v>
      </c>
      <c r="M2847" s="4">
        <f t="shared" si="134"/>
        <v>9.2647058823529416E-2</v>
      </c>
      <c r="N2847">
        <v>680</v>
      </c>
      <c r="O2847">
        <v>600</v>
      </c>
      <c r="P2847" t="s">
        <v>25</v>
      </c>
      <c r="Q2847" t="s">
        <v>26</v>
      </c>
      <c r="R2847" t="str">
        <f>IF(COUNTIF(Sheet2!B:B, A2847) &gt; 0, "Yes", "No")</f>
        <v>No</v>
      </c>
    </row>
    <row r="2848" spans="1:18" x14ac:dyDescent="0.25">
      <c r="A2848" s="3">
        <v>45554</v>
      </c>
      <c r="B2848" t="s">
        <v>342</v>
      </c>
      <c r="C2848" t="s">
        <v>66</v>
      </c>
      <c r="D2848" t="s">
        <v>20</v>
      </c>
      <c r="E2848" t="s">
        <v>67</v>
      </c>
      <c r="F2848" t="s">
        <v>30</v>
      </c>
      <c r="G2848" t="s">
        <v>55</v>
      </c>
      <c r="H2848" t="s">
        <v>134</v>
      </c>
      <c r="I2848">
        <v>0.09</v>
      </c>
      <c r="J2848">
        <f t="shared" si="132"/>
        <v>54</v>
      </c>
      <c r="K2848">
        <v>1.5</v>
      </c>
      <c r="L2848">
        <f t="shared" si="133"/>
        <v>52.5</v>
      </c>
      <c r="M2848" s="4">
        <f t="shared" si="134"/>
        <v>7.720588235294118E-2</v>
      </c>
      <c r="N2848">
        <v>680</v>
      </c>
      <c r="O2848">
        <v>600</v>
      </c>
      <c r="P2848" t="s">
        <v>25</v>
      </c>
      <c r="Q2848" t="s">
        <v>26</v>
      </c>
      <c r="R2848" t="str">
        <f>IF(COUNTIF(Sheet2!B:B, A2848) &gt; 0, "Yes", "No")</f>
        <v>No</v>
      </c>
    </row>
    <row r="2849" spans="1:18" x14ac:dyDescent="0.25">
      <c r="A2849" s="3">
        <v>45554</v>
      </c>
      <c r="B2849" t="s">
        <v>342</v>
      </c>
      <c r="C2849" t="s">
        <v>66</v>
      </c>
      <c r="D2849" t="s">
        <v>20</v>
      </c>
      <c r="E2849" t="s">
        <v>67</v>
      </c>
      <c r="F2849" t="s">
        <v>37</v>
      </c>
      <c r="G2849" t="s">
        <v>108</v>
      </c>
      <c r="H2849" t="s">
        <v>109</v>
      </c>
      <c r="I2849">
        <v>3.5000000000000003E-2</v>
      </c>
      <c r="J2849">
        <f t="shared" si="132"/>
        <v>21.000000000000004</v>
      </c>
      <c r="K2849">
        <v>2</v>
      </c>
      <c r="L2849">
        <f t="shared" si="133"/>
        <v>19.000000000000004</v>
      </c>
      <c r="M2849" s="4">
        <f t="shared" si="134"/>
        <v>2.794117647058824E-2</v>
      </c>
      <c r="N2849">
        <v>680</v>
      </c>
      <c r="O2849">
        <v>600</v>
      </c>
      <c r="P2849" t="s">
        <v>25</v>
      </c>
      <c r="Q2849" t="s">
        <v>26</v>
      </c>
      <c r="R2849" t="str">
        <f>IF(COUNTIF(Sheet2!B:B, A2849) &gt; 0, "Yes", "No")</f>
        <v>No</v>
      </c>
    </row>
    <row r="2850" spans="1:18" x14ac:dyDescent="0.25">
      <c r="A2850" s="3">
        <v>45554</v>
      </c>
      <c r="B2850" t="s">
        <v>342</v>
      </c>
      <c r="C2850" t="s">
        <v>66</v>
      </c>
      <c r="D2850" t="s">
        <v>20</v>
      </c>
      <c r="E2850" t="s">
        <v>67</v>
      </c>
      <c r="F2850" t="s">
        <v>40</v>
      </c>
      <c r="G2850" t="s">
        <v>164</v>
      </c>
      <c r="H2850" t="s">
        <v>202</v>
      </c>
      <c r="I2850">
        <v>0.05</v>
      </c>
      <c r="J2850">
        <f t="shared" si="132"/>
        <v>30</v>
      </c>
      <c r="K2850">
        <v>2</v>
      </c>
      <c r="L2850">
        <f t="shared" si="133"/>
        <v>28</v>
      </c>
      <c r="M2850" s="4">
        <f t="shared" si="134"/>
        <v>4.1176470588235294E-2</v>
      </c>
      <c r="N2850">
        <v>680</v>
      </c>
      <c r="O2850">
        <v>600</v>
      </c>
      <c r="P2850" t="s">
        <v>25</v>
      </c>
      <c r="Q2850" t="s">
        <v>26</v>
      </c>
      <c r="R2850" t="str">
        <f>IF(COUNTIF(Sheet2!B:B, A2850) &gt; 0, "Yes", "No")</f>
        <v>No</v>
      </c>
    </row>
    <row r="2851" spans="1:18" x14ac:dyDescent="0.25">
      <c r="A2851" s="3">
        <v>45554</v>
      </c>
      <c r="B2851" t="s">
        <v>342</v>
      </c>
      <c r="C2851" t="s">
        <v>66</v>
      </c>
      <c r="D2851" t="s">
        <v>20</v>
      </c>
      <c r="E2851" t="s">
        <v>67</v>
      </c>
      <c r="F2851" t="s">
        <v>43</v>
      </c>
      <c r="G2851" t="s">
        <v>90</v>
      </c>
      <c r="H2851" t="s">
        <v>239</v>
      </c>
      <c r="I2851">
        <v>0.11</v>
      </c>
      <c r="J2851">
        <f t="shared" si="132"/>
        <v>66</v>
      </c>
      <c r="K2851">
        <v>2</v>
      </c>
      <c r="L2851">
        <f t="shared" si="133"/>
        <v>64</v>
      </c>
      <c r="M2851" s="4">
        <f t="shared" si="134"/>
        <v>9.4117647058823528E-2</v>
      </c>
      <c r="N2851">
        <v>680</v>
      </c>
      <c r="O2851">
        <v>600</v>
      </c>
      <c r="P2851" t="s">
        <v>25</v>
      </c>
      <c r="Q2851" t="s">
        <v>26</v>
      </c>
      <c r="R2851" t="str">
        <f>IF(COUNTIF(Sheet2!B:B, A2851) &gt; 0, "Yes", "No")</f>
        <v>No</v>
      </c>
    </row>
    <row r="2852" spans="1:18" x14ac:dyDescent="0.25">
      <c r="A2852" s="3">
        <v>45554</v>
      </c>
      <c r="B2852" t="s">
        <v>342</v>
      </c>
      <c r="C2852" t="s">
        <v>66</v>
      </c>
      <c r="D2852" t="s">
        <v>20</v>
      </c>
      <c r="E2852" t="s">
        <v>67</v>
      </c>
      <c r="F2852" t="s">
        <v>46</v>
      </c>
      <c r="G2852" t="s">
        <v>130</v>
      </c>
      <c r="H2852" t="s">
        <v>548</v>
      </c>
      <c r="I2852">
        <v>8.5000000000000006E-2</v>
      </c>
      <c r="J2852">
        <f t="shared" si="132"/>
        <v>51.000000000000007</v>
      </c>
      <c r="K2852">
        <v>1</v>
      </c>
      <c r="L2852">
        <f t="shared" si="133"/>
        <v>50.000000000000007</v>
      </c>
      <c r="M2852" s="4">
        <f t="shared" si="134"/>
        <v>7.3529411764705899E-2</v>
      </c>
      <c r="N2852">
        <v>680</v>
      </c>
      <c r="O2852">
        <v>600</v>
      </c>
      <c r="P2852" t="s">
        <v>25</v>
      </c>
      <c r="Q2852" t="s">
        <v>26</v>
      </c>
      <c r="R2852" t="str">
        <f>IF(COUNTIF(Sheet2!B:B, A2852) &gt; 0, "Yes", "No")</f>
        <v>No</v>
      </c>
    </row>
    <row r="2853" spans="1:18" x14ac:dyDescent="0.25">
      <c r="A2853" s="3">
        <v>45554</v>
      </c>
      <c r="B2853" t="s">
        <v>342</v>
      </c>
      <c r="C2853" t="s">
        <v>66</v>
      </c>
      <c r="D2853" t="s">
        <v>20</v>
      </c>
      <c r="E2853" t="s">
        <v>67</v>
      </c>
      <c r="F2853" t="s">
        <v>49</v>
      </c>
      <c r="G2853" t="s">
        <v>50</v>
      </c>
      <c r="H2853" t="s">
        <v>49</v>
      </c>
      <c r="I2853">
        <v>0.09</v>
      </c>
      <c r="J2853">
        <f t="shared" si="132"/>
        <v>54</v>
      </c>
      <c r="K2853">
        <v>2</v>
      </c>
      <c r="L2853">
        <f t="shared" si="133"/>
        <v>52</v>
      </c>
      <c r="M2853" s="4">
        <f t="shared" si="134"/>
        <v>7.6470588235294124E-2</v>
      </c>
      <c r="N2853">
        <v>680</v>
      </c>
      <c r="O2853">
        <v>600</v>
      </c>
      <c r="P2853" t="s">
        <v>25</v>
      </c>
      <c r="Q2853" t="s">
        <v>26</v>
      </c>
      <c r="R2853" t="str">
        <f>IF(COUNTIF(Sheet2!B:B, A2853) &gt; 0, "Yes", "No")</f>
        <v>No</v>
      </c>
    </row>
    <row r="2854" spans="1:18" x14ac:dyDescent="0.25">
      <c r="A2854" s="3">
        <v>45555</v>
      </c>
      <c r="B2854" t="s">
        <v>342</v>
      </c>
      <c r="C2854" t="s">
        <v>79</v>
      </c>
      <c r="D2854" t="s">
        <v>20</v>
      </c>
      <c r="E2854" t="s">
        <v>21</v>
      </c>
      <c r="F2854" t="s">
        <v>22</v>
      </c>
      <c r="G2854" t="s">
        <v>122</v>
      </c>
      <c r="H2854" t="s">
        <v>206</v>
      </c>
      <c r="I2854" s="5">
        <v>0.06</v>
      </c>
      <c r="J2854">
        <f t="shared" si="132"/>
        <v>27.599999999999998</v>
      </c>
      <c r="K2854">
        <v>0</v>
      </c>
      <c r="L2854">
        <f t="shared" si="133"/>
        <v>27.599999999999998</v>
      </c>
      <c r="M2854" s="4">
        <f t="shared" si="134"/>
        <v>5.307692307692307E-2</v>
      </c>
      <c r="N2854">
        <v>520</v>
      </c>
      <c r="O2854">
        <v>460</v>
      </c>
      <c r="P2854" t="s">
        <v>25</v>
      </c>
      <c r="Q2854" t="s">
        <v>26</v>
      </c>
      <c r="R2854" t="str">
        <f>IF(COUNTIF(Sheet2!B:B, A2854) &gt; 0, "Yes", "No")</f>
        <v>Yes</v>
      </c>
    </row>
    <row r="2855" spans="1:18" x14ac:dyDescent="0.25">
      <c r="A2855" s="3">
        <v>45555</v>
      </c>
      <c r="B2855" t="s">
        <v>342</v>
      </c>
      <c r="C2855" t="s">
        <v>79</v>
      </c>
      <c r="D2855" t="s">
        <v>20</v>
      </c>
      <c r="E2855" t="s">
        <v>21</v>
      </c>
      <c r="F2855" t="s">
        <v>27</v>
      </c>
      <c r="G2855" t="s">
        <v>81</v>
      </c>
      <c r="H2855" t="s">
        <v>378</v>
      </c>
      <c r="I2855" s="5">
        <v>0.1</v>
      </c>
      <c r="J2855">
        <f t="shared" si="132"/>
        <v>46</v>
      </c>
      <c r="K2855">
        <v>1</v>
      </c>
      <c r="L2855">
        <f t="shared" si="133"/>
        <v>45</v>
      </c>
      <c r="M2855" s="4">
        <f t="shared" si="134"/>
        <v>8.6538461538461536E-2</v>
      </c>
      <c r="N2855">
        <v>520</v>
      </c>
      <c r="O2855">
        <v>460</v>
      </c>
      <c r="P2855" t="s">
        <v>25</v>
      </c>
      <c r="Q2855" t="s">
        <v>26</v>
      </c>
      <c r="R2855" t="str">
        <f>IF(COUNTIF(Sheet2!B:B, A2855) &gt; 0, "Yes", "No")</f>
        <v>Yes</v>
      </c>
    </row>
    <row r="2856" spans="1:18" x14ac:dyDescent="0.25">
      <c r="A2856" s="3">
        <v>45555</v>
      </c>
      <c r="B2856" t="s">
        <v>342</v>
      </c>
      <c r="C2856" t="s">
        <v>79</v>
      </c>
      <c r="D2856" t="s">
        <v>20</v>
      </c>
      <c r="E2856" t="s">
        <v>21</v>
      </c>
      <c r="F2856" t="s">
        <v>30</v>
      </c>
      <c r="G2856" t="s">
        <v>31</v>
      </c>
      <c r="H2856" t="s">
        <v>70</v>
      </c>
      <c r="I2856" s="5">
        <v>0.06</v>
      </c>
      <c r="J2856">
        <f t="shared" si="132"/>
        <v>27.599999999999998</v>
      </c>
      <c r="K2856">
        <v>1</v>
      </c>
      <c r="L2856">
        <f t="shared" si="133"/>
        <v>26.599999999999998</v>
      </c>
      <c r="M2856" s="4">
        <f t="shared" si="134"/>
        <v>5.1153846153846147E-2</v>
      </c>
      <c r="N2856">
        <v>520</v>
      </c>
      <c r="O2856">
        <v>460</v>
      </c>
      <c r="P2856" t="s">
        <v>25</v>
      </c>
      <c r="Q2856" t="s">
        <v>26</v>
      </c>
      <c r="R2856" t="str">
        <f>IF(COUNTIF(Sheet2!B:B, A2856) &gt; 0, "Yes", "No")</f>
        <v>Yes</v>
      </c>
    </row>
    <row r="2857" spans="1:18" x14ac:dyDescent="0.25">
      <c r="A2857" s="3">
        <v>45555</v>
      </c>
      <c r="B2857" t="s">
        <v>342</v>
      </c>
      <c r="C2857" t="s">
        <v>79</v>
      </c>
      <c r="D2857" t="s">
        <v>33</v>
      </c>
      <c r="E2857" t="s">
        <v>21</v>
      </c>
      <c r="F2857" t="s">
        <v>84</v>
      </c>
      <c r="G2857" t="s">
        <v>85</v>
      </c>
      <c r="H2857" t="s">
        <v>86</v>
      </c>
      <c r="I2857" s="5">
        <v>0.3</v>
      </c>
      <c r="J2857">
        <f t="shared" si="132"/>
        <v>109.5</v>
      </c>
      <c r="K2857">
        <v>0</v>
      </c>
      <c r="L2857">
        <f t="shared" si="133"/>
        <v>109.5</v>
      </c>
      <c r="M2857" s="4">
        <f t="shared" si="134"/>
        <v>0.26322115384615385</v>
      </c>
      <c r="N2857">
        <v>416</v>
      </c>
      <c r="O2857">
        <v>365</v>
      </c>
      <c r="P2857" t="s">
        <v>25</v>
      </c>
      <c r="Q2857" t="s">
        <v>26</v>
      </c>
      <c r="R2857" t="str">
        <f>IF(COUNTIF(Sheet2!B:B, A2857) &gt; 0, "Yes", "No")</f>
        <v>Yes</v>
      </c>
    </row>
    <row r="2858" spans="1:18" x14ac:dyDescent="0.25">
      <c r="A2858" s="3">
        <v>45555</v>
      </c>
      <c r="B2858" t="s">
        <v>342</v>
      </c>
      <c r="C2858" t="s">
        <v>79</v>
      </c>
      <c r="D2858" t="s">
        <v>20</v>
      </c>
      <c r="E2858" t="s">
        <v>21</v>
      </c>
      <c r="F2858" t="s">
        <v>37</v>
      </c>
      <c r="G2858" t="s">
        <v>71</v>
      </c>
      <c r="H2858" t="s">
        <v>151</v>
      </c>
      <c r="I2858" s="5">
        <v>2.5000000000000001E-2</v>
      </c>
      <c r="J2858">
        <f t="shared" si="132"/>
        <v>11.5</v>
      </c>
      <c r="K2858">
        <v>2</v>
      </c>
      <c r="L2858">
        <f t="shared" si="133"/>
        <v>9.5</v>
      </c>
      <c r="M2858" s="4">
        <f t="shared" si="134"/>
        <v>1.826923076923077E-2</v>
      </c>
      <c r="N2858">
        <v>520</v>
      </c>
      <c r="O2858">
        <v>460</v>
      </c>
      <c r="P2858" t="s">
        <v>25</v>
      </c>
      <c r="Q2858" t="s">
        <v>26</v>
      </c>
      <c r="R2858" t="str">
        <f>IF(COUNTIF(Sheet2!B:B, A2858) &gt; 0, "Yes", "No")</f>
        <v>Yes</v>
      </c>
    </row>
    <row r="2859" spans="1:18" x14ac:dyDescent="0.25">
      <c r="A2859" s="3">
        <v>45555</v>
      </c>
      <c r="B2859" t="s">
        <v>342</v>
      </c>
      <c r="C2859" t="s">
        <v>79</v>
      </c>
      <c r="D2859" t="s">
        <v>20</v>
      </c>
      <c r="E2859" t="s">
        <v>21</v>
      </c>
      <c r="F2859" t="s">
        <v>40</v>
      </c>
      <c r="G2859" t="s">
        <v>61</v>
      </c>
      <c r="H2859" t="s">
        <v>62</v>
      </c>
      <c r="I2859" s="5">
        <v>0.04</v>
      </c>
      <c r="J2859">
        <f t="shared" si="132"/>
        <v>18.400000000000002</v>
      </c>
      <c r="K2859">
        <v>1.5</v>
      </c>
      <c r="L2859">
        <f t="shared" si="133"/>
        <v>16.900000000000002</v>
      </c>
      <c r="M2859" s="4">
        <f t="shared" si="134"/>
        <v>3.2500000000000001E-2</v>
      </c>
      <c r="N2859">
        <v>520</v>
      </c>
      <c r="O2859">
        <v>460</v>
      </c>
      <c r="P2859" t="s">
        <v>25</v>
      </c>
      <c r="Q2859" t="s">
        <v>26</v>
      </c>
      <c r="R2859" t="str">
        <f>IF(COUNTIF(Sheet2!B:B, A2859) &gt; 0, "Yes", "No")</f>
        <v>Yes</v>
      </c>
    </row>
    <row r="2860" spans="1:18" x14ac:dyDescent="0.25">
      <c r="A2860" s="3">
        <v>45555</v>
      </c>
      <c r="B2860" t="s">
        <v>342</v>
      </c>
      <c r="C2860" t="s">
        <v>79</v>
      </c>
      <c r="D2860" t="s">
        <v>20</v>
      </c>
      <c r="E2860" t="s">
        <v>21</v>
      </c>
      <c r="F2860" t="s">
        <v>43</v>
      </c>
      <c r="G2860" t="s">
        <v>288</v>
      </c>
      <c r="H2860" t="s">
        <v>289</v>
      </c>
      <c r="I2860" s="5">
        <v>7.0000000000000007E-2</v>
      </c>
      <c r="J2860">
        <f t="shared" si="132"/>
        <v>32.200000000000003</v>
      </c>
      <c r="K2860">
        <v>2</v>
      </c>
      <c r="L2860">
        <f t="shared" si="133"/>
        <v>30.200000000000003</v>
      </c>
      <c r="M2860" s="4">
        <f t="shared" si="134"/>
        <v>5.8076923076923082E-2</v>
      </c>
      <c r="N2860">
        <v>520</v>
      </c>
      <c r="O2860">
        <v>460</v>
      </c>
      <c r="P2860" t="s">
        <v>25</v>
      </c>
      <c r="Q2860" t="s">
        <v>26</v>
      </c>
      <c r="R2860" t="str">
        <f>IF(COUNTIF(Sheet2!B:B, A2860) &gt; 0, "Yes", "No")</f>
        <v>Yes</v>
      </c>
    </row>
    <row r="2861" spans="1:18" x14ac:dyDescent="0.25">
      <c r="A2861" s="3">
        <v>45555</v>
      </c>
      <c r="B2861" t="s">
        <v>342</v>
      </c>
      <c r="C2861" t="s">
        <v>79</v>
      </c>
      <c r="D2861" t="s">
        <v>20</v>
      </c>
      <c r="E2861" t="s">
        <v>21</v>
      </c>
      <c r="F2861" t="s">
        <v>46</v>
      </c>
      <c r="G2861" t="s">
        <v>77</v>
      </c>
      <c r="H2861" t="s">
        <v>203</v>
      </c>
      <c r="I2861" s="5">
        <v>5.5E-2</v>
      </c>
      <c r="J2861">
        <f t="shared" si="132"/>
        <v>25.3</v>
      </c>
      <c r="K2861">
        <v>1.5</v>
      </c>
      <c r="L2861">
        <f t="shared" si="133"/>
        <v>23.8</v>
      </c>
      <c r="M2861" s="4">
        <f t="shared" si="134"/>
        <v>4.576923076923077E-2</v>
      </c>
      <c r="N2861">
        <v>520</v>
      </c>
      <c r="O2861">
        <v>460</v>
      </c>
      <c r="P2861" t="s">
        <v>25</v>
      </c>
      <c r="Q2861" t="s">
        <v>26</v>
      </c>
      <c r="R2861" t="str">
        <f>IF(COUNTIF(Sheet2!B:B, A2861) &gt; 0, "Yes", "No")</f>
        <v>Yes</v>
      </c>
    </row>
    <row r="2862" spans="1:18" x14ac:dyDescent="0.25">
      <c r="A2862" s="3">
        <v>45555</v>
      </c>
      <c r="B2862" t="s">
        <v>342</v>
      </c>
      <c r="C2862" t="s">
        <v>79</v>
      </c>
      <c r="D2862" t="s">
        <v>20</v>
      </c>
      <c r="E2862" t="s">
        <v>21</v>
      </c>
      <c r="F2862" t="s">
        <v>49</v>
      </c>
      <c r="G2862" t="s">
        <v>50</v>
      </c>
      <c r="H2862" t="s">
        <v>49</v>
      </c>
      <c r="I2862" s="5">
        <v>0.04</v>
      </c>
      <c r="J2862">
        <f t="shared" si="132"/>
        <v>18.400000000000002</v>
      </c>
      <c r="K2862">
        <v>1</v>
      </c>
      <c r="L2862">
        <f t="shared" si="133"/>
        <v>17.400000000000002</v>
      </c>
      <c r="M2862" s="4">
        <f t="shared" si="134"/>
        <v>3.3461538461538466E-2</v>
      </c>
      <c r="N2862">
        <v>520</v>
      </c>
      <c r="O2862">
        <v>460</v>
      </c>
      <c r="P2862" t="s">
        <v>25</v>
      </c>
      <c r="Q2862" t="s">
        <v>26</v>
      </c>
      <c r="R2862" t="str">
        <f>IF(COUNTIF(Sheet2!B:B, A2862) &gt; 0, "Yes", "No")</f>
        <v>Yes</v>
      </c>
    </row>
    <row r="2863" spans="1:18" x14ac:dyDescent="0.25">
      <c r="A2863" s="3">
        <v>45558</v>
      </c>
      <c r="B2863" t="s">
        <v>342</v>
      </c>
      <c r="C2863" t="s">
        <v>19</v>
      </c>
      <c r="D2863" t="s">
        <v>20</v>
      </c>
      <c r="E2863" t="s">
        <v>21</v>
      </c>
      <c r="F2863" t="s">
        <v>22</v>
      </c>
      <c r="G2863" t="s">
        <v>52</v>
      </c>
      <c r="H2863" t="s">
        <v>701</v>
      </c>
      <c r="I2863">
        <v>8.5000000000000006E-2</v>
      </c>
      <c r="J2863">
        <f t="shared" si="132"/>
        <v>53.550000000000004</v>
      </c>
      <c r="K2863">
        <v>0</v>
      </c>
      <c r="L2863">
        <f t="shared" si="133"/>
        <v>53.550000000000004</v>
      </c>
      <c r="M2863" s="4">
        <f t="shared" si="134"/>
        <v>7.6500000000000012E-2</v>
      </c>
      <c r="N2863">
        <v>700</v>
      </c>
      <c r="O2863">
        <v>630</v>
      </c>
      <c r="P2863" t="s">
        <v>25</v>
      </c>
      <c r="Q2863" t="s">
        <v>26</v>
      </c>
      <c r="R2863" t="str">
        <f>IF(COUNTIF(Sheet2!B:B, A2863) &gt; 0, "Yes", "No")</f>
        <v>No</v>
      </c>
    </row>
    <row r="2864" spans="1:18" x14ac:dyDescent="0.25">
      <c r="A2864" s="3">
        <v>45558</v>
      </c>
      <c r="B2864" t="s">
        <v>342</v>
      </c>
      <c r="C2864" t="s">
        <v>19</v>
      </c>
      <c r="D2864" t="s">
        <v>20</v>
      </c>
      <c r="E2864" t="s">
        <v>21</v>
      </c>
      <c r="F2864" t="s">
        <v>27</v>
      </c>
      <c r="G2864" t="s">
        <v>115</v>
      </c>
      <c r="H2864" t="s">
        <v>115</v>
      </c>
      <c r="I2864">
        <v>0.11</v>
      </c>
      <c r="J2864">
        <f t="shared" si="132"/>
        <v>69.3</v>
      </c>
      <c r="K2864">
        <v>1.5</v>
      </c>
      <c r="L2864">
        <f t="shared" si="133"/>
        <v>67.8</v>
      </c>
      <c r="M2864" s="4">
        <f t="shared" si="134"/>
        <v>9.685714285714285E-2</v>
      </c>
      <c r="N2864">
        <v>700</v>
      </c>
      <c r="O2864">
        <v>630</v>
      </c>
      <c r="P2864" t="s">
        <v>25</v>
      </c>
      <c r="Q2864" t="s">
        <v>26</v>
      </c>
      <c r="R2864" t="str">
        <f>IF(COUNTIF(Sheet2!B:B, A2864) &gt; 0, "Yes", "No")</f>
        <v>No</v>
      </c>
    </row>
    <row r="2865" spans="1:18" x14ac:dyDescent="0.25">
      <c r="A2865" s="3">
        <v>45558</v>
      </c>
      <c r="B2865" t="s">
        <v>342</v>
      </c>
      <c r="C2865" t="s">
        <v>19</v>
      </c>
      <c r="D2865" t="s">
        <v>20</v>
      </c>
      <c r="E2865" t="s">
        <v>21</v>
      </c>
      <c r="F2865" t="s">
        <v>30</v>
      </c>
      <c r="G2865" t="s">
        <v>55</v>
      </c>
      <c r="H2865" t="s">
        <v>183</v>
      </c>
      <c r="I2865">
        <v>0.09</v>
      </c>
      <c r="J2865">
        <f t="shared" si="132"/>
        <v>56.699999999999996</v>
      </c>
      <c r="K2865">
        <v>1</v>
      </c>
      <c r="L2865">
        <f t="shared" si="133"/>
        <v>55.699999999999996</v>
      </c>
      <c r="M2865" s="4">
        <f t="shared" si="134"/>
        <v>7.9571428571428571E-2</v>
      </c>
      <c r="N2865">
        <v>700</v>
      </c>
      <c r="O2865">
        <v>630</v>
      </c>
      <c r="P2865" t="s">
        <v>25</v>
      </c>
      <c r="Q2865" t="s">
        <v>26</v>
      </c>
      <c r="R2865" t="str">
        <f>IF(COUNTIF(Sheet2!B:B, A2865) &gt; 0, "Yes", "No")</f>
        <v>No</v>
      </c>
    </row>
    <row r="2866" spans="1:18" x14ac:dyDescent="0.25">
      <c r="A2866" s="3">
        <v>45558</v>
      </c>
      <c r="B2866" t="s">
        <v>342</v>
      </c>
      <c r="C2866" t="s">
        <v>19</v>
      </c>
      <c r="D2866" t="s">
        <v>33</v>
      </c>
      <c r="E2866" t="s">
        <v>21</v>
      </c>
      <c r="F2866" t="s">
        <v>34</v>
      </c>
      <c r="G2866" t="s">
        <v>57</v>
      </c>
      <c r="H2866" t="s">
        <v>702</v>
      </c>
      <c r="I2866">
        <v>0.15</v>
      </c>
      <c r="J2866">
        <f t="shared" si="132"/>
        <v>60</v>
      </c>
      <c r="K2866">
        <v>1</v>
      </c>
      <c r="L2866">
        <f t="shared" si="133"/>
        <v>59</v>
      </c>
      <c r="M2866" s="4">
        <f t="shared" si="134"/>
        <v>0.12040816326530612</v>
      </c>
      <c r="N2866">
        <v>490</v>
      </c>
      <c r="O2866">
        <v>400</v>
      </c>
      <c r="P2866" t="s">
        <v>25</v>
      </c>
      <c r="Q2866" t="s">
        <v>26</v>
      </c>
      <c r="R2866" t="str">
        <f>IF(COUNTIF(Sheet2!B:B, A2866) &gt; 0, "Yes", "No")</f>
        <v>No</v>
      </c>
    </row>
    <row r="2867" spans="1:18" x14ac:dyDescent="0.25">
      <c r="A2867" s="3">
        <v>45558</v>
      </c>
      <c r="B2867" t="s">
        <v>342</v>
      </c>
      <c r="C2867" t="s">
        <v>19</v>
      </c>
      <c r="D2867" t="s">
        <v>20</v>
      </c>
      <c r="E2867" t="s">
        <v>21</v>
      </c>
      <c r="F2867" t="s">
        <v>37</v>
      </c>
      <c r="G2867" t="s">
        <v>71</v>
      </c>
      <c r="H2867" t="s">
        <v>151</v>
      </c>
      <c r="I2867">
        <v>0.03</v>
      </c>
      <c r="J2867">
        <f t="shared" si="132"/>
        <v>18.899999999999999</v>
      </c>
      <c r="K2867">
        <v>2</v>
      </c>
      <c r="L2867">
        <f t="shared" si="133"/>
        <v>16.899999999999999</v>
      </c>
      <c r="M2867" s="4">
        <f t="shared" si="134"/>
        <v>2.414285714285714E-2</v>
      </c>
      <c r="N2867">
        <v>700</v>
      </c>
      <c r="O2867">
        <v>630</v>
      </c>
      <c r="P2867" t="s">
        <v>25</v>
      </c>
      <c r="Q2867" t="s">
        <v>26</v>
      </c>
      <c r="R2867" t="str">
        <f>IF(COUNTIF(Sheet2!B:B, A2867) &gt; 0, "Yes", "No")</f>
        <v>No</v>
      </c>
    </row>
    <row r="2868" spans="1:18" x14ac:dyDescent="0.25">
      <c r="A2868" s="3">
        <v>45558</v>
      </c>
      <c r="B2868" t="s">
        <v>342</v>
      </c>
      <c r="C2868" t="s">
        <v>19</v>
      </c>
      <c r="D2868" t="s">
        <v>20</v>
      </c>
      <c r="E2868" t="s">
        <v>21</v>
      </c>
      <c r="F2868" t="s">
        <v>40</v>
      </c>
      <c r="G2868" t="s">
        <v>127</v>
      </c>
      <c r="H2868" t="s">
        <v>358</v>
      </c>
      <c r="I2868">
        <v>4.4999999999999998E-2</v>
      </c>
      <c r="J2868">
        <f t="shared" si="132"/>
        <v>28.349999999999998</v>
      </c>
      <c r="K2868">
        <v>2</v>
      </c>
      <c r="L2868">
        <f t="shared" si="133"/>
        <v>26.349999999999998</v>
      </c>
      <c r="M2868" s="4">
        <f t="shared" si="134"/>
        <v>3.7642857142857138E-2</v>
      </c>
      <c r="N2868">
        <v>700</v>
      </c>
      <c r="O2868">
        <v>630</v>
      </c>
      <c r="P2868" t="s">
        <v>25</v>
      </c>
      <c r="Q2868" t="s">
        <v>26</v>
      </c>
      <c r="R2868" t="str">
        <f>IF(COUNTIF(Sheet2!B:B, A2868) &gt; 0, "Yes", "No")</f>
        <v>No</v>
      </c>
    </row>
    <row r="2869" spans="1:18" x14ac:dyDescent="0.25">
      <c r="A2869" s="3">
        <v>45558</v>
      </c>
      <c r="B2869" t="s">
        <v>342</v>
      </c>
      <c r="C2869" t="s">
        <v>19</v>
      </c>
      <c r="D2869" t="s">
        <v>20</v>
      </c>
      <c r="E2869" t="s">
        <v>21</v>
      </c>
      <c r="F2869" t="s">
        <v>43</v>
      </c>
      <c r="G2869" t="s">
        <v>44</v>
      </c>
      <c r="H2869" t="s">
        <v>399</v>
      </c>
      <c r="I2869">
        <v>0.11</v>
      </c>
      <c r="J2869">
        <f t="shared" si="132"/>
        <v>69.3</v>
      </c>
      <c r="K2869">
        <v>1</v>
      </c>
      <c r="L2869">
        <f t="shared" si="133"/>
        <v>68.3</v>
      </c>
      <c r="M2869" s="4">
        <f t="shared" si="134"/>
        <v>9.7571428571428573E-2</v>
      </c>
      <c r="N2869">
        <v>700</v>
      </c>
      <c r="O2869">
        <v>630</v>
      </c>
      <c r="P2869" t="s">
        <v>25</v>
      </c>
      <c r="Q2869" t="s">
        <v>26</v>
      </c>
      <c r="R2869" t="str">
        <f>IF(COUNTIF(Sheet2!B:B, A2869) &gt; 0, "Yes", "No")</f>
        <v>No</v>
      </c>
    </row>
    <row r="2870" spans="1:18" x14ac:dyDescent="0.25">
      <c r="A2870" s="3">
        <v>45558</v>
      </c>
      <c r="B2870" t="s">
        <v>342</v>
      </c>
      <c r="C2870" t="s">
        <v>19</v>
      </c>
      <c r="D2870" t="s">
        <v>20</v>
      </c>
      <c r="E2870" t="s">
        <v>21</v>
      </c>
      <c r="F2870" t="s">
        <v>46</v>
      </c>
      <c r="G2870" t="s">
        <v>47</v>
      </c>
      <c r="H2870" t="s">
        <v>403</v>
      </c>
      <c r="I2870">
        <v>8.5000000000000006E-2</v>
      </c>
      <c r="J2870">
        <f t="shared" si="132"/>
        <v>53.550000000000004</v>
      </c>
      <c r="K2870">
        <v>2</v>
      </c>
      <c r="L2870">
        <f t="shared" si="133"/>
        <v>51.550000000000004</v>
      </c>
      <c r="M2870" s="4">
        <f t="shared" si="134"/>
        <v>7.3642857142857149E-2</v>
      </c>
      <c r="N2870">
        <v>700</v>
      </c>
      <c r="O2870">
        <v>630</v>
      </c>
      <c r="P2870" t="s">
        <v>25</v>
      </c>
      <c r="Q2870" t="s">
        <v>26</v>
      </c>
      <c r="R2870" t="str">
        <f>IF(COUNTIF(Sheet2!B:B, A2870) &gt; 0, "Yes", "No")</f>
        <v>No</v>
      </c>
    </row>
    <row r="2871" spans="1:18" x14ac:dyDescent="0.25">
      <c r="A2871" s="3">
        <v>45558</v>
      </c>
      <c r="B2871" t="s">
        <v>342</v>
      </c>
      <c r="C2871" t="s">
        <v>19</v>
      </c>
      <c r="D2871" t="s">
        <v>20</v>
      </c>
      <c r="E2871" t="s">
        <v>21</v>
      </c>
      <c r="F2871" t="s">
        <v>49</v>
      </c>
      <c r="G2871" t="s">
        <v>50</v>
      </c>
      <c r="H2871" t="s">
        <v>49</v>
      </c>
      <c r="I2871">
        <v>0.09</v>
      </c>
      <c r="J2871">
        <f t="shared" si="132"/>
        <v>56.699999999999996</v>
      </c>
      <c r="K2871">
        <v>0.5</v>
      </c>
      <c r="L2871">
        <f t="shared" si="133"/>
        <v>56.199999999999996</v>
      </c>
      <c r="M2871" s="4">
        <f t="shared" si="134"/>
        <v>8.028571428571428E-2</v>
      </c>
      <c r="N2871">
        <v>700</v>
      </c>
      <c r="O2871">
        <v>630</v>
      </c>
      <c r="P2871" t="s">
        <v>25</v>
      </c>
      <c r="Q2871" t="s">
        <v>26</v>
      </c>
      <c r="R2871" t="str">
        <f>IF(COUNTIF(Sheet2!B:B, A2871) &gt; 0, "Yes", "No")</f>
        <v>No</v>
      </c>
    </row>
    <row r="2872" spans="1:18" x14ac:dyDescent="0.25">
      <c r="A2872" s="3">
        <v>45559</v>
      </c>
      <c r="B2872" t="s">
        <v>342</v>
      </c>
      <c r="C2872" t="s">
        <v>105</v>
      </c>
      <c r="D2872" t="s">
        <v>20</v>
      </c>
      <c r="E2872" t="s">
        <v>67</v>
      </c>
      <c r="F2872" t="s">
        <v>22</v>
      </c>
      <c r="G2872" t="s">
        <v>94</v>
      </c>
      <c r="H2872" t="s">
        <v>95</v>
      </c>
      <c r="I2872">
        <v>8.5000000000000006E-2</v>
      </c>
      <c r="J2872">
        <f t="shared" si="132"/>
        <v>53.550000000000004</v>
      </c>
      <c r="K2872">
        <v>0.5</v>
      </c>
      <c r="L2872">
        <f t="shared" si="133"/>
        <v>53.050000000000004</v>
      </c>
      <c r="M2872" s="4">
        <f t="shared" si="134"/>
        <v>7.578571428571429E-2</v>
      </c>
      <c r="N2872">
        <v>700</v>
      </c>
      <c r="O2872">
        <v>630</v>
      </c>
      <c r="P2872" t="s">
        <v>25</v>
      </c>
      <c r="Q2872" t="s">
        <v>26</v>
      </c>
      <c r="R2872" t="str">
        <f>IF(COUNTIF(Sheet2!B:B, A2872) &gt; 0, "Yes", "No")</f>
        <v>No</v>
      </c>
    </row>
    <row r="2873" spans="1:18" x14ac:dyDescent="0.25">
      <c r="A2873" s="3">
        <v>45559</v>
      </c>
      <c r="B2873" t="s">
        <v>342</v>
      </c>
      <c r="C2873" t="s">
        <v>105</v>
      </c>
      <c r="D2873" t="s">
        <v>20</v>
      </c>
      <c r="E2873" t="s">
        <v>67</v>
      </c>
      <c r="F2873" t="s">
        <v>27</v>
      </c>
      <c r="G2873" t="s">
        <v>304</v>
      </c>
      <c r="H2873" t="s">
        <v>651</v>
      </c>
      <c r="I2873">
        <v>0.12</v>
      </c>
      <c r="J2873">
        <f t="shared" si="132"/>
        <v>75.599999999999994</v>
      </c>
      <c r="K2873">
        <v>0</v>
      </c>
      <c r="L2873">
        <f t="shared" si="133"/>
        <v>75.599999999999994</v>
      </c>
      <c r="M2873" s="4">
        <f t="shared" si="134"/>
        <v>0.108</v>
      </c>
      <c r="N2873">
        <v>700</v>
      </c>
      <c r="O2873">
        <v>630</v>
      </c>
      <c r="P2873" t="s">
        <v>25</v>
      </c>
      <c r="Q2873" t="s">
        <v>26</v>
      </c>
      <c r="R2873" t="str">
        <f>IF(COUNTIF(Sheet2!B:B, A2873) &gt; 0, "Yes", "No")</f>
        <v>No</v>
      </c>
    </row>
    <row r="2874" spans="1:18" x14ac:dyDescent="0.25">
      <c r="A2874" s="3">
        <v>45559</v>
      </c>
      <c r="B2874" t="s">
        <v>342</v>
      </c>
      <c r="C2874" t="s">
        <v>105</v>
      </c>
      <c r="D2874" t="s">
        <v>20</v>
      </c>
      <c r="E2874" t="s">
        <v>67</v>
      </c>
      <c r="F2874" t="s">
        <v>30</v>
      </c>
      <c r="G2874" t="s">
        <v>31</v>
      </c>
      <c r="H2874" t="s">
        <v>31</v>
      </c>
      <c r="I2874">
        <v>0.09</v>
      </c>
      <c r="J2874">
        <f t="shared" si="132"/>
        <v>56.699999999999996</v>
      </c>
      <c r="K2874">
        <v>0</v>
      </c>
      <c r="L2874">
        <f t="shared" si="133"/>
        <v>56.699999999999996</v>
      </c>
      <c r="M2874" s="4">
        <f t="shared" si="134"/>
        <v>8.0999999999999989E-2</v>
      </c>
      <c r="N2874">
        <v>700</v>
      </c>
      <c r="O2874">
        <v>630</v>
      </c>
      <c r="P2874" t="s">
        <v>25</v>
      </c>
      <c r="Q2874" t="s">
        <v>26</v>
      </c>
      <c r="R2874" t="str">
        <f>IF(COUNTIF(Sheet2!B:B, A2874) &gt; 0, "Yes", "No")</f>
        <v>No</v>
      </c>
    </row>
    <row r="2875" spans="1:18" x14ac:dyDescent="0.25">
      <c r="A2875" s="3">
        <v>45559</v>
      </c>
      <c r="B2875" t="s">
        <v>342</v>
      </c>
      <c r="C2875" t="s">
        <v>105</v>
      </c>
      <c r="D2875" t="s">
        <v>20</v>
      </c>
      <c r="E2875" t="s">
        <v>67</v>
      </c>
      <c r="F2875" t="s">
        <v>37</v>
      </c>
      <c r="G2875" t="s">
        <v>117</v>
      </c>
      <c r="H2875" t="s">
        <v>421</v>
      </c>
      <c r="I2875">
        <v>3.5000000000000003E-2</v>
      </c>
      <c r="J2875">
        <f t="shared" si="132"/>
        <v>22.05</v>
      </c>
      <c r="K2875">
        <v>0.5</v>
      </c>
      <c r="L2875">
        <f t="shared" si="133"/>
        <v>21.55</v>
      </c>
      <c r="M2875" s="4">
        <f t="shared" si="134"/>
        <v>3.0785714285714288E-2</v>
      </c>
      <c r="N2875">
        <v>700</v>
      </c>
      <c r="O2875">
        <v>630</v>
      </c>
      <c r="P2875" t="s">
        <v>25</v>
      </c>
      <c r="Q2875" t="s">
        <v>26</v>
      </c>
      <c r="R2875" t="str">
        <f>IF(COUNTIF(Sheet2!B:B, A2875) &gt; 0, "Yes", "No")</f>
        <v>No</v>
      </c>
    </row>
    <row r="2876" spans="1:18" x14ac:dyDescent="0.25">
      <c r="A2876" s="3">
        <v>45559</v>
      </c>
      <c r="B2876" t="s">
        <v>342</v>
      </c>
      <c r="C2876" t="s">
        <v>105</v>
      </c>
      <c r="D2876" t="s">
        <v>20</v>
      </c>
      <c r="E2876" t="s">
        <v>67</v>
      </c>
      <c r="F2876" t="s">
        <v>40</v>
      </c>
      <c r="G2876" t="s">
        <v>137</v>
      </c>
      <c r="H2876" t="s">
        <v>138</v>
      </c>
      <c r="I2876">
        <v>0.05</v>
      </c>
      <c r="J2876">
        <f t="shared" si="132"/>
        <v>31.5</v>
      </c>
      <c r="K2876">
        <v>2</v>
      </c>
      <c r="L2876">
        <f t="shared" si="133"/>
        <v>29.5</v>
      </c>
      <c r="M2876" s="4">
        <f t="shared" si="134"/>
        <v>4.2142857142857142E-2</v>
      </c>
      <c r="N2876">
        <v>700</v>
      </c>
      <c r="O2876">
        <v>630</v>
      </c>
      <c r="P2876" t="s">
        <v>25</v>
      </c>
      <c r="Q2876" t="s">
        <v>26</v>
      </c>
      <c r="R2876" t="str">
        <f>IF(COUNTIF(Sheet2!B:B, A2876) &gt; 0, "Yes", "No")</f>
        <v>No</v>
      </c>
    </row>
    <row r="2877" spans="1:18" x14ac:dyDescent="0.25">
      <c r="A2877" s="3">
        <v>45559</v>
      </c>
      <c r="B2877" t="s">
        <v>342</v>
      </c>
      <c r="C2877" t="s">
        <v>105</v>
      </c>
      <c r="D2877" t="s">
        <v>20</v>
      </c>
      <c r="E2877" t="s">
        <v>67</v>
      </c>
      <c r="F2877" t="s">
        <v>43</v>
      </c>
      <c r="G2877" t="s">
        <v>111</v>
      </c>
      <c r="H2877" t="s">
        <v>475</v>
      </c>
      <c r="I2877">
        <v>0.11</v>
      </c>
      <c r="J2877">
        <f t="shared" si="132"/>
        <v>69.3</v>
      </c>
      <c r="K2877">
        <v>0</v>
      </c>
      <c r="L2877">
        <f t="shared" si="133"/>
        <v>69.3</v>
      </c>
      <c r="M2877" s="4">
        <f t="shared" si="134"/>
        <v>9.8999999999999991E-2</v>
      </c>
      <c r="N2877">
        <v>700</v>
      </c>
      <c r="O2877">
        <v>630</v>
      </c>
      <c r="P2877" t="s">
        <v>25</v>
      </c>
      <c r="Q2877" t="s">
        <v>26</v>
      </c>
      <c r="R2877" t="str">
        <f>IF(COUNTIF(Sheet2!B:B, A2877) &gt; 0, "Yes", "No")</f>
        <v>No</v>
      </c>
    </row>
    <row r="2878" spans="1:18" x14ac:dyDescent="0.25">
      <c r="A2878" s="3">
        <v>45559</v>
      </c>
      <c r="B2878" t="s">
        <v>342</v>
      </c>
      <c r="C2878" t="s">
        <v>105</v>
      </c>
      <c r="D2878" t="s">
        <v>20</v>
      </c>
      <c r="E2878" t="s">
        <v>67</v>
      </c>
      <c r="F2878" t="s">
        <v>46</v>
      </c>
      <c r="G2878" t="s">
        <v>103</v>
      </c>
      <c r="H2878" t="s">
        <v>631</v>
      </c>
      <c r="I2878">
        <v>0.09</v>
      </c>
      <c r="J2878">
        <f t="shared" si="132"/>
        <v>56.699999999999996</v>
      </c>
      <c r="K2878">
        <v>2</v>
      </c>
      <c r="L2878">
        <f t="shared" si="133"/>
        <v>54.699999999999996</v>
      </c>
      <c r="M2878" s="4">
        <f t="shared" si="134"/>
        <v>7.8142857142857139E-2</v>
      </c>
      <c r="N2878">
        <v>700</v>
      </c>
      <c r="O2878">
        <v>630</v>
      </c>
      <c r="P2878" t="s">
        <v>25</v>
      </c>
      <c r="Q2878" t="s">
        <v>26</v>
      </c>
      <c r="R2878" t="str">
        <f>IF(COUNTIF(Sheet2!B:B, A2878) &gt; 0, "Yes", "No")</f>
        <v>No</v>
      </c>
    </row>
    <row r="2879" spans="1:18" x14ac:dyDescent="0.25">
      <c r="A2879" s="3">
        <v>45559</v>
      </c>
      <c r="B2879" t="s">
        <v>342</v>
      </c>
      <c r="C2879" t="s">
        <v>105</v>
      </c>
      <c r="D2879" t="s">
        <v>20</v>
      </c>
      <c r="E2879" t="s">
        <v>67</v>
      </c>
      <c r="F2879" t="s">
        <v>49</v>
      </c>
      <c r="G2879" t="s">
        <v>50</v>
      </c>
      <c r="H2879" t="s">
        <v>49</v>
      </c>
      <c r="I2879">
        <v>0.09</v>
      </c>
      <c r="J2879">
        <f t="shared" si="132"/>
        <v>56.699999999999996</v>
      </c>
      <c r="K2879">
        <v>2</v>
      </c>
      <c r="L2879">
        <f t="shared" si="133"/>
        <v>54.699999999999996</v>
      </c>
      <c r="M2879" s="4">
        <f t="shared" si="134"/>
        <v>7.8142857142857139E-2</v>
      </c>
      <c r="N2879">
        <v>700</v>
      </c>
      <c r="O2879">
        <v>630</v>
      </c>
      <c r="P2879" t="s">
        <v>25</v>
      </c>
      <c r="Q2879" t="s">
        <v>26</v>
      </c>
      <c r="R2879" t="str">
        <f>IF(COUNTIF(Sheet2!B:B, A2879) &gt; 0, "Yes", "No")</f>
        <v>No</v>
      </c>
    </row>
    <row r="2880" spans="1:18" x14ac:dyDescent="0.25">
      <c r="A2880" s="3">
        <v>45560</v>
      </c>
      <c r="B2880" t="s">
        <v>342</v>
      </c>
      <c r="C2880" t="s">
        <v>51</v>
      </c>
      <c r="D2880" t="s">
        <v>20</v>
      </c>
      <c r="E2880" t="s">
        <v>21</v>
      </c>
      <c r="F2880" t="s">
        <v>22</v>
      </c>
      <c r="G2880" t="s">
        <v>122</v>
      </c>
      <c r="H2880" t="s">
        <v>703</v>
      </c>
      <c r="I2880">
        <v>8.5000000000000006E-2</v>
      </c>
      <c r="J2880">
        <f t="shared" si="132"/>
        <v>55.250000000000007</v>
      </c>
      <c r="K2880">
        <v>0</v>
      </c>
      <c r="L2880">
        <f t="shared" si="133"/>
        <v>55.250000000000007</v>
      </c>
      <c r="M2880" s="4">
        <f t="shared" si="134"/>
        <v>7.6736111111111116E-2</v>
      </c>
      <c r="N2880">
        <v>720</v>
      </c>
      <c r="O2880">
        <v>650</v>
      </c>
      <c r="P2880" t="s">
        <v>25</v>
      </c>
      <c r="Q2880" t="s">
        <v>26</v>
      </c>
      <c r="R2880" t="str">
        <f>IF(COUNTIF(Sheet2!B:B, A2880) &gt; 0, "Yes", "No")</f>
        <v>No</v>
      </c>
    </row>
    <row r="2881" spans="1:18" x14ac:dyDescent="0.25">
      <c r="A2881" s="3">
        <v>45560</v>
      </c>
      <c r="B2881" t="s">
        <v>342</v>
      </c>
      <c r="C2881" t="s">
        <v>51</v>
      </c>
      <c r="D2881" t="s">
        <v>20</v>
      </c>
      <c r="E2881" t="s">
        <v>21</v>
      </c>
      <c r="F2881" t="s">
        <v>27</v>
      </c>
      <c r="G2881" t="s">
        <v>28</v>
      </c>
      <c r="H2881" t="s">
        <v>210</v>
      </c>
      <c r="I2881">
        <v>0.11</v>
      </c>
      <c r="J2881">
        <f t="shared" si="132"/>
        <v>71.5</v>
      </c>
      <c r="K2881">
        <v>1</v>
      </c>
      <c r="L2881">
        <f t="shared" si="133"/>
        <v>70.5</v>
      </c>
      <c r="M2881" s="4">
        <f t="shared" si="134"/>
        <v>9.7916666666666666E-2</v>
      </c>
      <c r="N2881">
        <v>720</v>
      </c>
      <c r="O2881">
        <v>650</v>
      </c>
      <c r="P2881" t="s">
        <v>25</v>
      </c>
      <c r="Q2881" t="s">
        <v>26</v>
      </c>
      <c r="R2881" t="str">
        <f>IF(COUNTIF(Sheet2!B:B, A2881) &gt; 0, "Yes", "No")</f>
        <v>No</v>
      </c>
    </row>
    <row r="2882" spans="1:18" x14ac:dyDescent="0.25">
      <c r="A2882" s="3">
        <v>45560</v>
      </c>
      <c r="B2882" t="s">
        <v>342</v>
      </c>
      <c r="C2882" t="s">
        <v>51</v>
      </c>
      <c r="D2882" t="s">
        <v>20</v>
      </c>
      <c r="E2882" t="s">
        <v>21</v>
      </c>
      <c r="F2882" t="s">
        <v>30</v>
      </c>
      <c r="G2882" t="s">
        <v>55</v>
      </c>
      <c r="H2882" t="s">
        <v>134</v>
      </c>
      <c r="I2882">
        <v>0.09</v>
      </c>
      <c r="J2882">
        <f t="shared" si="132"/>
        <v>58.5</v>
      </c>
      <c r="K2882">
        <v>1</v>
      </c>
      <c r="L2882">
        <f t="shared" si="133"/>
        <v>57.5</v>
      </c>
      <c r="M2882" s="4">
        <f t="shared" si="134"/>
        <v>7.9861111111111105E-2</v>
      </c>
      <c r="N2882">
        <v>720</v>
      </c>
      <c r="O2882">
        <v>650</v>
      </c>
      <c r="P2882" t="s">
        <v>25</v>
      </c>
      <c r="Q2882" t="s">
        <v>26</v>
      </c>
      <c r="R2882" t="str">
        <f>IF(COUNTIF(Sheet2!B:B, A2882) &gt; 0, "Yes", "No")</f>
        <v>No</v>
      </c>
    </row>
    <row r="2883" spans="1:18" x14ac:dyDescent="0.25">
      <c r="A2883" s="3">
        <v>45560</v>
      </c>
      <c r="B2883" t="s">
        <v>342</v>
      </c>
      <c r="C2883" t="s">
        <v>51</v>
      </c>
      <c r="D2883" t="s">
        <v>33</v>
      </c>
      <c r="E2883" t="s">
        <v>21</v>
      </c>
      <c r="F2883" t="s">
        <v>34</v>
      </c>
      <c r="G2883" t="s">
        <v>57</v>
      </c>
      <c r="H2883" t="s">
        <v>704</v>
      </c>
      <c r="I2883">
        <v>0.15</v>
      </c>
      <c r="J2883">
        <f t="shared" ref="J2883:J2946" si="135">I2883*O2883</f>
        <v>66</v>
      </c>
      <c r="K2883">
        <v>1.5</v>
      </c>
      <c r="L2883">
        <f t="shared" ref="L2883:L2946" si="136">J2883-K2883</f>
        <v>64.5</v>
      </c>
      <c r="M2883" s="4">
        <f t="shared" ref="M2883:M2946" si="137">((I2883*O2883)-K2883)/N2883</f>
        <v>0.12797619047619047</v>
      </c>
      <c r="N2883">
        <v>504</v>
      </c>
      <c r="O2883">
        <v>440</v>
      </c>
      <c r="P2883" t="s">
        <v>25</v>
      </c>
      <c r="Q2883" t="s">
        <v>26</v>
      </c>
      <c r="R2883" t="str">
        <f>IF(COUNTIF(Sheet2!B:B, A2883) &gt; 0, "Yes", "No")</f>
        <v>No</v>
      </c>
    </row>
    <row r="2884" spans="1:18" x14ac:dyDescent="0.25">
      <c r="A2884" s="3">
        <v>45560</v>
      </c>
      <c r="B2884" t="s">
        <v>342</v>
      </c>
      <c r="C2884" t="s">
        <v>51</v>
      </c>
      <c r="D2884" t="s">
        <v>20</v>
      </c>
      <c r="E2884" t="s">
        <v>21</v>
      </c>
      <c r="F2884" t="s">
        <v>37</v>
      </c>
      <c r="G2884" t="s">
        <v>38</v>
      </c>
      <c r="H2884" t="s">
        <v>39</v>
      </c>
      <c r="I2884">
        <v>0.03</v>
      </c>
      <c r="J2884">
        <f t="shared" si="135"/>
        <v>19.5</v>
      </c>
      <c r="K2884">
        <v>2</v>
      </c>
      <c r="L2884">
        <f t="shared" si="136"/>
        <v>17.5</v>
      </c>
      <c r="M2884" s="4">
        <f t="shared" si="137"/>
        <v>2.4305555555555556E-2</v>
      </c>
      <c r="N2884">
        <v>720</v>
      </c>
      <c r="O2884">
        <v>650</v>
      </c>
      <c r="P2884" t="s">
        <v>25</v>
      </c>
      <c r="Q2884" t="s">
        <v>26</v>
      </c>
      <c r="R2884" t="str">
        <f>IF(COUNTIF(Sheet2!B:B, A2884) &gt; 0, "Yes", "No")</f>
        <v>No</v>
      </c>
    </row>
    <row r="2885" spans="1:18" x14ac:dyDescent="0.25">
      <c r="A2885" s="3">
        <v>45560</v>
      </c>
      <c r="B2885" t="s">
        <v>342</v>
      </c>
      <c r="C2885" t="s">
        <v>51</v>
      </c>
      <c r="D2885" t="s">
        <v>20</v>
      </c>
      <c r="E2885" t="s">
        <v>21</v>
      </c>
      <c r="F2885" t="s">
        <v>40</v>
      </c>
      <c r="G2885" t="s">
        <v>164</v>
      </c>
      <c r="H2885" t="s">
        <v>193</v>
      </c>
      <c r="I2885">
        <v>4.4999999999999998E-2</v>
      </c>
      <c r="J2885">
        <f t="shared" si="135"/>
        <v>29.25</v>
      </c>
      <c r="K2885">
        <v>1</v>
      </c>
      <c r="L2885">
        <f t="shared" si="136"/>
        <v>28.25</v>
      </c>
      <c r="M2885" s="4">
        <f t="shared" si="137"/>
        <v>3.923611111111111E-2</v>
      </c>
      <c r="N2885">
        <v>720</v>
      </c>
      <c r="O2885">
        <v>650</v>
      </c>
      <c r="P2885" t="s">
        <v>25</v>
      </c>
      <c r="Q2885" t="s">
        <v>26</v>
      </c>
      <c r="R2885" t="str">
        <f>IF(COUNTIF(Sheet2!B:B, A2885) &gt; 0, "Yes", "No")</f>
        <v>No</v>
      </c>
    </row>
    <row r="2886" spans="1:18" x14ac:dyDescent="0.25">
      <c r="A2886" s="3">
        <v>45560</v>
      </c>
      <c r="B2886" t="s">
        <v>342</v>
      </c>
      <c r="C2886" t="s">
        <v>51</v>
      </c>
      <c r="D2886" t="s">
        <v>20</v>
      </c>
      <c r="E2886" t="s">
        <v>21</v>
      </c>
      <c r="F2886" t="s">
        <v>43</v>
      </c>
      <c r="G2886" t="s">
        <v>75</v>
      </c>
      <c r="H2886" t="s">
        <v>411</v>
      </c>
      <c r="I2886">
        <v>0.11</v>
      </c>
      <c r="J2886">
        <f t="shared" si="135"/>
        <v>71.5</v>
      </c>
      <c r="K2886">
        <v>2</v>
      </c>
      <c r="L2886">
        <f t="shared" si="136"/>
        <v>69.5</v>
      </c>
      <c r="M2886" s="4">
        <f t="shared" si="137"/>
        <v>9.6527777777777782E-2</v>
      </c>
      <c r="N2886">
        <v>720</v>
      </c>
      <c r="O2886">
        <v>650</v>
      </c>
      <c r="P2886" t="s">
        <v>25</v>
      </c>
      <c r="Q2886" t="s">
        <v>26</v>
      </c>
      <c r="R2886" t="str">
        <f>IF(COUNTIF(Sheet2!B:B, A2886) &gt; 0, "Yes", "No")</f>
        <v>No</v>
      </c>
    </row>
    <row r="2887" spans="1:18" x14ac:dyDescent="0.25">
      <c r="A2887" s="3">
        <v>45560</v>
      </c>
      <c r="B2887" t="s">
        <v>342</v>
      </c>
      <c r="C2887" t="s">
        <v>51</v>
      </c>
      <c r="D2887" t="s">
        <v>20</v>
      </c>
      <c r="E2887" t="s">
        <v>21</v>
      </c>
      <c r="F2887" t="s">
        <v>46</v>
      </c>
      <c r="G2887" t="s">
        <v>92</v>
      </c>
      <c r="H2887" t="s">
        <v>374</v>
      </c>
      <c r="I2887">
        <v>8.5000000000000006E-2</v>
      </c>
      <c r="J2887">
        <f t="shared" si="135"/>
        <v>55.250000000000007</v>
      </c>
      <c r="K2887">
        <v>1</v>
      </c>
      <c r="L2887">
        <f t="shared" si="136"/>
        <v>54.250000000000007</v>
      </c>
      <c r="M2887" s="4">
        <f t="shared" si="137"/>
        <v>7.5347222222222232E-2</v>
      </c>
      <c r="N2887">
        <v>720</v>
      </c>
      <c r="O2887">
        <v>650</v>
      </c>
      <c r="P2887" t="s">
        <v>25</v>
      </c>
      <c r="Q2887" t="s">
        <v>26</v>
      </c>
      <c r="R2887" t="str">
        <f>IF(COUNTIF(Sheet2!B:B, A2887) &gt; 0, "Yes", "No")</f>
        <v>No</v>
      </c>
    </row>
    <row r="2888" spans="1:18" x14ac:dyDescent="0.25">
      <c r="A2888" s="3">
        <v>45560</v>
      </c>
      <c r="B2888" t="s">
        <v>342</v>
      </c>
      <c r="C2888" t="s">
        <v>51</v>
      </c>
      <c r="D2888" t="s">
        <v>20</v>
      </c>
      <c r="E2888" t="s">
        <v>21</v>
      </c>
      <c r="F2888" t="s">
        <v>49</v>
      </c>
      <c r="G2888" t="s">
        <v>50</v>
      </c>
      <c r="H2888" t="s">
        <v>49</v>
      </c>
      <c r="I2888">
        <v>0.09</v>
      </c>
      <c r="J2888">
        <f t="shared" si="135"/>
        <v>58.5</v>
      </c>
      <c r="K2888">
        <v>1</v>
      </c>
      <c r="L2888">
        <f t="shared" si="136"/>
        <v>57.5</v>
      </c>
      <c r="M2888" s="4">
        <f t="shared" si="137"/>
        <v>7.9861111111111105E-2</v>
      </c>
      <c r="N2888">
        <v>720</v>
      </c>
      <c r="O2888">
        <v>650</v>
      </c>
      <c r="P2888" t="s">
        <v>25</v>
      </c>
      <c r="Q2888" t="s">
        <v>26</v>
      </c>
      <c r="R2888" t="str">
        <f>IF(COUNTIF(Sheet2!B:B, A2888) &gt; 0, "Yes", "No")</f>
        <v>No</v>
      </c>
    </row>
    <row r="2889" spans="1:18" x14ac:dyDescent="0.25">
      <c r="A2889" s="3">
        <v>45561</v>
      </c>
      <c r="B2889" t="s">
        <v>342</v>
      </c>
      <c r="C2889" t="s">
        <v>66</v>
      </c>
      <c r="D2889" t="s">
        <v>20</v>
      </c>
      <c r="E2889" t="s">
        <v>67</v>
      </c>
      <c r="F2889" t="s">
        <v>22</v>
      </c>
      <c r="G2889" t="s">
        <v>52</v>
      </c>
      <c r="H2889" t="s">
        <v>53</v>
      </c>
      <c r="I2889">
        <v>8.5000000000000006E-2</v>
      </c>
      <c r="J2889">
        <f t="shared" si="135"/>
        <v>51.000000000000007</v>
      </c>
      <c r="K2889">
        <v>1</v>
      </c>
      <c r="L2889">
        <f t="shared" si="136"/>
        <v>50.000000000000007</v>
      </c>
      <c r="M2889" s="4">
        <f t="shared" si="137"/>
        <v>7.3529411764705899E-2</v>
      </c>
      <c r="N2889">
        <v>680</v>
      </c>
      <c r="O2889">
        <v>600</v>
      </c>
      <c r="P2889" t="s">
        <v>25</v>
      </c>
      <c r="Q2889" t="s">
        <v>26</v>
      </c>
      <c r="R2889" t="str">
        <f>IF(COUNTIF(Sheet2!B:B, A2889) &gt; 0, "Yes", "No")</f>
        <v>No</v>
      </c>
    </row>
    <row r="2890" spans="1:18" x14ac:dyDescent="0.25">
      <c r="A2890" s="3">
        <v>45561</v>
      </c>
      <c r="B2890" t="s">
        <v>342</v>
      </c>
      <c r="C2890" t="s">
        <v>66</v>
      </c>
      <c r="D2890" t="s">
        <v>20</v>
      </c>
      <c r="E2890" t="s">
        <v>67</v>
      </c>
      <c r="F2890" t="s">
        <v>27</v>
      </c>
      <c r="G2890" t="s">
        <v>28</v>
      </c>
      <c r="H2890" t="s">
        <v>182</v>
      </c>
      <c r="I2890">
        <v>0.11</v>
      </c>
      <c r="J2890">
        <f t="shared" si="135"/>
        <v>66</v>
      </c>
      <c r="K2890">
        <v>2</v>
      </c>
      <c r="L2890">
        <f t="shared" si="136"/>
        <v>64</v>
      </c>
      <c r="M2890" s="4">
        <f t="shared" si="137"/>
        <v>9.4117647058823528E-2</v>
      </c>
      <c r="N2890">
        <v>680</v>
      </c>
      <c r="O2890">
        <v>600</v>
      </c>
      <c r="P2890" t="s">
        <v>25</v>
      </c>
      <c r="Q2890" t="s">
        <v>26</v>
      </c>
      <c r="R2890" t="str">
        <f>IF(COUNTIF(Sheet2!B:B, A2890) &gt; 0, "Yes", "No")</f>
        <v>No</v>
      </c>
    </row>
    <row r="2891" spans="1:18" x14ac:dyDescent="0.25">
      <c r="A2891" s="3">
        <v>45561</v>
      </c>
      <c r="B2891" t="s">
        <v>342</v>
      </c>
      <c r="C2891" t="s">
        <v>66</v>
      </c>
      <c r="D2891" t="s">
        <v>20</v>
      </c>
      <c r="E2891" t="s">
        <v>67</v>
      </c>
      <c r="F2891" t="s">
        <v>30</v>
      </c>
      <c r="G2891" t="s">
        <v>55</v>
      </c>
      <c r="H2891" t="s">
        <v>56</v>
      </c>
      <c r="I2891">
        <v>0.09</v>
      </c>
      <c r="J2891">
        <f t="shared" si="135"/>
        <v>54</v>
      </c>
      <c r="K2891">
        <v>1</v>
      </c>
      <c r="L2891">
        <f t="shared" si="136"/>
        <v>53</v>
      </c>
      <c r="M2891" s="4">
        <f t="shared" si="137"/>
        <v>7.7941176470588236E-2</v>
      </c>
      <c r="N2891">
        <v>680</v>
      </c>
      <c r="O2891">
        <v>600</v>
      </c>
      <c r="P2891" t="s">
        <v>25</v>
      </c>
      <c r="Q2891" t="s">
        <v>26</v>
      </c>
      <c r="R2891" t="str">
        <f>IF(COUNTIF(Sheet2!B:B, A2891) &gt; 0, "Yes", "No")</f>
        <v>No</v>
      </c>
    </row>
    <row r="2892" spans="1:18" x14ac:dyDescent="0.25">
      <c r="A2892" s="3">
        <v>45561</v>
      </c>
      <c r="B2892" t="s">
        <v>342</v>
      </c>
      <c r="C2892" t="s">
        <v>66</v>
      </c>
      <c r="D2892" t="s">
        <v>20</v>
      </c>
      <c r="E2892" t="s">
        <v>67</v>
      </c>
      <c r="F2892" t="s">
        <v>37</v>
      </c>
      <c r="G2892" t="s">
        <v>117</v>
      </c>
      <c r="H2892" t="s">
        <v>118</v>
      </c>
      <c r="I2892">
        <v>3.5000000000000003E-2</v>
      </c>
      <c r="J2892">
        <f t="shared" si="135"/>
        <v>21.000000000000004</v>
      </c>
      <c r="K2892">
        <v>2</v>
      </c>
      <c r="L2892">
        <f t="shared" si="136"/>
        <v>19.000000000000004</v>
      </c>
      <c r="M2892" s="4">
        <f t="shared" si="137"/>
        <v>2.794117647058824E-2</v>
      </c>
      <c r="N2892">
        <v>680</v>
      </c>
      <c r="O2892">
        <v>600</v>
      </c>
      <c r="P2892" t="s">
        <v>25</v>
      </c>
      <c r="Q2892" t="s">
        <v>26</v>
      </c>
      <c r="R2892" t="str">
        <f>IF(COUNTIF(Sheet2!B:B, A2892) &gt; 0, "Yes", "No")</f>
        <v>No</v>
      </c>
    </row>
    <row r="2893" spans="1:18" x14ac:dyDescent="0.25">
      <c r="A2893" s="3">
        <v>45561</v>
      </c>
      <c r="B2893" t="s">
        <v>342</v>
      </c>
      <c r="C2893" t="s">
        <v>66</v>
      </c>
      <c r="D2893" t="s">
        <v>20</v>
      </c>
      <c r="E2893" t="s">
        <v>67</v>
      </c>
      <c r="F2893" t="s">
        <v>40</v>
      </c>
      <c r="G2893" t="s">
        <v>61</v>
      </c>
      <c r="H2893" t="s">
        <v>62</v>
      </c>
      <c r="I2893">
        <v>0.05</v>
      </c>
      <c r="J2893">
        <f t="shared" si="135"/>
        <v>30</v>
      </c>
      <c r="K2893">
        <v>2</v>
      </c>
      <c r="L2893">
        <f t="shared" si="136"/>
        <v>28</v>
      </c>
      <c r="M2893" s="4">
        <f t="shared" si="137"/>
        <v>4.1176470588235294E-2</v>
      </c>
      <c r="N2893">
        <v>680</v>
      </c>
      <c r="O2893">
        <v>600</v>
      </c>
      <c r="P2893" t="s">
        <v>25</v>
      </c>
      <c r="Q2893" t="s">
        <v>26</v>
      </c>
      <c r="R2893" t="str">
        <f>IF(COUNTIF(Sheet2!B:B, A2893) &gt; 0, "Yes", "No")</f>
        <v>No</v>
      </c>
    </row>
    <row r="2894" spans="1:18" x14ac:dyDescent="0.25">
      <c r="A2894" s="3">
        <v>45561</v>
      </c>
      <c r="B2894" t="s">
        <v>342</v>
      </c>
      <c r="C2894" t="s">
        <v>66</v>
      </c>
      <c r="D2894" t="s">
        <v>20</v>
      </c>
      <c r="E2894" t="s">
        <v>67</v>
      </c>
      <c r="F2894" t="s">
        <v>43</v>
      </c>
      <c r="G2894" t="s">
        <v>90</v>
      </c>
      <c r="H2894" t="s">
        <v>705</v>
      </c>
      <c r="I2894">
        <v>0.11</v>
      </c>
      <c r="J2894">
        <f t="shared" si="135"/>
        <v>66</v>
      </c>
      <c r="K2894">
        <v>2</v>
      </c>
      <c r="L2894">
        <f t="shared" si="136"/>
        <v>64</v>
      </c>
      <c r="M2894" s="4">
        <f t="shared" si="137"/>
        <v>9.4117647058823528E-2</v>
      </c>
      <c r="N2894">
        <v>680</v>
      </c>
      <c r="O2894">
        <v>600</v>
      </c>
      <c r="P2894" t="s">
        <v>25</v>
      </c>
      <c r="Q2894" t="s">
        <v>26</v>
      </c>
      <c r="R2894" t="str">
        <f>IF(COUNTIF(Sheet2!B:B, A2894) &gt; 0, "Yes", "No")</f>
        <v>No</v>
      </c>
    </row>
    <row r="2895" spans="1:18" x14ac:dyDescent="0.25">
      <c r="A2895" s="3">
        <v>45561</v>
      </c>
      <c r="B2895" t="s">
        <v>342</v>
      </c>
      <c r="C2895" t="s">
        <v>66</v>
      </c>
      <c r="D2895" t="s">
        <v>20</v>
      </c>
      <c r="E2895" t="s">
        <v>67</v>
      </c>
      <c r="F2895" t="s">
        <v>46</v>
      </c>
      <c r="G2895" t="s">
        <v>47</v>
      </c>
      <c r="H2895" t="s">
        <v>706</v>
      </c>
      <c r="I2895">
        <v>8.5000000000000006E-2</v>
      </c>
      <c r="J2895">
        <f t="shared" si="135"/>
        <v>51.000000000000007</v>
      </c>
      <c r="K2895">
        <v>2</v>
      </c>
      <c r="L2895">
        <f t="shared" si="136"/>
        <v>49.000000000000007</v>
      </c>
      <c r="M2895" s="4">
        <f t="shared" si="137"/>
        <v>7.2058823529411772E-2</v>
      </c>
      <c r="N2895">
        <v>680</v>
      </c>
      <c r="O2895">
        <v>600</v>
      </c>
      <c r="P2895" t="s">
        <v>25</v>
      </c>
      <c r="Q2895" t="s">
        <v>26</v>
      </c>
      <c r="R2895" t="str">
        <f>IF(COUNTIF(Sheet2!B:B, A2895) &gt; 0, "Yes", "No")</f>
        <v>No</v>
      </c>
    </row>
    <row r="2896" spans="1:18" x14ac:dyDescent="0.25">
      <c r="A2896" s="3">
        <v>45561</v>
      </c>
      <c r="B2896" t="s">
        <v>342</v>
      </c>
      <c r="C2896" t="s">
        <v>66</v>
      </c>
      <c r="D2896" t="s">
        <v>20</v>
      </c>
      <c r="E2896" t="s">
        <v>67</v>
      </c>
      <c r="F2896" t="s">
        <v>49</v>
      </c>
      <c r="G2896" t="s">
        <v>50</v>
      </c>
      <c r="H2896" t="s">
        <v>49</v>
      </c>
      <c r="I2896">
        <v>0.09</v>
      </c>
      <c r="J2896">
        <f t="shared" si="135"/>
        <v>54</v>
      </c>
      <c r="K2896">
        <v>1</v>
      </c>
      <c r="L2896">
        <f t="shared" si="136"/>
        <v>53</v>
      </c>
      <c r="M2896" s="4">
        <f t="shared" si="137"/>
        <v>7.7941176470588236E-2</v>
      </c>
      <c r="N2896">
        <v>680</v>
      </c>
      <c r="O2896">
        <v>600</v>
      </c>
      <c r="P2896" t="s">
        <v>25</v>
      </c>
      <c r="Q2896" t="s">
        <v>26</v>
      </c>
      <c r="R2896" t="str">
        <f>IF(COUNTIF(Sheet2!B:B, A2896) &gt; 0, "Yes", "No")</f>
        <v>No</v>
      </c>
    </row>
    <row r="2897" spans="1:18" x14ac:dyDescent="0.25">
      <c r="A2897" s="3">
        <v>45562</v>
      </c>
      <c r="B2897" t="s">
        <v>342</v>
      </c>
      <c r="C2897" t="s">
        <v>79</v>
      </c>
      <c r="D2897" t="s">
        <v>20</v>
      </c>
      <c r="E2897" t="s">
        <v>21</v>
      </c>
      <c r="F2897" t="s">
        <v>22</v>
      </c>
      <c r="G2897" t="s">
        <v>94</v>
      </c>
      <c r="H2897" t="s">
        <v>368</v>
      </c>
      <c r="I2897" s="5">
        <v>0.06</v>
      </c>
      <c r="J2897">
        <f t="shared" si="135"/>
        <v>33</v>
      </c>
      <c r="K2897">
        <v>1</v>
      </c>
      <c r="L2897">
        <f t="shared" si="136"/>
        <v>32</v>
      </c>
      <c r="M2897" s="4">
        <f t="shared" si="137"/>
        <v>5.3333333333333337E-2</v>
      </c>
      <c r="N2897">
        <v>600</v>
      </c>
      <c r="O2897">
        <v>550</v>
      </c>
      <c r="P2897" t="s">
        <v>25</v>
      </c>
      <c r="Q2897" t="s">
        <v>26</v>
      </c>
      <c r="R2897" t="str">
        <f>IF(COUNTIF(Sheet2!B:B, A2897) &gt; 0, "Yes", "No")</f>
        <v>Yes</v>
      </c>
    </row>
    <row r="2898" spans="1:18" x14ac:dyDescent="0.25">
      <c r="A2898" s="3">
        <v>45562</v>
      </c>
      <c r="B2898" t="s">
        <v>342</v>
      </c>
      <c r="C2898" t="s">
        <v>79</v>
      </c>
      <c r="D2898" t="s">
        <v>20</v>
      </c>
      <c r="E2898" t="s">
        <v>21</v>
      </c>
      <c r="F2898" t="s">
        <v>27</v>
      </c>
      <c r="G2898" t="s">
        <v>81</v>
      </c>
      <c r="H2898" t="s">
        <v>618</v>
      </c>
      <c r="I2898" s="5">
        <v>0.1</v>
      </c>
      <c r="J2898">
        <f t="shared" si="135"/>
        <v>55</v>
      </c>
      <c r="K2898">
        <v>2</v>
      </c>
      <c r="L2898">
        <f t="shared" si="136"/>
        <v>53</v>
      </c>
      <c r="M2898" s="4">
        <f t="shared" si="137"/>
        <v>8.8333333333333333E-2</v>
      </c>
      <c r="N2898">
        <v>600</v>
      </c>
      <c r="O2898">
        <v>550</v>
      </c>
      <c r="P2898" t="s">
        <v>25</v>
      </c>
      <c r="Q2898" t="s">
        <v>26</v>
      </c>
      <c r="R2898" t="str">
        <f>IF(COUNTIF(Sheet2!B:B, A2898) &gt; 0, "Yes", "No")</f>
        <v>Yes</v>
      </c>
    </row>
    <row r="2899" spans="1:18" x14ac:dyDescent="0.25">
      <c r="A2899" s="3">
        <v>45562</v>
      </c>
      <c r="B2899" t="s">
        <v>342</v>
      </c>
      <c r="C2899" t="s">
        <v>79</v>
      </c>
      <c r="D2899" t="s">
        <v>20</v>
      </c>
      <c r="E2899" t="s">
        <v>21</v>
      </c>
      <c r="F2899" t="s">
        <v>30</v>
      </c>
      <c r="G2899" t="s">
        <v>31</v>
      </c>
      <c r="H2899" t="s">
        <v>70</v>
      </c>
      <c r="I2899" s="5">
        <v>0.06</v>
      </c>
      <c r="J2899">
        <f t="shared" si="135"/>
        <v>33</v>
      </c>
      <c r="K2899">
        <v>2</v>
      </c>
      <c r="L2899">
        <f t="shared" si="136"/>
        <v>31</v>
      </c>
      <c r="M2899" s="4">
        <f t="shared" si="137"/>
        <v>5.1666666666666666E-2</v>
      </c>
      <c r="N2899">
        <v>600</v>
      </c>
      <c r="O2899">
        <v>550</v>
      </c>
      <c r="P2899" t="s">
        <v>25</v>
      </c>
      <c r="Q2899" t="s">
        <v>26</v>
      </c>
      <c r="R2899" t="str">
        <f>IF(COUNTIF(Sheet2!B:B, A2899) &gt; 0, "Yes", "No")</f>
        <v>Yes</v>
      </c>
    </row>
    <row r="2900" spans="1:18" x14ac:dyDescent="0.25">
      <c r="A2900" s="3">
        <v>45562</v>
      </c>
      <c r="B2900" t="s">
        <v>342</v>
      </c>
      <c r="C2900" t="s">
        <v>79</v>
      </c>
      <c r="D2900" t="s">
        <v>33</v>
      </c>
      <c r="E2900" t="s">
        <v>21</v>
      </c>
      <c r="F2900" t="s">
        <v>84</v>
      </c>
      <c r="G2900" t="s">
        <v>85</v>
      </c>
      <c r="H2900" t="s">
        <v>363</v>
      </c>
      <c r="I2900" s="5">
        <v>0.3</v>
      </c>
      <c r="J2900">
        <f t="shared" si="135"/>
        <v>129</v>
      </c>
      <c r="K2900">
        <v>4</v>
      </c>
      <c r="L2900">
        <f t="shared" si="136"/>
        <v>125</v>
      </c>
      <c r="M2900" s="4">
        <f t="shared" si="137"/>
        <v>0.26041666666666669</v>
      </c>
      <c r="N2900">
        <v>480</v>
      </c>
      <c r="O2900">
        <v>430</v>
      </c>
      <c r="P2900" t="s">
        <v>25</v>
      </c>
      <c r="Q2900" t="s">
        <v>26</v>
      </c>
      <c r="R2900" t="str">
        <f>IF(COUNTIF(Sheet2!B:B, A2900) &gt; 0, "Yes", "No")</f>
        <v>Yes</v>
      </c>
    </row>
    <row r="2901" spans="1:18" x14ac:dyDescent="0.25">
      <c r="A2901" s="3">
        <v>45562</v>
      </c>
      <c r="B2901" t="s">
        <v>342</v>
      </c>
      <c r="C2901" t="s">
        <v>79</v>
      </c>
      <c r="D2901" t="s">
        <v>20</v>
      </c>
      <c r="E2901" t="s">
        <v>21</v>
      </c>
      <c r="F2901" t="s">
        <v>37</v>
      </c>
      <c r="G2901" t="s">
        <v>59</v>
      </c>
      <c r="H2901" t="s">
        <v>60</v>
      </c>
      <c r="I2901" s="5">
        <v>2.5000000000000001E-2</v>
      </c>
      <c r="J2901">
        <f t="shared" si="135"/>
        <v>13.75</v>
      </c>
      <c r="K2901">
        <v>2</v>
      </c>
      <c r="L2901">
        <f t="shared" si="136"/>
        <v>11.75</v>
      </c>
      <c r="M2901" s="4">
        <f t="shared" si="137"/>
        <v>1.9583333333333335E-2</v>
      </c>
      <c r="N2901">
        <v>600</v>
      </c>
      <c r="O2901">
        <v>550</v>
      </c>
      <c r="P2901" t="s">
        <v>25</v>
      </c>
      <c r="Q2901" t="s">
        <v>26</v>
      </c>
      <c r="R2901" t="str">
        <f>IF(COUNTIF(Sheet2!B:B, A2901) &gt; 0, "Yes", "No")</f>
        <v>Yes</v>
      </c>
    </row>
    <row r="2902" spans="1:18" x14ac:dyDescent="0.25">
      <c r="A2902" s="3">
        <v>45562</v>
      </c>
      <c r="B2902" t="s">
        <v>342</v>
      </c>
      <c r="C2902" t="s">
        <v>79</v>
      </c>
      <c r="D2902" t="s">
        <v>20</v>
      </c>
      <c r="E2902" t="s">
        <v>21</v>
      </c>
      <c r="F2902" t="s">
        <v>40</v>
      </c>
      <c r="G2902" t="s">
        <v>164</v>
      </c>
      <c r="H2902" t="s">
        <v>202</v>
      </c>
      <c r="I2902" s="5">
        <v>0.04</v>
      </c>
      <c r="J2902">
        <f t="shared" si="135"/>
        <v>22</v>
      </c>
      <c r="K2902">
        <v>2</v>
      </c>
      <c r="L2902">
        <f t="shared" si="136"/>
        <v>20</v>
      </c>
      <c r="M2902" s="4">
        <f t="shared" si="137"/>
        <v>3.3333333333333333E-2</v>
      </c>
      <c r="N2902">
        <v>600</v>
      </c>
      <c r="O2902">
        <v>550</v>
      </c>
      <c r="P2902" t="s">
        <v>25</v>
      </c>
      <c r="Q2902" t="s">
        <v>26</v>
      </c>
      <c r="R2902" t="str">
        <f>IF(COUNTIF(Sheet2!B:B, A2902) &gt; 0, "Yes", "No")</f>
        <v>Yes</v>
      </c>
    </row>
    <row r="2903" spans="1:18" x14ac:dyDescent="0.25">
      <c r="A2903" s="3">
        <v>45562</v>
      </c>
      <c r="B2903" t="s">
        <v>342</v>
      </c>
      <c r="C2903" t="s">
        <v>79</v>
      </c>
      <c r="D2903" t="s">
        <v>20</v>
      </c>
      <c r="E2903" t="s">
        <v>21</v>
      </c>
      <c r="F2903" t="s">
        <v>43</v>
      </c>
      <c r="G2903" t="s">
        <v>288</v>
      </c>
      <c r="H2903" t="s">
        <v>289</v>
      </c>
      <c r="I2903" s="5">
        <v>7.0000000000000007E-2</v>
      </c>
      <c r="J2903">
        <f t="shared" si="135"/>
        <v>38.500000000000007</v>
      </c>
      <c r="K2903">
        <v>3</v>
      </c>
      <c r="L2903">
        <f t="shared" si="136"/>
        <v>35.500000000000007</v>
      </c>
      <c r="M2903" s="4">
        <f t="shared" si="137"/>
        <v>5.916666666666668E-2</v>
      </c>
      <c r="N2903">
        <v>600</v>
      </c>
      <c r="O2903">
        <v>550</v>
      </c>
      <c r="P2903" t="s">
        <v>25</v>
      </c>
      <c r="Q2903" t="s">
        <v>26</v>
      </c>
      <c r="R2903" t="str">
        <f>IF(COUNTIF(Sheet2!B:B, A2903) &gt; 0, "Yes", "No")</f>
        <v>Yes</v>
      </c>
    </row>
    <row r="2904" spans="1:18" x14ac:dyDescent="0.25">
      <c r="A2904" s="3">
        <v>45562</v>
      </c>
      <c r="B2904" t="s">
        <v>342</v>
      </c>
      <c r="C2904" t="s">
        <v>79</v>
      </c>
      <c r="D2904" t="s">
        <v>20</v>
      </c>
      <c r="E2904" t="s">
        <v>21</v>
      </c>
      <c r="F2904" t="s">
        <v>46</v>
      </c>
      <c r="G2904" t="s">
        <v>412</v>
      </c>
      <c r="H2904" t="s">
        <v>491</v>
      </c>
      <c r="I2904" s="5">
        <v>0.06</v>
      </c>
      <c r="J2904">
        <f t="shared" si="135"/>
        <v>33</v>
      </c>
      <c r="K2904">
        <v>2</v>
      </c>
      <c r="L2904">
        <f t="shared" si="136"/>
        <v>31</v>
      </c>
      <c r="M2904" s="4">
        <f t="shared" si="137"/>
        <v>5.1666666666666666E-2</v>
      </c>
      <c r="N2904">
        <v>600</v>
      </c>
      <c r="O2904">
        <v>550</v>
      </c>
      <c r="P2904" t="s">
        <v>25</v>
      </c>
      <c r="Q2904" t="s">
        <v>26</v>
      </c>
      <c r="R2904" t="str">
        <f>IF(COUNTIF(Sheet2!B:B, A2904) &gt; 0, "Yes", "No")</f>
        <v>Yes</v>
      </c>
    </row>
    <row r="2905" spans="1:18" x14ac:dyDescent="0.25">
      <c r="A2905" s="3">
        <v>45562</v>
      </c>
      <c r="B2905" t="s">
        <v>342</v>
      </c>
      <c r="C2905" t="s">
        <v>79</v>
      </c>
      <c r="D2905" t="s">
        <v>20</v>
      </c>
      <c r="E2905" t="s">
        <v>21</v>
      </c>
      <c r="F2905" t="s">
        <v>49</v>
      </c>
      <c r="G2905" t="s">
        <v>50</v>
      </c>
      <c r="H2905" t="s">
        <v>49</v>
      </c>
      <c r="I2905" s="5">
        <v>0.04</v>
      </c>
      <c r="J2905">
        <f t="shared" si="135"/>
        <v>22</v>
      </c>
      <c r="K2905">
        <v>2</v>
      </c>
      <c r="L2905">
        <f t="shared" si="136"/>
        <v>20</v>
      </c>
      <c r="M2905" s="4">
        <f t="shared" si="137"/>
        <v>3.3333333333333333E-2</v>
      </c>
      <c r="N2905">
        <v>600</v>
      </c>
      <c r="O2905">
        <v>550</v>
      </c>
      <c r="P2905" t="s">
        <v>25</v>
      </c>
      <c r="Q2905" t="s">
        <v>26</v>
      </c>
      <c r="R2905" t="str">
        <f>IF(COUNTIF(Sheet2!B:B, A2905) &gt; 0, "Yes", "No")</f>
        <v>Yes</v>
      </c>
    </row>
    <row r="2906" spans="1:18" x14ac:dyDescent="0.25">
      <c r="A2906" s="3">
        <v>45565</v>
      </c>
      <c r="B2906" t="s">
        <v>342</v>
      </c>
      <c r="C2906" t="s">
        <v>19</v>
      </c>
      <c r="D2906" t="s">
        <v>20</v>
      </c>
      <c r="E2906" t="s">
        <v>21</v>
      </c>
      <c r="F2906" t="s">
        <v>22</v>
      </c>
      <c r="G2906" t="s">
        <v>52</v>
      </c>
      <c r="H2906" t="s">
        <v>632</v>
      </c>
      <c r="I2906">
        <v>8.5000000000000006E-2</v>
      </c>
      <c r="J2906">
        <f t="shared" si="135"/>
        <v>46.75</v>
      </c>
      <c r="K2906">
        <v>1</v>
      </c>
      <c r="L2906">
        <f t="shared" si="136"/>
        <v>45.75</v>
      </c>
      <c r="M2906" s="4">
        <f t="shared" si="137"/>
        <v>7.6249999999999998E-2</v>
      </c>
      <c r="N2906">
        <v>600</v>
      </c>
      <c r="O2906">
        <v>550</v>
      </c>
      <c r="P2906" t="s">
        <v>25</v>
      </c>
      <c r="Q2906" t="s">
        <v>26</v>
      </c>
      <c r="R2906" t="str">
        <f>IF(COUNTIF(Sheet2!B:B, A2906) &gt; 0, "Yes", "No")</f>
        <v>No</v>
      </c>
    </row>
    <row r="2907" spans="1:18" x14ac:dyDescent="0.25">
      <c r="A2907" s="3">
        <v>45565</v>
      </c>
      <c r="B2907" t="s">
        <v>342</v>
      </c>
      <c r="C2907" t="s">
        <v>19</v>
      </c>
      <c r="D2907" t="s">
        <v>20</v>
      </c>
      <c r="E2907" t="s">
        <v>21</v>
      </c>
      <c r="F2907" t="s">
        <v>27</v>
      </c>
      <c r="G2907" t="s">
        <v>28</v>
      </c>
      <c r="H2907" t="s">
        <v>707</v>
      </c>
      <c r="I2907">
        <v>0.11</v>
      </c>
      <c r="J2907">
        <f t="shared" si="135"/>
        <v>60.5</v>
      </c>
      <c r="K2907">
        <v>1</v>
      </c>
      <c r="L2907">
        <f t="shared" si="136"/>
        <v>59.5</v>
      </c>
      <c r="M2907" s="4">
        <f t="shared" si="137"/>
        <v>9.9166666666666667E-2</v>
      </c>
      <c r="N2907">
        <v>600</v>
      </c>
      <c r="O2907">
        <v>550</v>
      </c>
      <c r="P2907" t="s">
        <v>25</v>
      </c>
      <c r="Q2907" t="s">
        <v>26</v>
      </c>
      <c r="R2907" t="str">
        <f>IF(COUNTIF(Sheet2!B:B, A2907) &gt; 0, "Yes", "No")</f>
        <v>No</v>
      </c>
    </row>
    <row r="2908" spans="1:18" x14ac:dyDescent="0.25">
      <c r="A2908" s="3">
        <v>45565</v>
      </c>
      <c r="B2908" t="s">
        <v>342</v>
      </c>
      <c r="C2908" t="s">
        <v>19</v>
      </c>
      <c r="D2908" t="s">
        <v>20</v>
      </c>
      <c r="E2908" t="s">
        <v>21</v>
      </c>
      <c r="F2908" t="s">
        <v>30</v>
      </c>
      <c r="G2908" t="s">
        <v>55</v>
      </c>
      <c r="H2908" t="s">
        <v>56</v>
      </c>
      <c r="I2908">
        <v>0.09</v>
      </c>
      <c r="J2908">
        <f t="shared" si="135"/>
        <v>49.5</v>
      </c>
      <c r="K2908">
        <v>0</v>
      </c>
      <c r="L2908">
        <f t="shared" si="136"/>
        <v>49.5</v>
      </c>
      <c r="M2908" s="4">
        <f t="shared" si="137"/>
        <v>8.2500000000000004E-2</v>
      </c>
      <c r="N2908">
        <v>600</v>
      </c>
      <c r="O2908">
        <v>550</v>
      </c>
      <c r="P2908" t="s">
        <v>25</v>
      </c>
      <c r="Q2908" t="s">
        <v>26</v>
      </c>
      <c r="R2908" t="str">
        <f>IF(COUNTIF(Sheet2!B:B, A2908) &gt; 0, "Yes", "No")</f>
        <v>No</v>
      </c>
    </row>
    <row r="2909" spans="1:18" x14ac:dyDescent="0.25">
      <c r="A2909" s="3">
        <v>45565</v>
      </c>
      <c r="B2909" t="s">
        <v>342</v>
      </c>
      <c r="C2909" t="s">
        <v>19</v>
      </c>
      <c r="D2909" t="s">
        <v>33</v>
      </c>
      <c r="E2909" t="s">
        <v>21</v>
      </c>
      <c r="F2909" t="s">
        <v>34</v>
      </c>
      <c r="G2909" t="s">
        <v>35</v>
      </c>
      <c r="H2909" t="s">
        <v>241</v>
      </c>
      <c r="I2909">
        <v>0.15</v>
      </c>
      <c r="J2909">
        <f t="shared" si="135"/>
        <v>58.5</v>
      </c>
      <c r="K2909">
        <v>1</v>
      </c>
      <c r="L2909">
        <f t="shared" si="136"/>
        <v>57.5</v>
      </c>
      <c r="M2909" s="4">
        <f t="shared" si="137"/>
        <v>0.13690476190476192</v>
      </c>
      <c r="N2909">
        <v>420</v>
      </c>
      <c r="O2909">
        <v>390</v>
      </c>
      <c r="P2909" t="s">
        <v>25</v>
      </c>
      <c r="Q2909" t="s">
        <v>26</v>
      </c>
      <c r="R2909" t="str">
        <f>IF(COUNTIF(Sheet2!B:B, A2909) &gt; 0, "Yes", "No")</f>
        <v>No</v>
      </c>
    </row>
    <row r="2910" spans="1:18" x14ac:dyDescent="0.25">
      <c r="A2910" s="3">
        <v>45565</v>
      </c>
      <c r="B2910" t="s">
        <v>342</v>
      </c>
      <c r="C2910" t="s">
        <v>19</v>
      </c>
      <c r="D2910" t="s">
        <v>20</v>
      </c>
      <c r="E2910" t="s">
        <v>21</v>
      </c>
      <c r="F2910" t="s">
        <v>37</v>
      </c>
      <c r="G2910" t="s">
        <v>87</v>
      </c>
      <c r="H2910" t="s">
        <v>99</v>
      </c>
      <c r="I2910">
        <v>0.03</v>
      </c>
      <c r="J2910">
        <f t="shared" si="135"/>
        <v>16.5</v>
      </c>
      <c r="K2910">
        <v>1</v>
      </c>
      <c r="L2910">
        <f t="shared" si="136"/>
        <v>15.5</v>
      </c>
      <c r="M2910" s="4">
        <f t="shared" si="137"/>
        <v>2.5833333333333333E-2</v>
      </c>
      <c r="N2910">
        <v>600</v>
      </c>
      <c r="O2910">
        <v>550</v>
      </c>
      <c r="P2910" t="s">
        <v>25</v>
      </c>
      <c r="Q2910" t="s">
        <v>26</v>
      </c>
      <c r="R2910" t="str">
        <f>IF(COUNTIF(Sheet2!B:B, A2910) &gt; 0, "Yes", "No")</f>
        <v>No</v>
      </c>
    </row>
    <row r="2911" spans="1:18" x14ac:dyDescent="0.25">
      <c r="A2911" s="3">
        <v>45565</v>
      </c>
      <c r="B2911" t="s">
        <v>342</v>
      </c>
      <c r="C2911" t="s">
        <v>19</v>
      </c>
      <c r="D2911" t="s">
        <v>20</v>
      </c>
      <c r="E2911" t="s">
        <v>21</v>
      </c>
      <c r="F2911" t="s">
        <v>40</v>
      </c>
      <c r="G2911" t="s">
        <v>164</v>
      </c>
      <c r="H2911" t="s">
        <v>328</v>
      </c>
      <c r="I2911">
        <v>4.4999999999999998E-2</v>
      </c>
      <c r="J2911">
        <f t="shared" si="135"/>
        <v>24.75</v>
      </c>
      <c r="K2911">
        <v>1</v>
      </c>
      <c r="L2911">
        <f t="shared" si="136"/>
        <v>23.75</v>
      </c>
      <c r="M2911" s="4">
        <f t="shared" si="137"/>
        <v>3.9583333333333331E-2</v>
      </c>
      <c r="N2911">
        <v>600</v>
      </c>
      <c r="O2911">
        <v>550</v>
      </c>
      <c r="P2911" t="s">
        <v>25</v>
      </c>
      <c r="Q2911" t="s">
        <v>26</v>
      </c>
      <c r="R2911" t="str">
        <f>IF(COUNTIF(Sheet2!B:B, A2911) &gt; 0, "Yes", "No")</f>
        <v>No</v>
      </c>
    </row>
    <row r="2912" spans="1:18" x14ac:dyDescent="0.25">
      <c r="A2912" s="3">
        <v>45565</v>
      </c>
      <c r="B2912" t="s">
        <v>342</v>
      </c>
      <c r="C2912" t="s">
        <v>19</v>
      </c>
      <c r="D2912" t="s">
        <v>20</v>
      </c>
      <c r="E2912" t="s">
        <v>21</v>
      </c>
      <c r="F2912" t="s">
        <v>43</v>
      </c>
      <c r="G2912" t="s">
        <v>44</v>
      </c>
      <c r="H2912" t="s">
        <v>45</v>
      </c>
      <c r="I2912">
        <v>0.11</v>
      </c>
      <c r="J2912">
        <f t="shared" si="135"/>
        <v>60.5</v>
      </c>
      <c r="K2912">
        <v>0</v>
      </c>
      <c r="L2912">
        <f t="shared" si="136"/>
        <v>60.5</v>
      </c>
      <c r="M2912" s="4">
        <f t="shared" si="137"/>
        <v>0.10083333333333333</v>
      </c>
      <c r="N2912">
        <v>600</v>
      </c>
      <c r="O2912">
        <v>550</v>
      </c>
      <c r="P2912" t="s">
        <v>25</v>
      </c>
      <c r="Q2912" t="s">
        <v>26</v>
      </c>
      <c r="R2912" t="str">
        <f>IF(COUNTIF(Sheet2!B:B, A2912) &gt; 0, "Yes", "No")</f>
        <v>No</v>
      </c>
    </row>
    <row r="2913" spans="1:18" x14ac:dyDescent="0.25">
      <c r="A2913" s="3">
        <v>45565</v>
      </c>
      <c r="B2913" t="s">
        <v>342</v>
      </c>
      <c r="C2913" t="s">
        <v>19</v>
      </c>
      <c r="D2913" t="s">
        <v>20</v>
      </c>
      <c r="E2913" t="s">
        <v>21</v>
      </c>
      <c r="F2913" t="s">
        <v>46</v>
      </c>
      <c r="G2913" t="s">
        <v>92</v>
      </c>
      <c r="H2913" t="s">
        <v>708</v>
      </c>
      <c r="I2913">
        <v>8.5000000000000006E-2</v>
      </c>
      <c r="J2913">
        <f t="shared" si="135"/>
        <v>46.75</v>
      </c>
      <c r="K2913">
        <v>1</v>
      </c>
      <c r="L2913">
        <f t="shared" si="136"/>
        <v>45.75</v>
      </c>
      <c r="M2913" s="4">
        <f t="shared" si="137"/>
        <v>7.6249999999999998E-2</v>
      </c>
      <c r="N2913">
        <v>600</v>
      </c>
      <c r="O2913">
        <v>550</v>
      </c>
      <c r="P2913" t="s">
        <v>25</v>
      </c>
      <c r="Q2913" t="s">
        <v>26</v>
      </c>
      <c r="R2913" t="str">
        <f>IF(COUNTIF(Sheet2!B:B, A2913) &gt; 0, "Yes", "No")</f>
        <v>No</v>
      </c>
    </row>
    <row r="2914" spans="1:18" x14ac:dyDescent="0.25">
      <c r="A2914" s="3">
        <v>45565</v>
      </c>
      <c r="B2914" t="s">
        <v>342</v>
      </c>
      <c r="C2914" t="s">
        <v>19</v>
      </c>
      <c r="D2914" t="s">
        <v>20</v>
      </c>
      <c r="E2914" t="s">
        <v>21</v>
      </c>
      <c r="F2914" t="s">
        <v>49</v>
      </c>
      <c r="G2914" t="s">
        <v>50</v>
      </c>
      <c r="H2914" t="s">
        <v>49</v>
      </c>
      <c r="I2914">
        <v>0.09</v>
      </c>
      <c r="J2914">
        <f t="shared" si="135"/>
        <v>49.5</v>
      </c>
      <c r="K2914">
        <v>0</v>
      </c>
      <c r="L2914">
        <f t="shared" si="136"/>
        <v>49.5</v>
      </c>
      <c r="M2914" s="4">
        <f t="shared" si="137"/>
        <v>8.2500000000000004E-2</v>
      </c>
      <c r="N2914">
        <v>600</v>
      </c>
      <c r="O2914">
        <v>550</v>
      </c>
      <c r="P2914" t="s">
        <v>25</v>
      </c>
      <c r="Q2914" t="s">
        <v>26</v>
      </c>
      <c r="R2914" t="str">
        <f>IF(COUNTIF(Sheet2!B:B, A2914) &gt; 0, "Yes", "No")</f>
        <v>No</v>
      </c>
    </row>
    <row r="2915" spans="1:18" x14ac:dyDescent="0.25">
      <c r="A2915" s="3">
        <v>45566</v>
      </c>
      <c r="B2915" t="s">
        <v>372</v>
      </c>
      <c r="C2915" t="s">
        <v>105</v>
      </c>
      <c r="D2915" t="s">
        <v>20</v>
      </c>
      <c r="E2915" t="s">
        <v>67</v>
      </c>
      <c r="F2915" t="s">
        <v>22</v>
      </c>
      <c r="G2915" t="s">
        <v>52</v>
      </c>
      <c r="H2915" t="s">
        <v>709</v>
      </c>
      <c r="I2915">
        <v>8.5000000000000006E-2</v>
      </c>
      <c r="J2915">
        <f t="shared" si="135"/>
        <v>38.25</v>
      </c>
      <c r="K2915">
        <v>0</v>
      </c>
      <c r="L2915">
        <f t="shared" si="136"/>
        <v>38.25</v>
      </c>
      <c r="M2915" s="4">
        <f t="shared" si="137"/>
        <v>7.6499999999999999E-2</v>
      </c>
      <c r="N2915">
        <v>500</v>
      </c>
      <c r="O2915">
        <v>450</v>
      </c>
      <c r="P2915" t="s">
        <v>283</v>
      </c>
      <c r="Q2915" t="s">
        <v>333</v>
      </c>
      <c r="R2915" t="str">
        <f>IF(COUNTIF(Sheet2!B:B, A2915) &gt; 0, "Yes", "No")</f>
        <v>No</v>
      </c>
    </row>
    <row r="2916" spans="1:18" x14ac:dyDescent="0.25">
      <c r="A2916" s="3">
        <v>45566</v>
      </c>
      <c r="B2916" t="s">
        <v>372</v>
      </c>
      <c r="C2916" t="s">
        <v>105</v>
      </c>
      <c r="D2916" t="s">
        <v>20</v>
      </c>
      <c r="E2916" t="s">
        <v>67</v>
      </c>
      <c r="F2916" t="s">
        <v>27</v>
      </c>
      <c r="G2916" t="s">
        <v>780</v>
      </c>
      <c r="H2916" t="s">
        <v>149</v>
      </c>
      <c r="I2916">
        <v>0.11</v>
      </c>
      <c r="J2916">
        <f t="shared" si="135"/>
        <v>49.5</v>
      </c>
      <c r="K2916">
        <v>0</v>
      </c>
      <c r="L2916">
        <f t="shared" si="136"/>
        <v>49.5</v>
      </c>
      <c r="M2916" s="4">
        <f t="shared" si="137"/>
        <v>9.9000000000000005E-2</v>
      </c>
      <c r="N2916">
        <v>500</v>
      </c>
      <c r="O2916">
        <v>450</v>
      </c>
      <c r="P2916" t="s">
        <v>283</v>
      </c>
      <c r="Q2916" t="s">
        <v>333</v>
      </c>
      <c r="R2916" t="str">
        <f>IF(COUNTIF(Sheet2!B:B, A2916) &gt; 0, "Yes", "No")</f>
        <v>No</v>
      </c>
    </row>
    <row r="2917" spans="1:18" x14ac:dyDescent="0.25">
      <c r="A2917" s="3">
        <v>45566</v>
      </c>
      <c r="B2917" t="s">
        <v>372</v>
      </c>
      <c r="C2917" t="s">
        <v>105</v>
      </c>
      <c r="D2917" t="s">
        <v>20</v>
      </c>
      <c r="E2917" t="s">
        <v>67</v>
      </c>
      <c r="F2917" t="s">
        <v>30</v>
      </c>
      <c r="G2917" t="s">
        <v>55</v>
      </c>
      <c r="H2917" t="s">
        <v>125</v>
      </c>
      <c r="I2917">
        <v>0.09</v>
      </c>
      <c r="J2917">
        <f t="shared" si="135"/>
        <v>40.5</v>
      </c>
      <c r="K2917">
        <v>0</v>
      </c>
      <c r="L2917">
        <f t="shared" si="136"/>
        <v>40.5</v>
      </c>
      <c r="M2917" s="4">
        <f t="shared" si="137"/>
        <v>8.1000000000000003E-2</v>
      </c>
      <c r="N2917">
        <v>500</v>
      </c>
      <c r="O2917">
        <v>450</v>
      </c>
      <c r="P2917" t="s">
        <v>283</v>
      </c>
      <c r="Q2917" t="s">
        <v>333</v>
      </c>
      <c r="R2917" t="str">
        <f>IF(COUNTIF(Sheet2!B:B, A2917) &gt; 0, "Yes", "No")</f>
        <v>No</v>
      </c>
    </row>
    <row r="2918" spans="1:18" x14ac:dyDescent="0.25">
      <c r="A2918" s="3">
        <v>45566</v>
      </c>
      <c r="B2918" t="s">
        <v>372</v>
      </c>
      <c r="C2918" t="s">
        <v>105</v>
      </c>
      <c r="D2918" t="s">
        <v>20</v>
      </c>
      <c r="E2918" t="s">
        <v>67</v>
      </c>
      <c r="F2918" t="s">
        <v>37</v>
      </c>
      <c r="G2918" t="s">
        <v>71</v>
      </c>
      <c r="H2918" t="s">
        <v>72</v>
      </c>
      <c r="I2918">
        <v>3.5000000000000003E-2</v>
      </c>
      <c r="J2918">
        <f t="shared" si="135"/>
        <v>15.750000000000002</v>
      </c>
      <c r="K2918">
        <v>0</v>
      </c>
      <c r="L2918">
        <f t="shared" si="136"/>
        <v>15.750000000000002</v>
      </c>
      <c r="M2918" s="4">
        <f t="shared" si="137"/>
        <v>3.15E-2</v>
      </c>
      <c r="N2918">
        <v>500</v>
      </c>
      <c r="O2918">
        <v>450</v>
      </c>
      <c r="P2918" t="s">
        <v>283</v>
      </c>
      <c r="Q2918" t="s">
        <v>333</v>
      </c>
      <c r="R2918" t="str">
        <f>IF(COUNTIF(Sheet2!B:B, A2918) &gt; 0, "Yes", "No")</f>
        <v>No</v>
      </c>
    </row>
    <row r="2919" spans="1:18" x14ac:dyDescent="0.25">
      <c r="A2919" s="3">
        <v>45566</v>
      </c>
      <c r="B2919" t="s">
        <v>372</v>
      </c>
      <c r="C2919" t="s">
        <v>105</v>
      </c>
      <c r="D2919" t="s">
        <v>20</v>
      </c>
      <c r="E2919" t="s">
        <v>67</v>
      </c>
      <c r="F2919" t="s">
        <v>40</v>
      </c>
      <c r="G2919" t="s">
        <v>157</v>
      </c>
      <c r="H2919" t="s">
        <v>221</v>
      </c>
      <c r="I2919">
        <v>0.05</v>
      </c>
      <c r="J2919">
        <f t="shared" si="135"/>
        <v>22.5</v>
      </c>
      <c r="K2919">
        <v>0</v>
      </c>
      <c r="L2919">
        <f t="shared" si="136"/>
        <v>22.5</v>
      </c>
      <c r="M2919" s="4">
        <f t="shared" si="137"/>
        <v>4.4999999999999998E-2</v>
      </c>
      <c r="N2919">
        <v>500</v>
      </c>
      <c r="O2919">
        <v>450</v>
      </c>
      <c r="P2919" t="s">
        <v>283</v>
      </c>
      <c r="Q2919" t="s">
        <v>333</v>
      </c>
      <c r="R2919" t="str">
        <f>IF(COUNTIF(Sheet2!B:B, A2919) &gt; 0, "Yes", "No")</f>
        <v>No</v>
      </c>
    </row>
    <row r="2920" spans="1:18" x14ac:dyDescent="0.25">
      <c r="A2920" s="3">
        <v>45566</v>
      </c>
      <c r="B2920" t="s">
        <v>372</v>
      </c>
      <c r="C2920" t="s">
        <v>105</v>
      </c>
      <c r="D2920" t="s">
        <v>20</v>
      </c>
      <c r="E2920" t="s">
        <v>67</v>
      </c>
      <c r="F2920" t="s">
        <v>43</v>
      </c>
      <c r="G2920" t="s">
        <v>252</v>
      </c>
      <c r="H2920" t="s">
        <v>253</v>
      </c>
      <c r="I2920">
        <v>0.11</v>
      </c>
      <c r="J2920">
        <f t="shared" si="135"/>
        <v>49.5</v>
      </c>
      <c r="K2920">
        <v>0</v>
      </c>
      <c r="L2920">
        <f t="shared" si="136"/>
        <v>49.5</v>
      </c>
      <c r="M2920" s="4">
        <f t="shared" si="137"/>
        <v>9.9000000000000005E-2</v>
      </c>
      <c r="N2920">
        <v>500</v>
      </c>
      <c r="O2920">
        <v>450</v>
      </c>
      <c r="P2920" t="s">
        <v>283</v>
      </c>
      <c r="Q2920" t="s">
        <v>333</v>
      </c>
      <c r="R2920" t="str">
        <f>IF(COUNTIF(Sheet2!B:B, A2920) &gt; 0, "Yes", "No")</f>
        <v>No</v>
      </c>
    </row>
    <row r="2921" spans="1:18" x14ac:dyDescent="0.25">
      <c r="A2921" s="3">
        <v>45566</v>
      </c>
      <c r="B2921" t="s">
        <v>372</v>
      </c>
      <c r="C2921" t="s">
        <v>105</v>
      </c>
      <c r="D2921" t="s">
        <v>20</v>
      </c>
      <c r="E2921" t="s">
        <v>67</v>
      </c>
      <c r="F2921" t="s">
        <v>46</v>
      </c>
      <c r="G2921" t="s">
        <v>47</v>
      </c>
      <c r="H2921" t="s">
        <v>710</v>
      </c>
      <c r="I2921">
        <v>8.5000000000000006E-2</v>
      </c>
      <c r="J2921">
        <f t="shared" si="135"/>
        <v>38.25</v>
      </c>
      <c r="K2921">
        <v>0</v>
      </c>
      <c r="L2921">
        <f t="shared" si="136"/>
        <v>38.25</v>
      </c>
      <c r="M2921" s="4">
        <f t="shared" si="137"/>
        <v>7.6499999999999999E-2</v>
      </c>
      <c r="N2921">
        <v>500</v>
      </c>
      <c r="O2921">
        <v>450</v>
      </c>
      <c r="P2921" t="s">
        <v>283</v>
      </c>
      <c r="Q2921" t="s">
        <v>333</v>
      </c>
      <c r="R2921" t="str">
        <f>IF(COUNTIF(Sheet2!B:B, A2921) &gt; 0, "Yes", "No")</f>
        <v>No</v>
      </c>
    </row>
    <row r="2922" spans="1:18" x14ac:dyDescent="0.25">
      <c r="A2922" s="3">
        <v>45566</v>
      </c>
      <c r="B2922" t="s">
        <v>372</v>
      </c>
      <c r="C2922" t="s">
        <v>105</v>
      </c>
      <c r="D2922" t="s">
        <v>20</v>
      </c>
      <c r="E2922" t="s">
        <v>67</v>
      </c>
      <c r="F2922" t="s">
        <v>49</v>
      </c>
      <c r="G2922" t="s">
        <v>50</v>
      </c>
      <c r="H2922" t="s">
        <v>49</v>
      </c>
      <c r="I2922">
        <v>0.09</v>
      </c>
      <c r="J2922">
        <f t="shared" si="135"/>
        <v>40.5</v>
      </c>
      <c r="K2922">
        <v>0</v>
      </c>
      <c r="L2922">
        <f t="shared" si="136"/>
        <v>40.5</v>
      </c>
      <c r="M2922" s="4">
        <f t="shared" si="137"/>
        <v>8.1000000000000003E-2</v>
      </c>
      <c r="N2922">
        <v>500</v>
      </c>
      <c r="O2922">
        <v>450</v>
      </c>
      <c r="P2922" t="s">
        <v>283</v>
      </c>
      <c r="Q2922" t="s">
        <v>333</v>
      </c>
      <c r="R2922" t="str">
        <f>IF(COUNTIF(Sheet2!B:B, A2922) &gt; 0, "Yes", "No")</f>
        <v>No</v>
      </c>
    </row>
    <row r="2923" spans="1:18" x14ac:dyDescent="0.25">
      <c r="A2923" s="3">
        <v>45568</v>
      </c>
      <c r="B2923" t="s">
        <v>372</v>
      </c>
      <c r="C2923" t="s">
        <v>66</v>
      </c>
      <c r="D2923" t="s">
        <v>20</v>
      </c>
      <c r="E2923" t="s">
        <v>67</v>
      </c>
      <c r="F2923" t="s">
        <v>22</v>
      </c>
      <c r="G2923" t="s">
        <v>52</v>
      </c>
      <c r="H2923" t="s">
        <v>53</v>
      </c>
      <c r="I2923">
        <v>8.5000000000000006E-2</v>
      </c>
      <c r="J2923">
        <f t="shared" si="135"/>
        <v>38.25</v>
      </c>
      <c r="K2923">
        <v>0</v>
      </c>
      <c r="L2923">
        <f t="shared" si="136"/>
        <v>38.25</v>
      </c>
      <c r="M2923" s="4">
        <f t="shared" si="137"/>
        <v>7.6499999999999999E-2</v>
      </c>
      <c r="N2923">
        <v>500</v>
      </c>
      <c r="O2923">
        <v>450</v>
      </c>
      <c r="P2923" t="s">
        <v>322</v>
      </c>
      <c r="Q2923" t="s">
        <v>333</v>
      </c>
      <c r="R2923" t="str">
        <f>IF(COUNTIF(Sheet2!B:B, A2923) &gt; 0, "Yes", "No")</f>
        <v>No</v>
      </c>
    </row>
    <row r="2924" spans="1:18" x14ac:dyDescent="0.25">
      <c r="A2924" s="3">
        <v>45568</v>
      </c>
      <c r="B2924" t="s">
        <v>372</v>
      </c>
      <c r="C2924" t="s">
        <v>66</v>
      </c>
      <c r="D2924" t="s">
        <v>20</v>
      </c>
      <c r="E2924" t="s">
        <v>67</v>
      </c>
      <c r="F2924" t="s">
        <v>27</v>
      </c>
      <c r="G2924" t="s">
        <v>304</v>
      </c>
      <c r="H2924" t="s">
        <v>419</v>
      </c>
      <c r="I2924">
        <v>0.12</v>
      </c>
      <c r="J2924">
        <f t="shared" si="135"/>
        <v>54</v>
      </c>
      <c r="K2924">
        <v>0</v>
      </c>
      <c r="L2924">
        <f t="shared" si="136"/>
        <v>54</v>
      </c>
      <c r="M2924" s="4">
        <f t="shared" si="137"/>
        <v>0.108</v>
      </c>
      <c r="N2924">
        <v>500</v>
      </c>
      <c r="O2924">
        <v>450</v>
      </c>
      <c r="P2924" t="s">
        <v>322</v>
      </c>
      <c r="Q2924" t="s">
        <v>333</v>
      </c>
      <c r="R2924" t="str">
        <f>IF(COUNTIF(Sheet2!B:B, A2924) &gt; 0, "Yes", "No")</f>
        <v>No</v>
      </c>
    </row>
    <row r="2925" spans="1:18" x14ac:dyDescent="0.25">
      <c r="A2925" s="3">
        <v>45568</v>
      </c>
      <c r="B2925" t="s">
        <v>372</v>
      </c>
      <c r="C2925" t="s">
        <v>66</v>
      </c>
      <c r="D2925" t="s">
        <v>20</v>
      </c>
      <c r="E2925" t="s">
        <v>67</v>
      </c>
      <c r="F2925" t="s">
        <v>30</v>
      </c>
      <c r="G2925" t="s">
        <v>55</v>
      </c>
      <c r="H2925" t="s">
        <v>97</v>
      </c>
      <c r="I2925">
        <v>0.09</v>
      </c>
      <c r="J2925">
        <f t="shared" si="135"/>
        <v>40.5</v>
      </c>
      <c r="K2925">
        <v>0</v>
      </c>
      <c r="L2925">
        <f t="shared" si="136"/>
        <v>40.5</v>
      </c>
      <c r="M2925" s="4">
        <f t="shared" si="137"/>
        <v>8.1000000000000003E-2</v>
      </c>
      <c r="N2925">
        <v>500</v>
      </c>
      <c r="O2925">
        <v>450</v>
      </c>
      <c r="P2925" t="s">
        <v>322</v>
      </c>
      <c r="Q2925" t="s">
        <v>333</v>
      </c>
      <c r="R2925" t="str">
        <f>IF(COUNTIF(Sheet2!B:B, A2925) &gt; 0, "Yes", "No")</f>
        <v>No</v>
      </c>
    </row>
    <row r="2926" spans="1:18" x14ac:dyDescent="0.25">
      <c r="A2926" s="3">
        <v>45568</v>
      </c>
      <c r="B2926" t="s">
        <v>372</v>
      </c>
      <c r="C2926" t="s">
        <v>66</v>
      </c>
      <c r="D2926" t="s">
        <v>20</v>
      </c>
      <c r="E2926" t="s">
        <v>67</v>
      </c>
      <c r="F2926" t="s">
        <v>37</v>
      </c>
      <c r="G2926" t="s">
        <v>38</v>
      </c>
      <c r="H2926" t="s">
        <v>39</v>
      </c>
      <c r="I2926">
        <v>3.5000000000000003E-2</v>
      </c>
      <c r="J2926">
        <f t="shared" si="135"/>
        <v>15.750000000000002</v>
      </c>
      <c r="K2926">
        <v>0</v>
      </c>
      <c r="L2926">
        <f t="shared" si="136"/>
        <v>15.750000000000002</v>
      </c>
      <c r="M2926" s="4">
        <f t="shared" si="137"/>
        <v>3.15E-2</v>
      </c>
      <c r="N2926">
        <v>500</v>
      </c>
      <c r="O2926">
        <v>450</v>
      </c>
      <c r="P2926" t="s">
        <v>322</v>
      </c>
      <c r="Q2926" t="s">
        <v>333</v>
      </c>
      <c r="R2926" t="str">
        <f>IF(COUNTIF(Sheet2!B:B, A2926) &gt; 0, "Yes", "No")</f>
        <v>No</v>
      </c>
    </row>
    <row r="2927" spans="1:18" x14ac:dyDescent="0.25">
      <c r="A2927" s="3">
        <v>45568</v>
      </c>
      <c r="B2927" t="s">
        <v>372</v>
      </c>
      <c r="C2927" t="s">
        <v>66</v>
      </c>
      <c r="D2927" t="s">
        <v>20</v>
      </c>
      <c r="E2927" t="s">
        <v>67</v>
      </c>
      <c r="F2927" t="s">
        <v>40</v>
      </c>
      <c r="G2927" t="s">
        <v>73</v>
      </c>
      <c r="H2927" t="s">
        <v>711</v>
      </c>
      <c r="I2927">
        <v>0.05</v>
      </c>
      <c r="J2927">
        <f t="shared" si="135"/>
        <v>22.5</v>
      </c>
      <c r="K2927">
        <v>0</v>
      </c>
      <c r="L2927">
        <f t="shared" si="136"/>
        <v>22.5</v>
      </c>
      <c r="M2927" s="4">
        <f t="shared" si="137"/>
        <v>4.4999999999999998E-2</v>
      </c>
      <c r="N2927">
        <v>500</v>
      </c>
      <c r="O2927">
        <v>450</v>
      </c>
      <c r="P2927" t="s">
        <v>322</v>
      </c>
      <c r="Q2927" t="s">
        <v>333</v>
      </c>
      <c r="R2927" t="str">
        <f>IF(COUNTIF(Sheet2!B:B, A2927) &gt; 0, "Yes", "No")</f>
        <v>No</v>
      </c>
    </row>
    <row r="2928" spans="1:18" x14ac:dyDescent="0.25">
      <c r="A2928" s="3">
        <v>45568</v>
      </c>
      <c r="B2928" t="s">
        <v>372</v>
      </c>
      <c r="C2928" t="s">
        <v>66</v>
      </c>
      <c r="D2928" t="s">
        <v>20</v>
      </c>
      <c r="E2928" t="s">
        <v>67</v>
      </c>
      <c r="F2928" t="s">
        <v>43</v>
      </c>
      <c r="G2928" t="s">
        <v>159</v>
      </c>
      <c r="H2928" t="s">
        <v>712</v>
      </c>
      <c r="I2928">
        <v>0.11</v>
      </c>
      <c r="J2928">
        <f t="shared" si="135"/>
        <v>49.5</v>
      </c>
      <c r="K2928">
        <v>0</v>
      </c>
      <c r="L2928">
        <f t="shared" si="136"/>
        <v>49.5</v>
      </c>
      <c r="M2928" s="4">
        <f t="shared" si="137"/>
        <v>9.9000000000000005E-2</v>
      </c>
      <c r="N2928">
        <v>500</v>
      </c>
      <c r="O2928">
        <v>450</v>
      </c>
      <c r="P2928" t="s">
        <v>322</v>
      </c>
      <c r="Q2928" t="s">
        <v>333</v>
      </c>
      <c r="R2928" t="str">
        <f>IF(COUNTIF(Sheet2!B:B, A2928) &gt; 0, "Yes", "No")</f>
        <v>No</v>
      </c>
    </row>
    <row r="2929" spans="1:18" x14ac:dyDescent="0.25">
      <c r="A2929" s="3">
        <v>45568</v>
      </c>
      <c r="B2929" t="s">
        <v>372</v>
      </c>
      <c r="C2929" t="s">
        <v>66</v>
      </c>
      <c r="D2929" t="s">
        <v>20</v>
      </c>
      <c r="E2929" t="s">
        <v>67</v>
      </c>
      <c r="F2929" t="s">
        <v>46</v>
      </c>
      <c r="G2929" t="s">
        <v>103</v>
      </c>
      <c r="H2929" t="s">
        <v>180</v>
      </c>
      <c r="I2929">
        <v>0.09</v>
      </c>
      <c r="J2929">
        <f t="shared" si="135"/>
        <v>40.5</v>
      </c>
      <c r="K2929">
        <v>0</v>
      </c>
      <c r="L2929">
        <f t="shared" si="136"/>
        <v>40.5</v>
      </c>
      <c r="M2929" s="4">
        <f t="shared" si="137"/>
        <v>8.1000000000000003E-2</v>
      </c>
      <c r="N2929">
        <v>500</v>
      </c>
      <c r="O2929">
        <v>450</v>
      </c>
      <c r="P2929" t="s">
        <v>322</v>
      </c>
      <c r="Q2929" t="s">
        <v>333</v>
      </c>
      <c r="R2929" t="str">
        <f>IF(COUNTIF(Sheet2!B:B, A2929) &gt; 0, "Yes", "No")</f>
        <v>No</v>
      </c>
    </row>
    <row r="2930" spans="1:18" x14ac:dyDescent="0.25">
      <c r="A2930" s="3">
        <v>45568</v>
      </c>
      <c r="B2930" t="s">
        <v>372</v>
      </c>
      <c r="C2930" t="s">
        <v>66</v>
      </c>
      <c r="D2930" t="s">
        <v>20</v>
      </c>
      <c r="E2930" t="s">
        <v>67</v>
      </c>
      <c r="F2930" t="s">
        <v>49</v>
      </c>
      <c r="G2930" t="s">
        <v>50</v>
      </c>
      <c r="H2930" t="s">
        <v>49</v>
      </c>
      <c r="I2930">
        <v>0.09</v>
      </c>
      <c r="J2930">
        <f t="shared" si="135"/>
        <v>40.5</v>
      </c>
      <c r="K2930">
        <v>0</v>
      </c>
      <c r="L2930">
        <f t="shared" si="136"/>
        <v>40.5</v>
      </c>
      <c r="M2930" s="4">
        <f t="shared" si="137"/>
        <v>8.1000000000000003E-2</v>
      </c>
      <c r="N2930">
        <v>500</v>
      </c>
      <c r="O2930">
        <v>450</v>
      </c>
      <c r="P2930" t="s">
        <v>322</v>
      </c>
      <c r="Q2930" t="s">
        <v>333</v>
      </c>
      <c r="R2930" t="str">
        <f>IF(COUNTIF(Sheet2!B:B, A2930) &gt; 0, "Yes", "No")</f>
        <v>No</v>
      </c>
    </row>
    <row r="2931" spans="1:18" x14ac:dyDescent="0.25">
      <c r="A2931" s="3">
        <v>45569</v>
      </c>
      <c r="B2931" t="s">
        <v>372</v>
      </c>
      <c r="C2931" t="s">
        <v>79</v>
      </c>
      <c r="D2931" t="s">
        <v>20</v>
      </c>
      <c r="E2931" t="s">
        <v>21</v>
      </c>
      <c r="F2931" t="s">
        <v>22</v>
      </c>
      <c r="G2931" t="s">
        <v>23</v>
      </c>
      <c r="H2931" t="s">
        <v>106</v>
      </c>
      <c r="I2931" s="5">
        <v>0.06</v>
      </c>
      <c r="J2931">
        <f t="shared" si="135"/>
        <v>27</v>
      </c>
      <c r="K2931">
        <v>1</v>
      </c>
      <c r="L2931">
        <f t="shared" si="136"/>
        <v>26</v>
      </c>
      <c r="M2931" s="4">
        <f t="shared" si="137"/>
        <v>0.05</v>
      </c>
      <c r="N2931">
        <v>520</v>
      </c>
      <c r="O2931">
        <v>450</v>
      </c>
      <c r="P2931" t="s">
        <v>25</v>
      </c>
      <c r="Q2931" t="s">
        <v>26</v>
      </c>
      <c r="R2931" t="str">
        <f>IF(COUNTIF(Sheet2!B:B, A2931) &gt; 0, "Yes", "No")</f>
        <v>Yes</v>
      </c>
    </row>
    <row r="2932" spans="1:18" x14ac:dyDescent="0.25">
      <c r="A2932" s="3">
        <v>45569</v>
      </c>
      <c r="B2932" t="s">
        <v>372</v>
      </c>
      <c r="C2932" t="s">
        <v>79</v>
      </c>
      <c r="D2932" t="s">
        <v>20</v>
      </c>
      <c r="E2932" t="s">
        <v>21</v>
      </c>
      <c r="F2932" t="s">
        <v>27</v>
      </c>
      <c r="G2932" t="s">
        <v>81</v>
      </c>
      <c r="H2932" t="s">
        <v>378</v>
      </c>
      <c r="I2932" s="5">
        <v>0.1</v>
      </c>
      <c r="J2932">
        <f t="shared" si="135"/>
        <v>45</v>
      </c>
      <c r="K2932">
        <v>0</v>
      </c>
      <c r="L2932">
        <f t="shared" si="136"/>
        <v>45</v>
      </c>
      <c r="M2932" s="4">
        <f t="shared" si="137"/>
        <v>8.6538461538461536E-2</v>
      </c>
      <c r="N2932">
        <v>520</v>
      </c>
      <c r="O2932">
        <v>450</v>
      </c>
      <c r="P2932" t="s">
        <v>25</v>
      </c>
      <c r="Q2932" t="s">
        <v>26</v>
      </c>
      <c r="R2932" t="str">
        <f>IF(COUNTIF(Sheet2!B:B, A2932) &gt; 0, "Yes", "No")</f>
        <v>Yes</v>
      </c>
    </row>
    <row r="2933" spans="1:18" x14ac:dyDescent="0.25">
      <c r="A2933" s="3">
        <v>45569</v>
      </c>
      <c r="B2933" t="s">
        <v>372</v>
      </c>
      <c r="C2933" t="s">
        <v>79</v>
      </c>
      <c r="D2933" t="s">
        <v>20</v>
      </c>
      <c r="E2933" t="s">
        <v>21</v>
      </c>
      <c r="F2933" t="s">
        <v>30</v>
      </c>
      <c r="G2933" t="s">
        <v>31</v>
      </c>
      <c r="H2933" t="s">
        <v>172</v>
      </c>
      <c r="I2933" s="5">
        <v>0.06</v>
      </c>
      <c r="J2933">
        <f t="shared" si="135"/>
        <v>27</v>
      </c>
      <c r="K2933">
        <v>0</v>
      </c>
      <c r="L2933">
        <f t="shared" si="136"/>
        <v>27</v>
      </c>
      <c r="M2933" s="4">
        <f t="shared" si="137"/>
        <v>5.1923076923076926E-2</v>
      </c>
      <c r="N2933">
        <v>520</v>
      </c>
      <c r="O2933">
        <v>450</v>
      </c>
      <c r="P2933" t="s">
        <v>25</v>
      </c>
      <c r="Q2933" t="s">
        <v>26</v>
      </c>
      <c r="R2933" t="str">
        <f>IF(COUNTIF(Sheet2!B:B, A2933) &gt; 0, "Yes", "No")</f>
        <v>Yes</v>
      </c>
    </row>
    <row r="2934" spans="1:18" x14ac:dyDescent="0.25">
      <c r="A2934" s="3">
        <v>45569</v>
      </c>
      <c r="B2934" t="s">
        <v>372</v>
      </c>
      <c r="C2934" t="s">
        <v>79</v>
      </c>
      <c r="D2934" t="s">
        <v>33</v>
      </c>
      <c r="E2934" t="s">
        <v>21</v>
      </c>
      <c r="F2934" t="s">
        <v>84</v>
      </c>
      <c r="G2934" t="s">
        <v>177</v>
      </c>
      <c r="H2934" t="s">
        <v>220</v>
      </c>
      <c r="I2934" s="5">
        <v>0.3</v>
      </c>
      <c r="J2934">
        <f t="shared" si="135"/>
        <v>108</v>
      </c>
      <c r="K2934">
        <v>1</v>
      </c>
      <c r="L2934">
        <f t="shared" si="136"/>
        <v>107</v>
      </c>
      <c r="M2934" s="4">
        <f t="shared" si="137"/>
        <v>0.25721153846153844</v>
      </c>
      <c r="N2934">
        <v>416</v>
      </c>
      <c r="O2934">
        <v>360</v>
      </c>
      <c r="P2934" t="s">
        <v>25</v>
      </c>
      <c r="Q2934" t="s">
        <v>26</v>
      </c>
      <c r="R2934" t="str">
        <f>IF(COUNTIF(Sheet2!B:B, A2934) &gt; 0, "Yes", "No")</f>
        <v>Yes</v>
      </c>
    </row>
    <row r="2935" spans="1:18" x14ac:dyDescent="0.25">
      <c r="A2935" s="3">
        <v>45569</v>
      </c>
      <c r="B2935" t="s">
        <v>372</v>
      </c>
      <c r="C2935" t="s">
        <v>79</v>
      </c>
      <c r="D2935" t="s">
        <v>20</v>
      </c>
      <c r="E2935" t="s">
        <v>21</v>
      </c>
      <c r="F2935" t="s">
        <v>37</v>
      </c>
      <c r="G2935" t="s">
        <v>59</v>
      </c>
      <c r="H2935" t="s">
        <v>60</v>
      </c>
      <c r="I2935" s="5">
        <v>2.5000000000000001E-2</v>
      </c>
      <c r="J2935">
        <f t="shared" si="135"/>
        <v>11.25</v>
      </c>
      <c r="K2935">
        <v>1</v>
      </c>
      <c r="L2935">
        <f t="shared" si="136"/>
        <v>10.25</v>
      </c>
      <c r="M2935" s="4">
        <f t="shared" si="137"/>
        <v>1.9711538461538461E-2</v>
      </c>
      <c r="N2935">
        <v>520</v>
      </c>
      <c r="O2935">
        <v>450</v>
      </c>
      <c r="P2935" t="s">
        <v>25</v>
      </c>
      <c r="Q2935" t="s">
        <v>26</v>
      </c>
      <c r="R2935" t="str">
        <f>IF(COUNTIF(Sheet2!B:B, A2935) &gt; 0, "Yes", "No")</f>
        <v>Yes</v>
      </c>
    </row>
    <row r="2936" spans="1:18" x14ac:dyDescent="0.25">
      <c r="A2936" s="3">
        <v>45569</v>
      </c>
      <c r="B2936" t="s">
        <v>372</v>
      </c>
      <c r="C2936" t="s">
        <v>79</v>
      </c>
      <c r="D2936" t="s">
        <v>20</v>
      </c>
      <c r="E2936" t="s">
        <v>21</v>
      </c>
      <c r="F2936" t="s">
        <v>40</v>
      </c>
      <c r="G2936" t="s">
        <v>137</v>
      </c>
      <c r="H2936" t="s">
        <v>197</v>
      </c>
      <c r="I2936" s="5">
        <v>0.04</v>
      </c>
      <c r="J2936">
        <f t="shared" si="135"/>
        <v>18</v>
      </c>
      <c r="K2936">
        <v>1</v>
      </c>
      <c r="L2936">
        <f t="shared" si="136"/>
        <v>17</v>
      </c>
      <c r="M2936" s="4">
        <f t="shared" si="137"/>
        <v>3.2692307692307694E-2</v>
      </c>
      <c r="N2936">
        <v>520</v>
      </c>
      <c r="O2936">
        <v>450</v>
      </c>
      <c r="P2936" t="s">
        <v>25</v>
      </c>
      <c r="Q2936" t="s">
        <v>26</v>
      </c>
      <c r="R2936" t="str">
        <f>IF(COUNTIF(Sheet2!B:B, A2936) &gt; 0, "Yes", "No")</f>
        <v>Yes</v>
      </c>
    </row>
    <row r="2937" spans="1:18" x14ac:dyDescent="0.25">
      <c r="A2937" s="3">
        <v>45569</v>
      </c>
      <c r="B2937" t="s">
        <v>372</v>
      </c>
      <c r="C2937" t="s">
        <v>79</v>
      </c>
      <c r="D2937" t="s">
        <v>20</v>
      </c>
      <c r="E2937" t="s">
        <v>21</v>
      </c>
      <c r="F2937" t="s">
        <v>43</v>
      </c>
      <c r="G2937" t="s">
        <v>90</v>
      </c>
      <c r="H2937" t="s">
        <v>713</v>
      </c>
      <c r="I2937" s="5">
        <v>7.0000000000000007E-2</v>
      </c>
      <c r="J2937">
        <f t="shared" si="135"/>
        <v>31.500000000000004</v>
      </c>
      <c r="K2937">
        <v>1</v>
      </c>
      <c r="L2937">
        <f t="shared" si="136"/>
        <v>30.500000000000004</v>
      </c>
      <c r="M2937" s="4">
        <f t="shared" si="137"/>
        <v>5.8653846153846161E-2</v>
      </c>
      <c r="N2937">
        <v>520</v>
      </c>
      <c r="O2937">
        <v>450</v>
      </c>
      <c r="P2937" t="s">
        <v>25</v>
      </c>
      <c r="Q2937" t="s">
        <v>26</v>
      </c>
      <c r="R2937" t="str">
        <f>IF(COUNTIF(Sheet2!B:B, A2937) &gt; 0, "Yes", "No")</f>
        <v>Yes</v>
      </c>
    </row>
    <row r="2938" spans="1:18" x14ac:dyDescent="0.25">
      <c r="A2938" s="3">
        <v>45569</v>
      </c>
      <c r="B2938" t="s">
        <v>372</v>
      </c>
      <c r="C2938" t="s">
        <v>79</v>
      </c>
      <c r="D2938" t="s">
        <v>20</v>
      </c>
      <c r="E2938" t="s">
        <v>21</v>
      </c>
      <c r="F2938" t="s">
        <v>46</v>
      </c>
      <c r="G2938" t="s">
        <v>412</v>
      </c>
      <c r="H2938" t="s">
        <v>418</v>
      </c>
      <c r="I2938" s="5">
        <v>0.06</v>
      </c>
      <c r="J2938">
        <f t="shared" si="135"/>
        <v>27</v>
      </c>
      <c r="K2938">
        <v>0</v>
      </c>
      <c r="L2938">
        <f t="shared" si="136"/>
        <v>27</v>
      </c>
      <c r="M2938" s="4">
        <f t="shared" si="137"/>
        <v>5.1923076923076926E-2</v>
      </c>
      <c r="N2938">
        <v>520</v>
      </c>
      <c r="O2938">
        <v>450</v>
      </c>
      <c r="P2938" t="s">
        <v>25</v>
      </c>
      <c r="Q2938" t="s">
        <v>26</v>
      </c>
      <c r="R2938" t="str">
        <f>IF(COUNTIF(Sheet2!B:B, A2938) &gt; 0, "Yes", "No")</f>
        <v>Yes</v>
      </c>
    </row>
    <row r="2939" spans="1:18" x14ac:dyDescent="0.25">
      <c r="A2939" s="3">
        <v>45569</v>
      </c>
      <c r="B2939" t="s">
        <v>372</v>
      </c>
      <c r="C2939" t="s">
        <v>79</v>
      </c>
      <c r="D2939" t="s">
        <v>20</v>
      </c>
      <c r="E2939" t="s">
        <v>21</v>
      </c>
      <c r="F2939" t="s">
        <v>49</v>
      </c>
      <c r="G2939" t="s">
        <v>50</v>
      </c>
      <c r="H2939" t="s">
        <v>49</v>
      </c>
      <c r="I2939" s="5">
        <v>0.04</v>
      </c>
      <c r="J2939">
        <f t="shared" si="135"/>
        <v>18</v>
      </c>
      <c r="K2939">
        <v>0</v>
      </c>
      <c r="L2939">
        <f t="shared" si="136"/>
        <v>18</v>
      </c>
      <c r="M2939" s="4">
        <f t="shared" si="137"/>
        <v>3.4615384615384617E-2</v>
      </c>
      <c r="N2939">
        <v>520</v>
      </c>
      <c r="O2939">
        <v>450</v>
      </c>
      <c r="P2939" t="s">
        <v>25</v>
      </c>
      <c r="Q2939" t="s">
        <v>26</v>
      </c>
      <c r="R2939" t="str">
        <f>IF(COUNTIF(Sheet2!B:B, A2939) &gt; 0, "Yes", "No")</f>
        <v>Yes</v>
      </c>
    </row>
    <row r="2940" spans="1:18" x14ac:dyDescent="0.25">
      <c r="A2940" s="3">
        <v>45572</v>
      </c>
      <c r="B2940" t="s">
        <v>372</v>
      </c>
      <c r="C2940" t="s">
        <v>19</v>
      </c>
      <c r="D2940" t="s">
        <v>20</v>
      </c>
      <c r="E2940" t="s">
        <v>21</v>
      </c>
      <c r="F2940" t="s">
        <v>22</v>
      </c>
      <c r="G2940" t="s">
        <v>94</v>
      </c>
      <c r="H2940" t="s">
        <v>714</v>
      </c>
      <c r="I2940">
        <v>8.5000000000000006E-2</v>
      </c>
      <c r="J2940">
        <f t="shared" si="135"/>
        <v>45.900000000000006</v>
      </c>
      <c r="K2940">
        <v>0</v>
      </c>
      <c r="L2940">
        <f t="shared" si="136"/>
        <v>45.900000000000006</v>
      </c>
      <c r="M2940" s="4">
        <f t="shared" si="137"/>
        <v>7.6500000000000012E-2</v>
      </c>
      <c r="N2940">
        <v>600</v>
      </c>
      <c r="O2940">
        <v>540</v>
      </c>
      <c r="P2940" t="s">
        <v>25</v>
      </c>
      <c r="Q2940" t="s">
        <v>26</v>
      </c>
      <c r="R2940" t="str">
        <f>IF(COUNTIF(Sheet2!B:B, A2940) &gt; 0, "Yes", "No")</f>
        <v>No</v>
      </c>
    </row>
    <row r="2941" spans="1:18" x14ac:dyDescent="0.25">
      <c r="A2941" s="3">
        <v>45572</v>
      </c>
      <c r="B2941" t="s">
        <v>372</v>
      </c>
      <c r="C2941" t="s">
        <v>19</v>
      </c>
      <c r="D2941" t="s">
        <v>20</v>
      </c>
      <c r="E2941" t="s">
        <v>21</v>
      </c>
      <c r="F2941" t="s">
        <v>27</v>
      </c>
      <c r="G2941" t="s">
        <v>28</v>
      </c>
      <c r="H2941" t="s">
        <v>715</v>
      </c>
      <c r="I2941">
        <v>0.11</v>
      </c>
      <c r="J2941">
        <f t="shared" si="135"/>
        <v>59.4</v>
      </c>
      <c r="K2941">
        <v>0</v>
      </c>
      <c r="L2941">
        <f t="shared" si="136"/>
        <v>59.4</v>
      </c>
      <c r="M2941" s="4">
        <f t="shared" si="137"/>
        <v>9.8999999999999991E-2</v>
      </c>
      <c r="N2941">
        <v>600</v>
      </c>
      <c r="O2941">
        <v>540</v>
      </c>
      <c r="P2941" t="s">
        <v>25</v>
      </c>
      <c r="Q2941" t="s">
        <v>26</v>
      </c>
      <c r="R2941" t="str">
        <f>IF(COUNTIF(Sheet2!B:B, A2941) &gt; 0, "Yes", "No")</f>
        <v>No</v>
      </c>
    </row>
    <row r="2942" spans="1:18" x14ac:dyDescent="0.25">
      <c r="A2942" s="3">
        <v>45572</v>
      </c>
      <c r="B2942" t="s">
        <v>372</v>
      </c>
      <c r="C2942" t="s">
        <v>19</v>
      </c>
      <c r="D2942" t="s">
        <v>20</v>
      </c>
      <c r="E2942" t="s">
        <v>21</v>
      </c>
      <c r="F2942" t="s">
        <v>30</v>
      </c>
      <c r="G2942" t="s">
        <v>55</v>
      </c>
      <c r="H2942" t="s">
        <v>183</v>
      </c>
      <c r="I2942">
        <v>0.09</v>
      </c>
      <c r="J2942">
        <f t="shared" si="135"/>
        <v>48.6</v>
      </c>
      <c r="K2942">
        <v>0</v>
      </c>
      <c r="L2942">
        <f t="shared" si="136"/>
        <v>48.6</v>
      </c>
      <c r="M2942" s="4">
        <f t="shared" si="137"/>
        <v>8.1000000000000003E-2</v>
      </c>
      <c r="N2942">
        <v>600</v>
      </c>
      <c r="O2942">
        <v>540</v>
      </c>
      <c r="P2942" t="s">
        <v>25</v>
      </c>
      <c r="Q2942" t="s">
        <v>26</v>
      </c>
      <c r="R2942" t="str">
        <f>IF(COUNTIF(Sheet2!B:B, A2942) &gt; 0, "Yes", "No")</f>
        <v>No</v>
      </c>
    </row>
    <row r="2943" spans="1:18" x14ac:dyDescent="0.25">
      <c r="A2943" s="3">
        <v>45572</v>
      </c>
      <c r="B2943" t="s">
        <v>372</v>
      </c>
      <c r="C2943" t="s">
        <v>19</v>
      </c>
      <c r="D2943" t="s">
        <v>33</v>
      </c>
      <c r="E2943" t="s">
        <v>21</v>
      </c>
      <c r="F2943" t="s">
        <v>34</v>
      </c>
      <c r="G2943" t="s">
        <v>35</v>
      </c>
      <c r="H2943" t="s">
        <v>230</v>
      </c>
      <c r="I2943">
        <v>0.15</v>
      </c>
      <c r="J2943">
        <f t="shared" si="135"/>
        <v>52.5</v>
      </c>
      <c r="K2943">
        <v>2</v>
      </c>
      <c r="L2943">
        <f t="shared" si="136"/>
        <v>50.5</v>
      </c>
      <c r="M2943" s="4">
        <f t="shared" si="137"/>
        <v>0.12023809523809524</v>
      </c>
      <c r="N2943">
        <v>420</v>
      </c>
      <c r="O2943">
        <v>350</v>
      </c>
      <c r="P2943" t="s">
        <v>25</v>
      </c>
      <c r="Q2943" t="s">
        <v>26</v>
      </c>
      <c r="R2943" t="str">
        <f>IF(COUNTIF(Sheet2!B:B, A2943) &gt; 0, "Yes", "No")</f>
        <v>No</v>
      </c>
    </row>
    <row r="2944" spans="1:18" x14ac:dyDescent="0.25">
      <c r="A2944" s="3">
        <v>45572</v>
      </c>
      <c r="B2944" t="s">
        <v>372</v>
      </c>
      <c r="C2944" t="s">
        <v>19</v>
      </c>
      <c r="D2944" t="s">
        <v>20</v>
      </c>
      <c r="E2944" t="s">
        <v>21</v>
      </c>
      <c r="F2944" t="s">
        <v>37</v>
      </c>
      <c r="G2944" t="s">
        <v>117</v>
      </c>
      <c r="H2944" t="s">
        <v>118</v>
      </c>
      <c r="I2944">
        <v>0.03</v>
      </c>
      <c r="J2944">
        <f t="shared" si="135"/>
        <v>16.2</v>
      </c>
      <c r="K2944">
        <v>1</v>
      </c>
      <c r="L2944">
        <f t="shared" si="136"/>
        <v>15.2</v>
      </c>
      <c r="M2944" s="4">
        <f t="shared" si="137"/>
        <v>2.5333333333333333E-2</v>
      </c>
      <c r="N2944">
        <v>600</v>
      </c>
      <c r="O2944">
        <v>540</v>
      </c>
      <c r="P2944" t="s">
        <v>25</v>
      </c>
      <c r="Q2944" t="s">
        <v>26</v>
      </c>
      <c r="R2944" t="str">
        <f>IF(COUNTIF(Sheet2!B:B, A2944) &gt; 0, "Yes", "No")</f>
        <v>No</v>
      </c>
    </row>
    <row r="2945" spans="1:18" x14ac:dyDescent="0.25">
      <c r="A2945" s="3">
        <v>45572</v>
      </c>
      <c r="B2945" t="s">
        <v>372</v>
      </c>
      <c r="C2945" t="s">
        <v>19</v>
      </c>
      <c r="D2945" t="s">
        <v>20</v>
      </c>
      <c r="E2945" t="s">
        <v>21</v>
      </c>
      <c r="F2945" t="s">
        <v>40</v>
      </c>
      <c r="G2945" t="s">
        <v>164</v>
      </c>
      <c r="H2945" t="s">
        <v>630</v>
      </c>
      <c r="I2945">
        <v>4.4999999999999998E-2</v>
      </c>
      <c r="J2945">
        <f t="shared" si="135"/>
        <v>24.3</v>
      </c>
      <c r="K2945">
        <v>1</v>
      </c>
      <c r="L2945">
        <f t="shared" si="136"/>
        <v>23.3</v>
      </c>
      <c r="M2945" s="4">
        <f t="shared" si="137"/>
        <v>3.8833333333333338E-2</v>
      </c>
      <c r="N2945">
        <v>600</v>
      </c>
      <c r="O2945">
        <v>540</v>
      </c>
      <c r="P2945" t="s">
        <v>25</v>
      </c>
      <c r="Q2945" t="s">
        <v>26</v>
      </c>
      <c r="R2945" t="str">
        <f>IF(COUNTIF(Sheet2!B:B, A2945) &gt; 0, "Yes", "No")</f>
        <v>No</v>
      </c>
    </row>
    <row r="2946" spans="1:18" x14ac:dyDescent="0.25">
      <c r="A2946" s="3">
        <v>45572</v>
      </c>
      <c r="B2946" t="s">
        <v>372</v>
      </c>
      <c r="C2946" t="s">
        <v>19</v>
      </c>
      <c r="D2946" t="s">
        <v>20</v>
      </c>
      <c r="E2946" t="s">
        <v>21</v>
      </c>
      <c r="F2946" t="s">
        <v>43</v>
      </c>
      <c r="G2946" t="s">
        <v>111</v>
      </c>
      <c r="H2946" t="s">
        <v>267</v>
      </c>
      <c r="I2946">
        <v>0.11</v>
      </c>
      <c r="J2946">
        <f t="shared" si="135"/>
        <v>59.4</v>
      </c>
      <c r="K2946">
        <v>0</v>
      </c>
      <c r="L2946">
        <f t="shared" si="136"/>
        <v>59.4</v>
      </c>
      <c r="M2946" s="4">
        <f t="shared" si="137"/>
        <v>9.8999999999999991E-2</v>
      </c>
      <c r="N2946">
        <v>600</v>
      </c>
      <c r="O2946">
        <v>540</v>
      </c>
      <c r="P2946" t="s">
        <v>25</v>
      </c>
      <c r="Q2946" t="s">
        <v>26</v>
      </c>
      <c r="R2946" t="str">
        <f>IF(COUNTIF(Sheet2!B:B, A2946) &gt; 0, "Yes", "No")</f>
        <v>No</v>
      </c>
    </row>
    <row r="2947" spans="1:18" x14ac:dyDescent="0.25">
      <c r="A2947" s="3">
        <v>45572</v>
      </c>
      <c r="B2947" t="s">
        <v>372</v>
      </c>
      <c r="C2947" t="s">
        <v>19</v>
      </c>
      <c r="D2947" t="s">
        <v>20</v>
      </c>
      <c r="E2947" t="s">
        <v>21</v>
      </c>
      <c r="F2947" t="s">
        <v>46</v>
      </c>
      <c r="G2947" t="s">
        <v>92</v>
      </c>
      <c r="H2947" t="s">
        <v>377</v>
      </c>
      <c r="I2947">
        <v>8.5000000000000006E-2</v>
      </c>
      <c r="J2947">
        <f t="shared" ref="J2947:J3010" si="138">I2947*O2947</f>
        <v>45.900000000000006</v>
      </c>
      <c r="K2947">
        <v>0</v>
      </c>
      <c r="L2947">
        <f t="shared" ref="L2947:L3010" si="139">J2947-K2947</f>
        <v>45.900000000000006</v>
      </c>
      <c r="M2947" s="4">
        <f t="shared" ref="M2947:M3010" si="140">((I2947*O2947)-K2947)/N2947</f>
        <v>7.6500000000000012E-2</v>
      </c>
      <c r="N2947">
        <v>600</v>
      </c>
      <c r="O2947">
        <v>540</v>
      </c>
      <c r="P2947" t="s">
        <v>25</v>
      </c>
      <c r="Q2947" t="s">
        <v>26</v>
      </c>
      <c r="R2947" t="str">
        <f>IF(COUNTIF(Sheet2!B:B, A2947) &gt; 0, "Yes", "No")</f>
        <v>No</v>
      </c>
    </row>
    <row r="2948" spans="1:18" x14ac:dyDescent="0.25">
      <c r="A2948" s="3">
        <v>45572</v>
      </c>
      <c r="B2948" t="s">
        <v>372</v>
      </c>
      <c r="C2948" t="s">
        <v>19</v>
      </c>
      <c r="D2948" t="s">
        <v>20</v>
      </c>
      <c r="E2948" t="s">
        <v>21</v>
      </c>
      <c r="F2948" t="s">
        <v>49</v>
      </c>
      <c r="G2948" t="s">
        <v>50</v>
      </c>
      <c r="H2948" t="s">
        <v>49</v>
      </c>
      <c r="I2948">
        <v>0.09</v>
      </c>
      <c r="J2948">
        <f t="shared" si="138"/>
        <v>48.6</v>
      </c>
      <c r="K2948">
        <v>0</v>
      </c>
      <c r="L2948">
        <f t="shared" si="139"/>
        <v>48.6</v>
      </c>
      <c r="M2948" s="4">
        <f t="shared" si="140"/>
        <v>8.1000000000000003E-2</v>
      </c>
      <c r="N2948">
        <v>600</v>
      </c>
      <c r="O2948">
        <v>540</v>
      </c>
      <c r="P2948" t="s">
        <v>25</v>
      </c>
      <c r="Q2948" t="s">
        <v>26</v>
      </c>
      <c r="R2948" t="str">
        <f>IF(COUNTIF(Sheet2!B:B, A2948) &gt; 0, "Yes", "No")</f>
        <v>No</v>
      </c>
    </row>
    <row r="2949" spans="1:18" x14ac:dyDescent="0.25">
      <c r="A2949" s="3">
        <v>45573</v>
      </c>
      <c r="B2949" t="s">
        <v>372</v>
      </c>
      <c r="C2949" t="s">
        <v>105</v>
      </c>
      <c r="D2949" t="s">
        <v>20</v>
      </c>
      <c r="E2949" t="s">
        <v>67</v>
      </c>
      <c r="F2949" t="s">
        <v>22</v>
      </c>
      <c r="G2949" t="s">
        <v>52</v>
      </c>
      <c r="H2949" t="s">
        <v>68</v>
      </c>
      <c r="I2949">
        <v>8.5000000000000006E-2</v>
      </c>
      <c r="J2949">
        <f t="shared" si="138"/>
        <v>42.5</v>
      </c>
      <c r="K2949">
        <v>0</v>
      </c>
      <c r="L2949">
        <f t="shared" si="139"/>
        <v>42.5</v>
      </c>
      <c r="M2949" s="4">
        <f t="shared" si="140"/>
        <v>7.7272727272727271E-2</v>
      </c>
      <c r="N2949">
        <v>550</v>
      </c>
      <c r="O2949">
        <v>500</v>
      </c>
      <c r="P2949" t="s">
        <v>25</v>
      </c>
      <c r="Q2949" t="s">
        <v>26</v>
      </c>
      <c r="R2949" t="str">
        <f>IF(COUNTIF(Sheet2!B:B, A2949) &gt; 0, "Yes", "No")</f>
        <v>No</v>
      </c>
    </row>
    <row r="2950" spans="1:18" x14ac:dyDescent="0.25">
      <c r="A2950" s="3">
        <v>45573</v>
      </c>
      <c r="B2950" t="s">
        <v>372</v>
      </c>
      <c r="C2950" t="s">
        <v>105</v>
      </c>
      <c r="D2950" t="s">
        <v>20</v>
      </c>
      <c r="E2950" t="s">
        <v>67</v>
      </c>
      <c r="F2950" t="s">
        <v>27</v>
      </c>
      <c r="G2950" t="s">
        <v>304</v>
      </c>
      <c r="H2950" t="s">
        <v>592</v>
      </c>
      <c r="I2950">
        <v>0.12</v>
      </c>
      <c r="J2950">
        <f t="shared" si="138"/>
        <v>60</v>
      </c>
      <c r="K2950">
        <v>0</v>
      </c>
      <c r="L2950">
        <f t="shared" si="139"/>
        <v>60</v>
      </c>
      <c r="M2950" s="4">
        <f t="shared" si="140"/>
        <v>0.10909090909090909</v>
      </c>
      <c r="N2950">
        <v>550</v>
      </c>
      <c r="O2950">
        <v>500</v>
      </c>
      <c r="P2950" t="s">
        <v>25</v>
      </c>
      <c r="Q2950" t="s">
        <v>26</v>
      </c>
      <c r="R2950" t="str">
        <f>IF(COUNTIF(Sheet2!B:B, A2950) &gt; 0, "Yes", "No")</f>
        <v>No</v>
      </c>
    </row>
    <row r="2951" spans="1:18" x14ac:dyDescent="0.25">
      <c r="A2951" s="3">
        <v>45573</v>
      </c>
      <c r="B2951" t="s">
        <v>372</v>
      </c>
      <c r="C2951" t="s">
        <v>105</v>
      </c>
      <c r="D2951" t="s">
        <v>20</v>
      </c>
      <c r="E2951" t="s">
        <v>67</v>
      </c>
      <c r="F2951" t="s">
        <v>30</v>
      </c>
      <c r="G2951" t="s">
        <v>31</v>
      </c>
      <c r="H2951" t="s">
        <v>172</v>
      </c>
      <c r="I2951">
        <v>0.09</v>
      </c>
      <c r="J2951">
        <f t="shared" si="138"/>
        <v>45</v>
      </c>
      <c r="K2951">
        <v>1</v>
      </c>
      <c r="L2951">
        <f t="shared" si="139"/>
        <v>44</v>
      </c>
      <c r="M2951" s="4">
        <f t="shared" si="140"/>
        <v>0.08</v>
      </c>
      <c r="N2951">
        <v>550</v>
      </c>
      <c r="O2951">
        <v>500</v>
      </c>
      <c r="P2951" t="s">
        <v>25</v>
      </c>
      <c r="Q2951" t="s">
        <v>26</v>
      </c>
      <c r="R2951" t="str">
        <f>IF(COUNTIF(Sheet2!B:B, A2951) &gt; 0, "Yes", "No")</f>
        <v>No</v>
      </c>
    </row>
    <row r="2952" spans="1:18" x14ac:dyDescent="0.25">
      <c r="A2952" s="3">
        <v>45573</v>
      </c>
      <c r="B2952" t="s">
        <v>372</v>
      </c>
      <c r="C2952" t="s">
        <v>105</v>
      </c>
      <c r="D2952" t="s">
        <v>20</v>
      </c>
      <c r="E2952" t="s">
        <v>67</v>
      </c>
      <c r="F2952" t="s">
        <v>37</v>
      </c>
      <c r="G2952" t="s">
        <v>87</v>
      </c>
      <c r="H2952" t="s">
        <v>136</v>
      </c>
      <c r="I2952">
        <v>3.5000000000000003E-2</v>
      </c>
      <c r="J2952">
        <f t="shared" si="138"/>
        <v>17.5</v>
      </c>
      <c r="K2952">
        <v>1</v>
      </c>
      <c r="L2952">
        <f t="shared" si="139"/>
        <v>16.5</v>
      </c>
      <c r="M2952" s="4">
        <f t="shared" si="140"/>
        <v>0.03</v>
      </c>
      <c r="N2952">
        <v>550</v>
      </c>
      <c r="O2952">
        <v>500</v>
      </c>
      <c r="P2952" t="s">
        <v>25</v>
      </c>
      <c r="Q2952" t="s">
        <v>26</v>
      </c>
      <c r="R2952" t="str">
        <f>IF(COUNTIF(Sheet2!B:B, A2952) &gt; 0, "Yes", "No")</f>
        <v>No</v>
      </c>
    </row>
    <row r="2953" spans="1:18" x14ac:dyDescent="0.25">
      <c r="A2953" s="3">
        <v>45573</v>
      </c>
      <c r="B2953" t="s">
        <v>372</v>
      </c>
      <c r="C2953" t="s">
        <v>105</v>
      </c>
      <c r="D2953" t="s">
        <v>20</v>
      </c>
      <c r="E2953" t="s">
        <v>67</v>
      </c>
      <c r="F2953" t="s">
        <v>40</v>
      </c>
      <c r="G2953" t="s">
        <v>41</v>
      </c>
      <c r="H2953" t="s">
        <v>716</v>
      </c>
      <c r="I2953">
        <v>0.05</v>
      </c>
      <c r="J2953">
        <f t="shared" si="138"/>
        <v>25</v>
      </c>
      <c r="K2953">
        <v>1</v>
      </c>
      <c r="L2953">
        <f t="shared" si="139"/>
        <v>24</v>
      </c>
      <c r="M2953" s="4">
        <f t="shared" si="140"/>
        <v>4.363636363636364E-2</v>
      </c>
      <c r="N2953">
        <v>550</v>
      </c>
      <c r="O2953">
        <v>500</v>
      </c>
      <c r="P2953" t="s">
        <v>25</v>
      </c>
      <c r="Q2953" t="s">
        <v>26</v>
      </c>
      <c r="R2953" t="str">
        <f>IF(COUNTIF(Sheet2!B:B, A2953) &gt; 0, "Yes", "No")</f>
        <v>No</v>
      </c>
    </row>
    <row r="2954" spans="1:18" x14ac:dyDescent="0.25">
      <c r="A2954" s="3">
        <v>45573</v>
      </c>
      <c r="B2954" t="s">
        <v>372</v>
      </c>
      <c r="C2954" t="s">
        <v>105</v>
      </c>
      <c r="D2954" t="s">
        <v>20</v>
      </c>
      <c r="E2954" t="s">
        <v>67</v>
      </c>
      <c r="F2954" t="s">
        <v>43</v>
      </c>
      <c r="G2954" t="s">
        <v>90</v>
      </c>
      <c r="H2954" t="s">
        <v>717</v>
      </c>
      <c r="I2954">
        <v>0.11</v>
      </c>
      <c r="J2954">
        <f t="shared" si="138"/>
        <v>55</v>
      </c>
      <c r="K2954">
        <v>1</v>
      </c>
      <c r="L2954">
        <f t="shared" si="139"/>
        <v>54</v>
      </c>
      <c r="M2954" s="4">
        <f t="shared" si="140"/>
        <v>9.8181818181818176E-2</v>
      </c>
      <c r="N2954">
        <v>550</v>
      </c>
      <c r="O2954">
        <v>500</v>
      </c>
      <c r="P2954" t="s">
        <v>25</v>
      </c>
      <c r="Q2954" t="s">
        <v>26</v>
      </c>
      <c r="R2954" t="str">
        <f>IF(COUNTIF(Sheet2!B:B, A2954) &gt; 0, "Yes", "No")</f>
        <v>No</v>
      </c>
    </row>
    <row r="2955" spans="1:18" x14ac:dyDescent="0.25">
      <c r="A2955" s="3">
        <v>45573</v>
      </c>
      <c r="B2955" t="s">
        <v>372</v>
      </c>
      <c r="C2955" t="s">
        <v>105</v>
      </c>
      <c r="D2955" t="s">
        <v>20</v>
      </c>
      <c r="E2955" t="s">
        <v>67</v>
      </c>
      <c r="F2955" t="s">
        <v>46</v>
      </c>
      <c r="G2955" t="s">
        <v>103</v>
      </c>
      <c r="H2955" t="s">
        <v>309</v>
      </c>
      <c r="I2955">
        <v>0.09</v>
      </c>
      <c r="J2955">
        <f t="shared" si="138"/>
        <v>45</v>
      </c>
      <c r="K2955">
        <v>0</v>
      </c>
      <c r="L2955">
        <f t="shared" si="139"/>
        <v>45</v>
      </c>
      <c r="M2955" s="4">
        <f t="shared" si="140"/>
        <v>8.1818181818181818E-2</v>
      </c>
      <c r="N2955">
        <v>550</v>
      </c>
      <c r="O2955">
        <v>500</v>
      </c>
      <c r="P2955" t="s">
        <v>25</v>
      </c>
      <c r="Q2955" t="s">
        <v>26</v>
      </c>
      <c r="R2955" t="str">
        <f>IF(COUNTIF(Sheet2!B:B, A2955) &gt; 0, "Yes", "No")</f>
        <v>No</v>
      </c>
    </row>
    <row r="2956" spans="1:18" x14ac:dyDescent="0.25">
      <c r="A2956" s="3">
        <v>45573</v>
      </c>
      <c r="B2956" t="s">
        <v>372</v>
      </c>
      <c r="C2956" t="s">
        <v>105</v>
      </c>
      <c r="D2956" t="s">
        <v>20</v>
      </c>
      <c r="E2956" t="s">
        <v>67</v>
      </c>
      <c r="F2956" t="s">
        <v>49</v>
      </c>
      <c r="G2956" t="s">
        <v>50</v>
      </c>
      <c r="H2956" t="s">
        <v>49</v>
      </c>
      <c r="I2956">
        <v>0.09</v>
      </c>
      <c r="J2956">
        <f t="shared" si="138"/>
        <v>45</v>
      </c>
      <c r="K2956">
        <v>0</v>
      </c>
      <c r="L2956">
        <f t="shared" si="139"/>
        <v>45</v>
      </c>
      <c r="M2956" s="4">
        <f t="shared" si="140"/>
        <v>8.1818181818181818E-2</v>
      </c>
      <c r="N2956">
        <v>550</v>
      </c>
      <c r="O2956">
        <v>500</v>
      </c>
      <c r="P2956" t="s">
        <v>25</v>
      </c>
      <c r="Q2956" t="s">
        <v>26</v>
      </c>
      <c r="R2956" t="str">
        <f>IF(COUNTIF(Sheet2!B:B, A2956) &gt; 0, "Yes", "No")</f>
        <v>No</v>
      </c>
    </row>
    <row r="2957" spans="1:18" x14ac:dyDescent="0.25">
      <c r="A2957" s="3">
        <v>45574</v>
      </c>
      <c r="B2957" t="s">
        <v>372</v>
      </c>
      <c r="C2957" t="s">
        <v>51</v>
      </c>
      <c r="D2957" t="s">
        <v>20</v>
      </c>
      <c r="E2957" t="s">
        <v>21</v>
      </c>
      <c r="F2957" t="s">
        <v>22</v>
      </c>
      <c r="G2957" t="s">
        <v>52</v>
      </c>
      <c r="H2957" t="s">
        <v>718</v>
      </c>
      <c r="I2957">
        <v>8.5000000000000006E-2</v>
      </c>
      <c r="J2957">
        <f t="shared" si="138"/>
        <v>44.2</v>
      </c>
      <c r="K2957">
        <v>0</v>
      </c>
      <c r="L2957">
        <f t="shared" si="139"/>
        <v>44.2</v>
      </c>
      <c r="M2957" s="4">
        <f t="shared" si="140"/>
        <v>7.6206896551724149E-2</v>
      </c>
      <c r="N2957">
        <v>580</v>
      </c>
      <c r="O2957">
        <v>520</v>
      </c>
      <c r="P2957" t="s">
        <v>25</v>
      </c>
      <c r="Q2957" t="s">
        <v>26</v>
      </c>
      <c r="R2957" t="str">
        <f>IF(COUNTIF(Sheet2!B:B, A2957) &gt; 0, "Yes", "No")</f>
        <v>No</v>
      </c>
    </row>
    <row r="2958" spans="1:18" x14ac:dyDescent="0.25">
      <c r="A2958" s="3">
        <v>45574</v>
      </c>
      <c r="B2958" t="s">
        <v>372</v>
      </c>
      <c r="C2958" t="s">
        <v>51</v>
      </c>
      <c r="D2958" t="s">
        <v>20</v>
      </c>
      <c r="E2958" t="s">
        <v>21</v>
      </c>
      <c r="F2958" t="s">
        <v>27</v>
      </c>
      <c r="G2958" t="s">
        <v>144</v>
      </c>
      <c r="H2958" t="s">
        <v>719</v>
      </c>
      <c r="I2958">
        <v>0.11</v>
      </c>
      <c r="J2958">
        <f t="shared" si="138"/>
        <v>57.2</v>
      </c>
      <c r="K2958">
        <v>0</v>
      </c>
      <c r="L2958">
        <f t="shared" si="139"/>
        <v>57.2</v>
      </c>
      <c r="M2958" s="4">
        <f t="shared" si="140"/>
        <v>9.8620689655172414E-2</v>
      </c>
      <c r="N2958">
        <v>580</v>
      </c>
      <c r="O2958">
        <v>520</v>
      </c>
      <c r="P2958" t="s">
        <v>25</v>
      </c>
      <c r="Q2958" t="s">
        <v>26</v>
      </c>
      <c r="R2958" t="str">
        <f>IF(COUNTIF(Sheet2!B:B, A2958) &gt; 0, "Yes", "No")</f>
        <v>No</v>
      </c>
    </row>
    <row r="2959" spans="1:18" x14ac:dyDescent="0.25">
      <c r="A2959" s="3">
        <v>45574</v>
      </c>
      <c r="B2959" t="s">
        <v>372</v>
      </c>
      <c r="C2959" t="s">
        <v>51</v>
      </c>
      <c r="D2959" t="s">
        <v>20</v>
      </c>
      <c r="E2959" t="s">
        <v>21</v>
      </c>
      <c r="F2959" t="s">
        <v>30</v>
      </c>
      <c r="G2959" t="s">
        <v>55</v>
      </c>
      <c r="H2959" t="s">
        <v>83</v>
      </c>
      <c r="I2959">
        <v>0.09</v>
      </c>
      <c r="J2959">
        <f t="shared" si="138"/>
        <v>46.8</v>
      </c>
      <c r="K2959">
        <v>1</v>
      </c>
      <c r="L2959">
        <f t="shared" si="139"/>
        <v>45.8</v>
      </c>
      <c r="M2959" s="4">
        <f t="shared" si="140"/>
        <v>7.8965517241379304E-2</v>
      </c>
      <c r="N2959">
        <v>580</v>
      </c>
      <c r="O2959">
        <v>520</v>
      </c>
      <c r="P2959" t="s">
        <v>25</v>
      </c>
      <c r="Q2959" t="s">
        <v>26</v>
      </c>
      <c r="R2959" t="str">
        <f>IF(COUNTIF(Sheet2!B:B, A2959) &gt; 0, "Yes", "No")</f>
        <v>No</v>
      </c>
    </row>
    <row r="2960" spans="1:18" x14ac:dyDescent="0.25">
      <c r="A2960" s="3">
        <v>45574</v>
      </c>
      <c r="B2960" t="s">
        <v>372</v>
      </c>
      <c r="C2960" t="s">
        <v>51</v>
      </c>
      <c r="D2960" t="s">
        <v>33</v>
      </c>
      <c r="E2960" t="s">
        <v>21</v>
      </c>
      <c r="F2960" t="s">
        <v>34</v>
      </c>
      <c r="G2960" t="s">
        <v>57</v>
      </c>
      <c r="H2960" t="s">
        <v>720</v>
      </c>
      <c r="I2960">
        <v>0.15</v>
      </c>
      <c r="J2960">
        <f t="shared" si="138"/>
        <v>45</v>
      </c>
      <c r="K2960">
        <v>1</v>
      </c>
      <c r="L2960">
        <f t="shared" si="139"/>
        <v>44</v>
      </c>
      <c r="M2960" s="4">
        <f t="shared" si="140"/>
        <v>0.12643678160919541</v>
      </c>
      <c r="N2960">
        <v>348</v>
      </c>
      <c r="O2960">
        <v>300</v>
      </c>
      <c r="P2960" t="s">
        <v>25</v>
      </c>
      <c r="Q2960" t="s">
        <v>26</v>
      </c>
      <c r="R2960" t="str">
        <f>IF(COUNTIF(Sheet2!B:B, A2960) &gt; 0, "Yes", "No")</f>
        <v>No</v>
      </c>
    </row>
    <row r="2961" spans="1:18" x14ac:dyDescent="0.25">
      <c r="A2961" s="3">
        <v>45574</v>
      </c>
      <c r="B2961" t="s">
        <v>372</v>
      </c>
      <c r="C2961" t="s">
        <v>51</v>
      </c>
      <c r="D2961" t="s">
        <v>20</v>
      </c>
      <c r="E2961" t="s">
        <v>21</v>
      </c>
      <c r="F2961" t="s">
        <v>37</v>
      </c>
      <c r="G2961" t="s">
        <v>38</v>
      </c>
      <c r="H2961" t="s">
        <v>39</v>
      </c>
      <c r="I2961">
        <v>0.03</v>
      </c>
      <c r="J2961">
        <f t="shared" si="138"/>
        <v>15.6</v>
      </c>
      <c r="K2961">
        <v>1.5</v>
      </c>
      <c r="L2961">
        <f t="shared" si="139"/>
        <v>14.1</v>
      </c>
      <c r="M2961" s="4">
        <f t="shared" si="140"/>
        <v>2.4310344827586206E-2</v>
      </c>
      <c r="N2961">
        <v>580</v>
      </c>
      <c r="O2961">
        <v>520</v>
      </c>
      <c r="P2961" t="s">
        <v>25</v>
      </c>
      <c r="Q2961" t="s">
        <v>26</v>
      </c>
      <c r="R2961" t="str">
        <f>IF(COUNTIF(Sheet2!B:B, A2961) &gt; 0, "Yes", "No")</f>
        <v>No</v>
      </c>
    </row>
    <row r="2962" spans="1:18" x14ac:dyDescent="0.25">
      <c r="A2962" s="3">
        <v>45574</v>
      </c>
      <c r="B2962" t="s">
        <v>372</v>
      </c>
      <c r="C2962" t="s">
        <v>51</v>
      </c>
      <c r="D2962" t="s">
        <v>20</v>
      </c>
      <c r="E2962" t="s">
        <v>21</v>
      </c>
      <c r="F2962" t="s">
        <v>40</v>
      </c>
      <c r="G2962" t="s">
        <v>100</v>
      </c>
      <c r="H2962" t="s">
        <v>101</v>
      </c>
      <c r="I2962">
        <v>4.4999999999999998E-2</v>
      </c>
      <c r="J2962">
        <f t="shared" si="138"/>
        <v>23.4</v>
      </c>
      <c r="K2962">
        <v>2</v>
      </c>
      <c r="L2962">
        <f t="shared" si="139"/>
        <v>21.4</v>
      </c>
      <c r="M2962" s="4">
        <f t="shared" si="140"/>
        <v>3.689655172413793E-2</v>
      </c>
      <c r="N2962">
        <v>580</v>
      </c>
      <c r="O2962">
        <v>520</v>
      </c>
      <c r="P2962" t="s">
        <v>25</v>
      </c>
      <c r="Q2962" t="s">
        <v>26</v>
      </c>
      <c r="R2962" t="str">
        <f>IF(COUNTIF(Sheet2!B:B, A2962) &gt; 0, "Yes", "No")</f>
        <v>No</v>
      </c>
    </row>
    <row r="2963" spans="1:18" x14ac:dyDescent="0.25">
      <c r="A2963" s="3">
        <v>45574</v>
      </c>
      <c r="B2963" t="s">
        <v>372</v>
      </c>
      <c r="C2963" t="s">
        <v>51</v>
      </c>
      <c r="D2963" t="s">
        <v>20</v>
      </c>
      <c r="E2963" t="s">
        <v>21</v>
      </c>
      <c r="F2963" t="s">
        <v>43</v>
      </c>
      <c r="G2963" t="s">
        <v>75</v>
      </c>
      <c r="H2963" t="s">
        <v>75</v>
      </c>
      <c r="I2963">
        <v>0.11</v>
      </c>
      <c r="J2963">
        <f t="shared" si="138"/>
        <v>57.2</v>
      </c>
      <c r="K2963">
        <v>2</v>
      </c>
      <c r="L2963">
        <f t="shared" si="139"/>
        <v>55.2</v>
      </c>
      <c r="M2963" s="4">
        <f t="shared" si="140"/>
        <v>9.5172413793103455E-2</v>
      </c>
      <c r="N2963">
        <v>580</v>
      </c>
      <c r="O2963">
        <v>520</v>
      </c>
      <c r="P2963" t="s">
        <v>25</v>
      </c>
      <c r="Q2963" t="s">
        <v>26</v>
      </c>
      <c r="R2963" t="str">
        <f>IF(COUNTIF(Sheet2!B:B, A2963) &gt; 0, "Yes", "No")</f>
        <v>No</v>
      </c>
    </row>
    <row r="2964" spans="1:18" x14ac:dyDescent="0.25">
      <c r="A2964" s="3">
        <v>45574</v>
      </c>
      <c r="B2964" t="s">
        <v>372</v>
      </c>
      <c r="C2964" t="s">
        <v>51</v>
      </c>
      <c r="D2964" t="s">
        <v>20</v>
      </c>
      <c r="E2964" t="s">
        <v>21</v>
      </c>
      <c r="F2964" t="s">
        <v>46</v>
      </c>
      <c r="G2964" t="s">
        <v>47</v>
      </c>
      <c r="H2964" t="s">
        <v>228</v>
      </c>
      <c r="I2964">
        <v>8.5000000000000006E-2</v>
      </c>
      <c r="J2964">
        <f t="shared" si="138"/>
        <v>44.2</v>
      </c>
      <c r="K2964">
        <v>2</v>
      </c>
      <c r="L2964">
        <f t="shared" si="139"/>
        <v>42.2</v>
      </c>
      <c r="M2964" s="4">
        <f t="shared" si="140"/>
        <v>7.2758620689655176E-2</v>
      </c>
      <c r="N2964">
        <v>580</v>
      </c>
      <c r="O2964">
        <v>520</v>
      </c>
      <c r="P2964" t="s">
        <v>25</v>
      </c>
      <c r="Q2964" t="s">
        <v>26</v>
      </c>
      <c r="R2964" t="str">
        <f>IF(COUNTIF(Sheet2!B:B, A2964) &gt; 0, "Yes", "No")</f>
        <v>No</v>
      </c>
    </row>
    <row r="2965" spans="1:18" x14ac:dyDescent="0.25">
      <c r="A2965" s="3">
        <v>45574</v>
      </c>
      <c r="B2965" t="s">
        <v>372</v>
      </c>
      <c r="C2965" t="s">
        <v>51</v>
      </c>
      <c r="D2965" t="s">
        <v>20</v>
      </c>
      <c r="E2965" t="s">
        <v>21</v>
      </c>
      <c r="F2965" t="s">
        <v>49</v>
      </c>
      <c r="G2965" t="s">
        <v>50</v>
      </c>
      <c r="H2965" t="s">
        <v>49</v>
      </c>
      <c r="I2965">
        <v>0.09</v>
      </c>
      <c r="J2965">
        <f t="shared" si="138"/>
        <v>46.8</v>
      </c>
      <c r="K2965">
        <v>0</v>
      </c>
      <c r="L2965">
        <f t="shared" si="139"/>
        <v>46.8</v>
      </c>
      <c r="M2965" s="4">
        <f t="shared" si="140"/>
        <v>8.0689655172413791E-2</v>
      </c>
      <c r="N2965">
        <v>580</v>
      </c>
      <c r="O2965">
        <v>520</v>
      </c>
      <c r="P2965" t="s">
        <v>25</v>
      </c>
      <c r="Q2965" t="s">
        <v>26</v>
      </c>
      <c r="R2965" t="str">
        <f>IF(COUNTIF(Sheet2!B:B, A2965) &gt; 0, "Yes", "No")</f>
        <v>No</v>
      </c>
    </row>
    <row r="2966" spans="1:18" x14ac:dyDescent="0.25">
      <c r="A2966" s="3">
        <v>45575</v>
      </c>
      <c r="B2966" t="s">
        <v>372</v>
      </c>
      <c r="C2966" t="s">
        <v>66</v>
      </c>
      <c r="D2966" t="s">
        <v>20</v>
      </c>
      <c r="E2966" t="s">
        <v>67</v>
      </c>
      <c r="F2966" t="s">
        <v>22</v>
      </c>
      <c r="G2966" t="s">
        <v>94</v>
      </c>
      <c r="H2966" t="s">
        <v>143</v>
      </c>
      <c r="I2966">
        <v>8.5000000000000006E-2</v>
      </c>
      <c r="J2966">
        <f t="shared" si="138"/>
        <v>38.25</v>
      </c>
      <c r="K2966">
        <v>0</v>
      </c>
      <c r="L2966">
        <f t="shared" si="139"/>
        <v>38.25</v>
      </c>
      <c r="M2966" s="4">
        <f t="shared" si="140"/>
        <v>7.6499999999999999E-2</v>
      </c>
      <c r="N2966">
        <v>500</v>
      </c>
      <c r="O2966">
        <v>450</v>
      </c>
      <c r="P2966" t="s">
        <v>25</v>
      </c>
      <c r="Q2966" t="s">
        <v>26</v>
      </c>
      <c r="R2966" t="str">
        <f>IF(COUNTIF(Sheet2!B:B, A2966) &gt; 0, "Yes", "No")</f>
        <v>No</v>
      </c>
    </row>
    <row r="2967" spans="1:18" x14ac:dyDescent="0.25">
      <c r="A2967" s="3">
        <v>45575</v>
      </c>
      <c r="B2967" t="s">
        <v>372</v>
      </c>
      <c r="C2967" t="s">
        <v>66</v>
      </c>
      <c r="D2967" t="s">
        <v>20</v>
      </c>
      <c r="E2967" t="s">
        <v>67</v>
      </c>
      <c r="F2967" t="s">
        <v>27</v>
      </c>
      <c r="G2967" t="s">
        <v>28</v>
      </c>
      <c r="H2967" t="s">
        <v>648</v>
      </c>
      <c r="I2967">
        <v>0.11</v>
      </c>
      <c r="J2967">
        <f t="shared" si="138"/>
        <v>49.5</v>
      </c>
      <c r="K2967">
        <v>2</v>
      </c>
      <c r="L2967">
        <f t="shared" si="139"/>
        <v>47.5</v>
      </c>
      <c r="M2967" s="4">
        <f t="shared" si="140"/>
        <v>9.5000000000000001E-2</v>
      </c>
      <c r="N2967">
        <v>500</v>
      </c>
      <c r="O2967">
        <v>450</v>
      </c>
      <c r="P2967" t="s">
        <v>25</v>
      </c>
      <c r="Q2967" t="s">
        <v>26</v>
      </c>
      <c r="R2967" t="str">
        <f>IF(COUNTIF(Sheet2!B:B, A2967) &gt; 0, "Yes", "No")</f>
        <v>No</v>
      </c>
    </row>
    <row r="2968" spans="1:18" x14ac:dyDescent="0.25">
      <c r="A2968" s="3">
        <v>45575</v>
      </c>
      <c r="B2968" t="s">
        <v>372</v>
      </c>
      <c r="C2968" t="s">
        <v>66</v>
      </c>
      <c r="D2968" t="s">
        <v>20</v>
      </c>
      <c r="E2968" t="s">
        <v>67</v>
      </c>
      <c r="F2968" t="s">
        <v>30</v>
      </c>
      <c r="G2968" t="s">
        <v>31</v>
      </c>
      <c r="H2968" t="s">
        <v>70</v>
      </c>
      <c r="I2968">
        <v>0.09</v>
      </c>
      <c r="J2968">
        <f t="shared" si="138"/>
        <v>40.5</v>
      </c>
      <c r="K2968">
        <v>2</v>
      </c>
      <c r="L2968">
        <f t="shared" si="139"/>
        <v>38.5</v>
      </c>
      <c r="M2968" s="4">
        <f t="shared" si="140"/>
        <v>7.6999999999999999E-2</v>
      </c>
      <c r="N2968">
        <v>500</v>
      </c>
      <c r="O2968">
        <v>450</v>
      </c>
      <c r="P2968" t="s">
        <v>25</v>
      </c>
      <c r="Q2968" t="s">
        <v>26</v>
      </c>
      <c r="R2968" t="str">
        <f>IF(COUNTIF(Sheet2!B:B, A2968) &gt; 0, "Yes", "No")</f>
        <v>No</v>
      </c>
    </row>
    <row r="2969" spans="1:18" x14ac:dyDescent="0.25">
      <c r="A2969" s="3">
        <v>45575</v>
      </c>
      <c r="B2969" t="s">
        <v>372</v>
      </c>
      <c r="C2969" t="s">
        <v>66</v>
      </c>
      <c r="D2969" t="s">
        <v>20</v>
      </c>
      <c r="E2969" t="s">
        <v>67</v>
      </c>
      <c r="F2969" t="s">
        <v>37</v>
      </c>
      <c r="G2969" t="s">
        <v>87</v>
      </c>
      <c r="H2969" t="s">
        <v>88</v>
      </c>
      <c r="I2969">
        <v>3.5000000000000003E-2</v>
      </c>
      <c r="J2969">
        <f t="shared" si="138"/>
        <v>15.750000000000002</v>
      </c>
      <c r="K2969">
        <v>4</v>
      </c>
      <c r="L2969">
        <f t="shared" si="139"/>
        <v>11.750000000000002</v>
      </c>
      <c r="M2969" s="4">
        <f t="shared" si="140"/>
        <v>2.3500000000000004E-2</v>
      </c>
      <c r="N2969">
        <v>500</v>
      </c>
      <c r="O2969">
        <v>450</v>
      </c>
      <c r="P2969" t="s">
        <v>25</v>
      </c>
      <c r="Q2969" t="s">
        <v>26</v>
      </c>
      <c r="R2969" t="str">
        <f>IF(COUNTIF(Sheet2!B:B, A2969) &gt; 0, "Yes", "No")</f>
        <v>No</v>
      </c>
    </row>
    <row r="2970" spans="1:18" x14ac:dyDescent="0.25">
      <c r="A2970" s="3">
        <v>45575</v>
      </c>
      <c r="B2970" t="s">
        <v>372</v>
      </c>
      <c r="C2970" t="s">
        <v>66</v>
      </c>
      <c r="D2970" t="s">
        <v>20</v>
      </c>
      <c r="E2970" t="s">
        <v>67</v>
      </c>
      <c r="F2970" t="s">
        <v>40</v>
      </c>
      <c r="G2970" t="s">
        <v>127</v>
      </c>
      <c r="H2970" t="s">
        <v>127</v>
      </c>
      <c r="I2970">
        <v>0.05</v>
      </c>
      <c r="J2970">
        <f t="shared" si="138"/>
        <v>22.5</v>
      </c>
      <c r="K2970">
        <v>4</v>
      </c>
      <c r="L2970">
        <f t="shared" si="139"/>
        <v>18.5</v>
      </c>
      <c r="M2970" s="4">
        <f t="shared" si="140"/>
        <v>3.6999999999999998E-2</v>
      </c>
      <c r="N2970">
        <v>500</v>
      </c>
      <c r="O2970">
        <v>450</v>
      </c>
      <c r="P2970" t="s">
        <v>25</v>
      </c>
      <c r="Q2970" t="s">
        <v>26</v>
      </c>
      <c r="R2970" t="str">
        <f>IF(COUNTIF(Sheet2!B:B, A2970) &gt; 0, "Yes", "No")</f>
        <v>No</v>
      </c>
    </row>
    <row r="2971" spans="1:18" x14ac:dyDescent="0.25">
      <c r="A2971" s="3">
        <v>45575</v>
      </c>
      <c r="B2971" t="s">
        <v>372</v>
      </c>
      <c r="C2971" t="s">
        <v>66</v>
      </c>
      <c r="D2971" t="s">
        <v>20</v>
      </c>
      <c r="E2971" t="s">
        <v>67</v>
      </c>
      <c r="F2971" t="s">
        <v>43</v>
      </c>
      <c r="G2971" t="s">
        <v>44</v>
      </c>
      <c r="H2971" t="s">
        <v>153</v>
      </c>
      <c r="I2971">
        <v>0.11</v>
      </c>
      <c r="J2971">
        <f t="shared" si="138"/>
        <v>49.5</v>
      </c>
      <c r="K2971">
        <v>0</v>
      </c>
      <c r="L2971">
        <f t="shared" si="139"/>
        <v>49.5</v>
      </c>
      <c r="M2971" s="4">
        <f t="shared" si="140"/>
        <v>9.9000000000000005E-2</v>
      </c>
      <c r="N2971">
        <v>500</v>
      </c>
      <c r="O2971">
        <v>450</v>
      </c>
      <c r="P2971" t="s">
        <v>25</v>
      </c>
      <c r="Q2971" t="s">
        <v>26</v>
      </c>
      <c r="R2971" t="str">
        <f>IF(COUNTIF(Sheet2!B:B, A2971) &gt; 0, "Yes", "No")</f>
        <v>No</v>
      </c>
    </row>
    <row r="2972" spans="1:18" x14ac:dyDescent="0.25">
      <c r="A2972" s="3">
        <v>45575</v>
      </c>
      <c r="B2972" t="s">
        <v>372</v>
      </c>
      <c r="C2972" t="s">
        <v>66</v>
      </c>
      <c r="D2972" t="s">
        <v>20</v>
      </c>
      <c r="E2972" t="s">
        <v>67</v>
      </c>
      <c r="F2972" t="s">
        <v>46</v>
      </c>
      <c r="G2972" t="s">
        <v>92</v>
      </c>
      <c r="H2972" t="s">
        <v>721</v>
      </c>
      <c r="I2972">
        <v>8.5000000000000006E-2</v>
      </c>
      <c r="J2972">
        <f t="shared" si="138"/>
        <v>38.25</v>
      </c>
      <c r="K2972">
        <v>2</v>
      </c>
      <c r="L2972">
        <f t="shared" si="139"/>
        <v>36.25</v>
      </c>
      <c r="M2972" s="4">
        <f t="shared" si="140"/>
        <v>7.2499999999999995E-2</v>
      </c>
      <c r="N2972">
        <v>500</v>
      </c>
      <c r="O2972">
        <v>450</v>
      </c>
      <c r="P2972" t="s">
        <v>25</v>
      </c>
      <c r="Q2972" t="s">
        <v>26</v>
      </c>
      <c r="R2972" t="str">
        <f>IF(COUNTIF(Sheet2!B:B, A2972) &gt; 0, "Yes", "No")</f>
        <v>No</v>
      </c>
    </row>
    <row r="2973" spans="1:18" x14ac:dyDescent="0.25">
      <c r="A2973" s="3">
        <v>45575</v>
      </c>
      <c r="B2973" t="s">
        <v>372</v>
      </c>
      <c r="C2973" t="s">
        <v>66</v>
      </c>
      <c r="D2973" t="s">
        <v>20</v>
      </c>
      <c r="E2973" t="s">
        <v>67</v>
      </c>
      <c r="F2973" t="s">
        <v>49</v>
      </c>
      <c r="G2973" t="s">
        <v>50</v>
      </c>
      <c r="H2973" t="s">
        <v>49</v>
      </c>
      <c r="I2973">
        <v>0.09</v>
      </c>
      <c r="J2973">
        <f t="shared" si="138"/>
        <v>40.5</v>
      </c>
      <c r="K2973">
        <v>1</v>
      </c>
      <c r="L2973">
        <f t="shared" si="139"/>
        <v>39.5</v>
      </c>
      <c r="M2973" s="4">
        <f t="shared" si="140"/>
        <v>7.9000000000000001E-2</v>
      </c>
      <c r="N2973">
        <v>500</v>
      </c>
      <c r="O2973">
        <v>450</v>
      </c>
      <c r="P2973" t="s">
        <v>25</v>
      </c>
      <c r="Q2973" t="s">
        <v>26</v>
      </c>
      <c r="R2973" t="str">
        <f>IF(COUNTIF(Sheet2!B:B, A2973) &gt; 0, "Yes", "No")</f>
        <v>No</v>
      </c>
    </row>
    <row r="2974" spans="1:18" x14ac:dyDescent="0.25">
      <c r="A2974" s="3">
        <v>45579</v>
      </c>
      <c r="B2974" t="s">
        <v>372</v>
      </c>
      <c r="C2974" t="s">
        <v>19</v>
      </c>
      <c r="D2974" t="s">
        <v>20</v>
      </c>
      <c r="E2974" t="s">
        <v>21</v>
      </c>
      <c r="F2974" t="s">
        <v>22</v>
      </c>
      <c r="G2974" t="s">
        <v>94</v>
      </c>
      <c r="H2974" t="s">
        <v>95</v>
      </c>
      <c r="I2974">
        <v>8.5000000000000006E-2</v>
      </c>
      <c r="J2974">
        <f t="shared" si="138"/>
        <v>49.300000000000004</v>
      </c>
      <c r="K2974">
        <v>4</v>
      </c>
      <c r="L2974">
        <f t="shared" si="139"/>
        <v>45.300000000000004</v>
      </c>
      <c r="M2974" s="4">
        <f t="shared" si="140"/>
        <v>6.9692307692307692E-2</v>
      </c>
      <c r="N2974">
        <v>650</v>
      </c>
      <c r="O2974">
        <v>580</v>
      </c>
      <c r="P2974" t="s">
        <v>25</v>
      </c>
      <c r="Q2974" t="s">
        <v>26</v>
      </c>
      <c r="R2974" t="str">
        <f>IF(COUNTIF(Sheet2!B:B, A2974) &gt; 0, "Yes", "No")</f>
        <v>No</v>
      </c>
    </row>
    <row r="2975" spans="1:18" x14ac:dyDescent="0.25">
      <c r="A2975" s="3">
        <v>45579</v>
      </c>
      <c r="B2975" t="s">
        <v>372</v>
      </c>
      <c r="C2975" t="s">
        <v>19</v>
      </c>
      <c r="D2975" t="s">
        <v>20</v>
      </c>
      <c r="E2975" t="s">
        <v>21</v>
      </c>
      <c r="F2975" t="s">
        <v>27</v>
      </c>
      <c r="G2975" t="s">
        <v>235</v>
      </c>
      <c r="H2975" t="s">
        <v>722</v>
      </c>
      <c r="I2975">
        <v>0.12</v>
      </c>
      <c r="J2975">
        <f t="shared" si="138"/>
        <v>69.599999999999994</v>
      </c>
      <c r="K2975">
        <v>5</v>
      </c>
      <c r="L2975">
        <f t="shared" si="139"/>
        <v>64.599999999999994</v>
      </c>
      <c r="M2975" s="4">
        <f t="shared" si="140"/>
        <v>9.9384615384615377E-2</v>
      </c>
      <c r="N2975">
        <v>650</v>
      </c>
      <c r="O2975">
        <v>580</v>
      </c>
      <c r="P2975" t="s">
        <v>25</v>
      </c>
      <c r="Q2975" t="s">
        <v>26</v>
      </c>
      <c r="R2975" t="str">
        <f>IF(COUNTIF(Sheet2!B:B, A2975) &gt; 0, "Yes", "No")</f>
        <v>No</v>
      </c>
    </row>
    <row r="2976" spans="1:18" x14ac:dyDescent="0.25">
      <c r="A2976" s="3">
        <v>45579</v>
      </c>
      <c r="B2976" t="s">
        <v>372</v>
      </c>
      <c r="C2976" t="s">
        <v>19</v>
      </c>
      <c r="D2976" t="s">
        <v>20</v>
      </c>
      <c r="E2976" t="s">
        <v>21</v>
      </c>
      <c r="F2976" t="s">
        <v>30</v>
      </c>
      <c r="G2976" t="s">
        <v>55</v>
      </c>
      <c r="H2976" t="s">
        <v>56</v>
      </c>
      <c r="I2976">
        <v>0.09</v>
      </c>
      <c r="J2976">
        <f t="shared" si="138"/>
        <v>52.199999999999996</v>
      </c>
      <c r="K2976">
        <v>2</v>
      </c>
      <c r="L2976">
        <f t="shared" si="139"/>
        <v>50.199999999999996</v>
      </c>
      <c r="M2976" s="4">
        <f t="shared" si="140"/>
        <v>7.7230769230769228E-2</v>
      </c>
      <c r="N2976">
        <v>650</v>
      </c>
      <c r="O2976">
        <v>580</v>
      </c>
      <c r="P2976" t="s">
        <v>25</v>
      </c>
      <c r="Q2976" t="s">
        <v>26</v>
      </c>
      <c r="R2976" t="str">
        <f>IF(COUNTIF(Sheet2!B:B, A2976) &gt; 0, "Yes", "No")</f>
        <v>No</v>
      </c>
    </row>
    <row r="2977" spans="1:18" x14ac:dyDescent="0.25">
      <c r="A2977" s="3">
        <v>45579</v>
      </c>
      <c r="B2977" t="s">
        <v>372</v>
      </c>
      <c r="C2977" t="s">
        <v>19</v>
      </c>
      <c r="D2977" t="s">
        <v>33</v>
      </c>
      <c r="E2977" t="s">
        <v>21</v>
      </c>
      <c r="F2977" t="s">
        <v>34</v>
      </c>
      <c r="G2977" t="s">
        <v>57</v>
      </c>
      <c r="H2977" t="s">
        <v>723</v>
      </c>
      <c r="I2977">
        <v>0.15</v>
      </c>
      <c r="J2977">
        <f t="shared" si="138"/>
        <v>57</v>
      </c>
      <c r="K2977">
        <v>2</v>
      </c>
      <c r="L2977">
        <f t="shared" si="139"/>
        <v>55</v>
      </c>
      <c r="M2977" s="4">
        <f t="shared" si="140"/>
        <v>0.12087912087912088</v>
      </c>
      <c r="N2977">
        <v>455</v>
      </c>
      <c r="O2977">
        <v>380</v>
      </c>
      <c r="P2977" t="s">
        <v>25</v>
      </c>
      <c r="Q2977" t="s">
        <v>26</v>
      </c>
      <c r="R2977" t="str">
        <f>IF(COUNTIF(Sheet2!B:B, A2977) &gt; 0, "Yes", "No")</f>
        <v>No</v>
      </c>
    </row>
    <row r="2978" spans="1:18" x14ac:dyDescent="0.25">
      <c r="A2978" s="3">
        <v>45579</v>
      </c>
      <c r="B2978" t="s">
        <v>372</v>
      </c>
      <c r="C2978" t="s">
        <v>19</v>
      </c>
      <c r="D2978" t="s">
        <v>20</v>
      </c>
      <c r="E2978" t="s">
        <v>21</v>
      </c>
      <c r="F2978" t="s">
        <v>37</v>
      </c>
      <c r="G2978" t="s">
        <v>59</v>
      </c>
      <c r="H2978" t="s">
        <v>60</v>
      </c>
      <c r="I2978">
        <v>0.03</v>
      </c>
      <c r="J2978">
        <f t="shared" si="138"/>
        <v>17.399999999999999</v>
      </c>
      <c r="K2978">
        <v>4</v>
      </c>
      <c r="L2978">
        <f t="shared" si="139"/>
        <v>13.399999999999999</v>
      </c>
      <c r="M2978" s="4">
        <f t="shared" si="140"/>
        <v>2.0615384615384612E-2</v>
      </c>
      <c r="N2978">
        <v>650</v>
      </c>
      <c r="O2978">
        <v>580</v>
      </c>
      <c r="P2978" t="s">
        <v>25</v>
      </c>
      <c r="Q2978" t="s">
        <v>26</v>
      </c>
      <c r="R2978" t="str">
        <f>IF(COUNTIF(Sheet2!B:B, A2978) &gt; 0, "Yes", "No")</f>
        <v>No</v>
      </c>
    </row>
    <row r="2979" spans="1:18" x14ac:dyDescent="0.25">
      <c r="A2979" s="3">
        <v>45579</v>
      </c>
      <c r="B2979" t="s">
        <v>372</v>
      </c>
      <c r="C2979" t="s">
        <v>19</v>
      </c>
      <c r="D2979" t="s">
        <v>20</v>
      </c>
      <c r="E2979" t="s">
        <v>21</v>
      </c>
      <c r="F2979" t="s">
        <v>40</v>
      </c>
      <c r="G2979" t="s">
        <v>61</v>
      </c>
      <c r="H2979" t="s">
        <v>62</v>
      </c>
      <c r="I2979">
        <v>4.4999999999999998E-2</v>
      </c>
      <c r="J2979">
        <f t="shared" si="138"/>
        <v>26.099999999999998</v>
      </c>
      <c r="K2979">
        <v>4</v>
      </c>
      <c r="L2979">
        <f t="shared" si="139"/>
        <v>22.099999999999998</v>
      </c>
      <c r="M2979" s="4">
        <f t="shared" si="140"/>
        <v>3.3999999999999996E-2</v>
      </c>
      <c r="N2979">
        <v>650</v>
      </c>
      <c r="O2979">
        <v>580</v>
      </c>
      <c r="P2979" t="s">
        <v>25</v>
      </c>
      <c r="Q2979" t="s">
        <v>26</v>
      </c>
      <c r="R2979" t="str">
        <f>IF(COUNTIF(Sheet2!B:B, A2979) &gt; 0, "Yes", "No")</f>
        <v>No</v>
      </c>
    </row>
    <row r="2980" spans="1:18" x14ac:dyDescent="0.25">
      <c r="A2980" s="3">
        <v>45579</v>
      </c>
      <c r="B2980" t="s">
        <v>372</v>
      </c>
      <c r="C2980" t="s">
        <v>19</v>
      </c>
      <c r="D2980" t="s">
        <v>20</v>
      </c>
      <c r="E2980" t="s">
        <v>21</v>
      </c>
      <c r="F2980" t="s">
        <v>43</v>
      </c>
      <c r="G2980" t="s">
        <v>159</v>
      </c>
      <c r="H2980" t="s">
        <v>160</v>
      </c>
      <c r="I2980">
        <v>0.11</v>
      </c>
      <c r="J2980">
        <f t="shared" si="138"/>
        <v>63.8</v>
      </c>
      <c r="K2980">
        <v>5</v>
      </c>
      <c r="L2980">
        <f t="shared" si="139"/>
        <v>58.8</v>
      </c>
      <c r="M2980" s="4">
        <f t="shared" si="140"/>
        <v>9.0461538461538454E-2</v>
      </c>
      <c r="N2980">
        <v>650</v>
      </c>
      <c r="O2980">
        <v>580</v>
      </c>
      <c r="P2980" t="s">
        <v>25</v>
      </c>
      <c r="Q2980" t="s">
        <v>26</v>
      </c>
      <c r="R2980" t="str">
        <f>IF(COUNTIF(Sheet2!B:B, A2980) &gt; 0, "Yes", "No")</f>
        <v>No</v>
      </c>
    </row>
    <row r="2981" spans="1:18" x14ac:dyDescent="0.25">
      <c r="A2981" s="3">
        <v>45579</v>
      </c>
      <c r="B2981" t="s">
        <v>372</v>
      </c>
      <c r="C2981" t="s">
        <v>19</v>
      </c>
      <c r="D2981" t="s">
        <v>20</v>
      </c>
      <c r="E2981" t="s">
        <v>21</v>
      </c>
      <c r="F2981" t="s">
        <v>46</v>
      </c>
      <c r="G2981" t="s">
        <v>47</v>
      </c>
      <c r="H2981" t="s">
        <v>627</v>
      </c>
      <c r="I2981">
        <v>8.5000000000000006E-2</v>
      </c>
      <c r="J2981">
        <f t="shared" si="138"/>
        <v>49.300000000000004</v>
      </c>
      <c r="K2981">
        <v>4</v>
      </c>
      <c r="L2981">
        <f t="shared" si="139"/>
        <v>45.300000000000004</v>
      </c>
      <c r="M2981" s="4">
        <f t="shared" si="140"/>
        <v>6.9692307692307692E-2</v>
      </c>
      <c r="N2981">
        <v>650</v>
      </c>
      <c r="O2981">
        <v>580</v>
      </c>
      <c r="P2981" t="s">
        <v>25</v>
      </c>
      <c r="Q2981" t="s">
        <v>26</v>
      </c>
      <c r="R2981" t="str">
        <f>IF(COUNTIF(Sheet2!B:B, A2981) &gt; 0, "Yes", "No")</f>
        <v>No</v>
      </c>
    </row>
    <row r="2982" spans="1:18" x14ac:dyDescent="0.25">
      <c r="A2982" s="3">
        <v>45579</v>
      </c>
      <c r="B2982" t="s">
        <v>372</v>
      </c>
      <c r="C2982" t="s">
        <v>19</v>
      </c>
      <c r="D2982" t="s">
        <v>20</v>
      </c>
      <c r="E2982" t="s">
        <v>21</v>
      </c>
      <c r="F2982" t="s">
        <v>49</v>
      </c>
      <c r="G2982" t="s">
        <v>50</v>
      </c>
      <c r="H2982" t="s">
        <v>49</v>
      </c>
      <c r="I2982">
        <v>0.09</v>
      </c>
      <c r="J2982">
        <f t="shared" si="138"/>
        <v>52.199999999999996</v>
      </c>
      <c r="K2982">
        <v>5</v>
      </c>
      <c r="L2982">
        <f t="shared" si="139"/>
        <v>47.199999999999996</v>
      </c>
      <c r="M2982" s="4">
        <f t="shared" si="140"/>
        <v>7.2615384615384609E-2</v>
      </c>
      <c r="N2982">
        <v>650</v>
      </c>
      <c r="O2982">
        <v>580</v>
      </c>
      <c r="P2982" t="s">
        <v>25</v>
      </c>
      <c r="Q2982" t="s">
        <v>26</v>
      </c>
      <c r="R2982" t="str">
        <f>IF(COUNTIF(Sheet2!B:B, A2982) &gt; 0, "Yes", "No")</f>
        <v>No</v>
      </c>
    </row>
    <row r="2983" spans="1:18" x14ac:dyDescent="0.25">
      <c r="A2983" s="3">
        <v>45580</v>
      </c>
      <c r="B2983" t="s">
        <v>372</v>
      </c>
      <c r="C2983" t="s">
        <v>105</v>
      </c>
      <c r="D2983" t="s">
        <v>20</v>
      </c>
      <c r="E2983" t="s">
        <v>67</v>
      </c>
      <c r="F2983" t="s">
        <v>22</v>
      </c>
      <c r="G2983" t="s">
        <v>23</v>
      </c>
      <c r="H2983" t="s">
        <v>24</v>
      </c>
      <c r="I2983">
        <v>8.5000000000000006E-2</v>
      </c>
      <c r="J2983">
        <f t="shared" si="138"/>
        <v>46.75</v>
      </c>
      <c r="K2983">
        <v>7</v>
      </c>
      <c r="L2983">
        <f t="shared" si="139"/>
        <v>39.75</v>
      </c>
      <c r="M2983" s="4">
        <f t="shared" si="140"/>
        <v>6.6250000000000003E-2</v>
      </c>
      <c r="N2983">
        <v>600</v>
      </c>
      <c r="O2983">
        <v>550</v>
      </c>
      <c r="P2983" t="s">
        <v>25</v>
      </c>
      <c r="Q2983" t="s">
        <v>26</v>
      </c>
      <c r="R2983" t="str">
        <f>IF(COUNTIF(Sheet2!B:B, A2983) &gt; 0, "Yes", "No")</f>
        <v>No</v>
      </c>
    </row>
    <row r="2984" spans="1:18" x14ac:dyDescent="0.25">
      <c r="A2984" s="3">
        <v>45580</v>
      </c>
      <c r="B2984" t="s">
        <v>372</v>
      </c>
      <c r="C2984" t="s">
        <v>105</v>
      </c>
      <c r="D2984" t="s">
        <v>20</v>
      </c>
      <c r="E2984" t="s">
        <v>67</v>
      </c>
      <c r="F2984" t="s">
        <v>27</v>
      </c>
      <c r="G2984" t="s">
        <v>304</v>
      </c>
      <c r="H2984" t="s">
        <v>419</v>
      </c>
      <c r="I2984">
        <v>0.12</v>
      </c>
      <c r="J2984">
        <f t="shared" si="138"/>
        <v>66</v>
      </c>
      <c r="K2984">
        <v>8</v>
      </c>
      <c r="L2984">
        <f t="shared" si="139"/>
        <v>58</v>
      </c>
      <c r="M2984" s="4">
        <f t="shared" si="140"/>
        <v>9.6666666666666665E-2</v>
      </c>
      <c r="N2984">
        <v>600</v>
      </c>
      <c r="O2984">
        <v>550</v>
      </c>
      <c r="P2984" t="s">
        <v>25</v>
      </c>
      <c r="Q2984" t="s">
        <v>26</v>
      </c>
      <c r="R2984" t="str">
        <f>IF(COUNTIF(Sheet2!B:B, A2984) &gt; 0, "Yes", "No")</f>
        <v>No</v>
      </c>
    </row>
    <row r="2985" spans="1:18" x14ac:dyDescent="0.25">
      <c r="A2985" s="3">
        <v>45580</v>
      </c>
      <c r="B2985" t="s">
        <v>372</v>
      </c>
      <c r="C2985" t="s">
        <v>105</v>
      </c>
      <c r="D2985" t="s">
        <v>20</v>
      </c>
      <c r="E2985" t="s">
        <v>67</v>
      </c>
      <c r="F2985" t="s">
        <v>30</v>
      </c>
      <c r="G2985" t="s">
        <v>31</v>
      </c>
      <c r="H2985" t="s">
        <v>389</v>
      </c>
      <c r="I2985">
        <v>0.09</v>
      </c>
      <c r="J2985">
        <f t="shared" si="138"/>
        <v>49.5</v>
      </c>
      <c r="K2985">
        <v>3</v>
      </c>
      <c r="L2985">
        <f t="shared" si="139"/>
        <v>46.5</v>
      </c>
      <c r="M2985" s="4">
        <f t="shared" si="140"/>
        <v>7.7499999999999999E-2</v>
      </c>
      <c r="N2985">
        <v>600</v>
      </c>
      <c r="O2985">
        <v>550</v>
      </c>
      <c r="P2985" t="s">
        <v>25</v>
      </c>
      <c r="Q2985" t="s">
        <v>26</v>
      </c>
      <c r="R2985" t="str">
        <f>IF(COUNTIF(Sheet2!B:B, A2985) &gt; 0, "Yes", "No")</f>
        <v>No</v>
      </c>
    </row>
    <row r="2986" spans="1:18" x14ac:dyDescent="0.25">
      <c r="A2986" s="3">
        <v>45580</v>
      </c>
      <c r="B2986" t="s">
        <v>372</v>
      </c>
      <c r="C2986" t="s">
        <v>105</v>
      </c>
      <c r="D2986" t="s">
        <v>20</v>
      </c>
      <c r="E2986" t="s">
        <v>67</v>
      </c>
      <c r="F2986" t="s">
        <v>37</v>
      </c>
      <c r="G2986" t="s">
        <v>262</v>
      </c>
      <c r="H2986" t="s">
        <v>263</v>
      </c>
      <c r="I2986">
        <v>3.5000000000000003E-2</v>
      </c>
      <c r="J2986">
        <f t="shared" si="138"/>
        <v>19.250000000000004</v>
      </c>
      <c r="K2986">
        <v>3</v>
      </c>
      <c r="L2986">
        <f t="shared" si="139"/>
        <v>16.250000000000004</v>
      </c>
      <c r="M2986" s="4">
        <f t="shared" si="140"/>
        <v>2.7083333333333338E-2</v>
      </c>
      <c r="N2986">
        <v>600</v>
      </c>
      <c r="O2986">
        <v>550</v>
      </c>
      <c r="P2986" t="s">
        <v>25</v>
      </c>
      <c r="Q2986" t="s">
        <v>26</v>
      </c>
      <c r="R2986" t="str">
        <f>IF(COUNTIF(Sheet2!B:B, A2986) &gt; 0, "Yes", "No")</f>
        <v>No</v>
      </c>
    </row>
    <row r="2987" spans="1:18" x14ac:dyDescent="0.25">
      <c r="A2987" s="3">
        <v>45580</v>
      </c>
      <c r="B2987" t="s">
        <v>372</v>
      </c>
      <c r="C2987" t="s">
        <v>105</v>
      </c>
      <c r="D2987" t="s">
        <v>20</v>
      </c>
      <c r="E2987" t="s">
        <v>67</v>
      </c>
      <c r="F2987" t="s">
        <v>40</v>
      </c>
      <c r="G2987" t="s">
        <v>61</v>
      </c>
      <c r="H2987" t="s">
        <v>119</v>
      </c>
      <c r="I2987">
        <v>0.05</v>
      </c>
      <c r="J2987">
        <f t="shared" si="138"/>
        <v>27.5</v>
      </c>
      <c r="K2987">
        <v>4</v>
      </c>
      <c r="L2987">
        <f t="shared" si="139"/>
        <v>23.5</v>
      </c>
      <c r="M2987" s="4">
        <f t="shared" si="140"/>
        <v>3.9166666666666669E-2</v>
      </c>
      <c r="N2987">
        <v>600</v>
      </c>
      <c r="O2987">
        <v>550</v>
      </c>
      <c r="P2987" t="s">
        <v>25</v>
      </c>
      <c r="Q2987" t="s">
        <v>26</v>
      </c>
      <c r="R2987" t="str">
        <f>IF(COUNTIF(Sheet2!B:B, A2987) &gt; 0, "Yes", "No")</f>
        <v>No</v>
      </c>
    </row>
    <row r="2988" spans="1:18" x14ac:dyDescent="0.25">
      <c r="A2988" s="3">
        <v>45580</v>
      </c>
      <c r="B2988" t="s">
        <v>372</v>
      </c>
      <c r="C2988" t="s">
        <v>105</v>
      </c>
      <c r="D2988" t="s">
        <v>20</v>
      </c>
      <c r="E2988" t="s">
        <v>67</v>
      </c>
      <c r="F2988" t="s">
        <v>43</v>
      </c>
      <c r="G2988" t="s">
        <v>301</v>
      </c>
      <c r="H2988" t="s">
        <v>490</v>
      </c>
      <c r="I2988">
        <v>0.11</v>
      </c>
      <c r="J2988">
        <f t="shared" si="138"/>
        <v>60.5</v>
      </c>
      <c r="K2988">
        <v>9</v>
      </c>
      <c r="L2988">
        <f t="shared" si="139"/>
        <v>51.5</v>
      </c>
      <c r="M2988" s="4">
        <f t="shared" si="140"/>
        <v>8.5833333333333331E-2</v>
      </c>
      <c r="N2988">
        <v>600</v>
      </c>
      <c r="O2988">
        <v>550</v>
      </c>
      <c r="P2988" t="s">
        <v>25</v>
      </c>
      <c r="Q2988" t="s">
        <v>26</v>
      </c>
      <c r="R2988" t="str">
        <f>IF(COUNTIF(Sheet2!B:B, A2988) &gt; 0, "Yes", "No")</f>
        <v>No</v>
      </c>
    </row>
    <row r="2989" spans="1:18" x14ac:dyDescent="0.25">
      <c r="A2989" s="3">
        <v>45580</v>
      </c>
      <c r="B2989" t="s">
        <v>372</v>
      </c>
      <c r="C2989" t="s">
        <v>105</v>
      </c>
      <c r="D2989" t="s">
        <v>20</v>
      </c>
      <c r="E2989" t="s">
        <v>67</v>
      </c>
      <c r="F2989" t="s">
        <v>46</v>
      </c>
      <c r="G2989" t="s">
        <v>103</v>
      </c>
      <c r="H2989" t="s">
        <v>180</v>
      </c>
      <c r="I2989">
        <v>0.09</v>
      </c>
      <c r="J2989">
        <f t="shared" si="138"/>
        <v>49.5</v>
      </c>
      <c r="K2989">
        <v>2</v>
      </c>
      <c r="L2989">
        <f t="shared" si="139"/>
        <v>47.5</v>
      </c>
      <c r="M2989" s="4">
        <f t="shared" si="140"/>
        <v>7.9166666666666663E-2</v>
      </c>
      <c r="N2989">
        <v>600</v>
      </c>
      <c r="O2989">
        <v>550</v>
      </c>
      <c r="P2989" t="s">
        <v>25</v>
      </c>
      <c r="Q2989" t="s">
        <v>26</v>
      </c>
      <c r="R2989" t="str">
        <f>IF(COUNTIF(Sheet2!B:B, A2989) &gt; 0, "Yes", "No")</f>
        <v>No</v>
      </c>
    </row>
    <row r="2990" spans="1:18" x14ac:dyDescent="0.25">
      <c r="A2990" s="3">
        <v>45580</v>
      </c>
      <c r="B2990" t="s">
        <v>372</v>
      </c>
      <c r="C2990" t="s">
        <v>105</v>
      </c>
      <c r="D2990" t="s">
        <v>20</v>
      </c>
      <c r="E2990" t="s">
        <v>67</v>
      </c>
      <c r="F2990" t="s">
        <v>49</v>
      </c>
      <c r="G2990" t="s">
        <v>50</v>
      </c>
      <c r="H2990" t="s">
        <v>49</v>
      </c>
      <c r="I2990">
        <v>0.09</v>
      </c>
      <c r="J2990">
        <f t="shared" si="138"/>
        <v>49.5</v>
      </c>
      <c r="K2990">
        <v>10</v>
      </c>
      <c r="L2990">
        <f t="shared" si="139"/>
        <v>39.5</v>
      </c>
      <c r="M2990" s="4">
        <f t="shared" si="140"/>
        <v>6.5833333333333327E-2</v>
      </c>
      <c r="N2990">
        <v>600</v>
      </c>
      <c r="O2990">
        <v>550</v>
      </c>
      <c r="P2990" t="s">
        <v>25</v>
      </c>
      <c r="Q2990" t="s">
        <v>26</v>
      </c>
      <c r="R2990" t="str">
        <f>IF(COUNTIF(Sheet2!B:B, A2990) &gt; 0, "Yes", "No")</f>
        <v>No</v>
      </c>
    </row>
    <row r="2991" spans="1:18" x14ac:dyDescent="0.25">
      <c r="A2991" s="3">
        <v>45582</v>
      </c>
      <c r="B2991" t="s">
        <v>372</v>
      </c>
      <c r="C2991" t="s">
        <v>66</v>
      </c>
      <c r="D2991" t="s">
        <v>20</v>
      </c>
      <c r="E2991" t="s">
        <v>67</v>
      </c>
      <c r="F2991" t="s">
        <v>22</v>
      </c>
      <c r="G2991" t="s">
        <v>52</v>
      </c>
      <c r="H2991" t="s">
        <v>485</v>
      </c>
      <c r="I2991">
        <v>8.5000000000000006E-2</v>
      </c>
      <c r="J2991">
        <f t="shared" si="138"/>
        <v>38.25</v>
      </c>
      <c r="K2991">
        <v>0</v>
      </c>
      <c r="L2991">
        <f t="shared" si="139"/>
        <v>38.25</v>
      </c>
      <c r="M2991" s="4">
        <f t="shared" si="140"/>
        <v>7.6499999999999999E-2</v>
      </c>
      <c r="N2991">
        <v>500</v>
      </c>
      <c r="O2991">
        <v>450</v>
      </c>
      <c r="P2991" t="s">
        <v>25</v>
      </c>
      <c r="Q2991" t="s">
        <v>26</v>
      </c>
      <c r="R2991" t="str">
        <f>IF(COUNTIF(Sheet2!B:B, A2991) &gt; 0, "Yes", "No")</f>
        <v>No</v>
      </c>
    </row>
    <row r="2992" spans="1:18" x14ac:dyDescent="0.25">
      <c r="A2992" s="3">
        <v>45582</v>
      </c>
      <c r="B2992" t="s">
        <v>372</v>
      </c>
      <c r="C2992" t="s">
        <v>66</v>
      </c>
      <c r="D2992" t="s">
        <v>20</v>
      </c>
      <c r="E2992" t="s">
        <v>67</v>
      </c>
      <c r="F2992" t="s">
        <v>27</v>
      </c>
      <c r="G2992" t="s">
        <v>190</v>
      </c>
      <c r="H2992" t="s">
        <v>384</v>
      </c>
      <c r="I2992">
        <v>0.11</v>
      </c>
      <c r="J2992">
        <f t="shared" si="138"/>
        <v>49.5</v>
      </c>
      <c r="K2992">
        <v>2</v>
      </c>
      <c r="L2992">
        <f t="shared" si="139"/>
        <v>47.5</v>
      </c>
      <c r="M2992" s="4">
        <f t="shared" si="140"/>
        <v>9.5000000000000001E-2</v>
      </c>
      <c r="N2992">
        <v>500</v>
      </c>
      <c r="O2992">
        <v>450</v>
      </c>
      <c r="P2992" t="s">
        <v>25</v>
      </c>
      <c r="Q2992" t="s">
        <v>26</v>
      </c>
      <c r="R2992" t="str">
        <f>IF(COUNTIF(Sheet2!B:B, A2992) &gt; 0, "Yes", "No")</f>
        <v>No</v>
      </c>
    </row>
    <row r="2993" spans="1:18" x14ac:dyDescent="0.25">
      <c r="A2993" s="3">
        <v>45582</v>
      </c>
      <c r="B2993" t="s">
        <v>372</v>
      </c>
      <c r="C2993" t="s">
        <v>66</v>
      </c>
      <c r="D2993" t="s">
        <v>20</v>
      </c>
      <c r="E2993" t="s">
        <v>67</v>
      </c>
      <c r="F2993" t="s">
        <v>30</v>
      </c>
      <c r="G2993" t="s">
        <v>31</v>
      </c>
      <c r="H2993" t="s">
        <v>31</v>
      </c>
      <c r="I2993">
        <v>0.09</v>
      </c>
      <c r="J2993">
        <f t="shared" si="138"/>
        <v>40.5</v>
      </c>
      <c r="K2993">
        <v>0</v>
      </c>
      <c r="L2993">
        <f t="shared" si="139"/>
        <v>40.5</v>
      </c>
      <c r="M2993" s="4">
        <f t="shared" si="140"/>
        <v>8.1000000000000003E-2</v>
      </c>
      <c r="N2993">
        <v>500</v>
      </c>
      <c r="O2993">
        <v>450</v>
      </c>
      <c r="P2993" t="s">
        <v>25</v>
      </c>
      <c r="Q2993" t="s">
        <v>26</v>
      </c>
      <c r="R2993" t="str">
        <f>IF(COUNTIF(Sheet2!B:B, A2993) &gt; 0, "Yes", "No")</f>
        <v>No</v>
      </c>
    </row>
    <row r="2994" spans="1:18" x14ac:dyDescent="0.25">
      <c r="A2994" s="3">
        <v>45582</v>
      </c>
      <c r="B2994" t="s">
        <v>372</v>
      </c>
      <c r="C2994" t="s">
        <v>66</v>
      </c>
      <c r="D2994" t="s">
        <v>20</v>
      </c>
      <c r="E2994" t="s">
        <v>67</v>
      </c>
      <c r="F2994" t="s">
        <v>37</v>
      </c>
      <c r="G2994" t="s">
        <v>87</v>
      </c>
      <c r="H2994" t="s">
        <v>136</v>
      </c>
      <c r="I2994">
        <v>3.5000000000000003E-2</v>
      </c>
      <c r="J2994">
        <f t="shared" si="138"/>
        <v>15.750000000000002</v>
      </c>
      <c r="K2994">
        <v>1</v>
      </c>
      <c r="L2994">
        <f t="shared" si="139"/>
        <v>14.750000000000002</v>
      </c>
      <c r="M2994" s="4">
        <f t="shared" si="140"/>
        <v>2.9500000000000002E-2</v>
      </c>
      <c r="N2994">
        <v>500</v>
      </c>
      <c r="O2994">
        <v>450</v>
      </c>
      <c r="P2994" t="s">
        <v>25</v>
      </c>
      <c r="Q2994" t="s">
        <v>26</v>
      </c>
      <c r="R2994" t="str">
        <f>IF(COUNTIF(Sheet2!B:B, A2994) &gt; 0, "Yes", "No")</f>
        <v>No</v>
      </c>
    </row>
    <row r="2995" spans="1:18" x14ac:dyDescent="0.25">
      <c r="A2995" s="3">
        <v>45582</v>
      </c>
      <c r="B2995" t="s">
        <v>372</v>
      </c>
      <c r="C2995" t="s">
        <v>66</v>
      </c>
      <c r="D2995" t="s">
        <v>20</v>
      </c>
      <c r="E2995" t="s">
        <v>67</v>
      </c>
      <c r="F2995" t="s">
        <v>40</v>
      </c>
      <c r="G2995" t="s">
        <v>137</v>
      </c>
      <c r="H2995" t="s">
        <v>138</v>
      </c>
      <c r="I2995">
        <v>0.05</v>
      </c>
      <c r="J2995">
        <f t="shared" si="138"/>
        <v>22.5</v>
      </c>
      <c r="K2995">
        <v>2</v>
      </c>
      <c r="L2995">
        <f t="shared" si="139"/>
        <v>20.5</v>
      </c>
      <c r="M2995" s="4">
        <f t="shared" si="140"/>
        <v>4.1000000000000002E-2</v>
      </c>
      <c r="N2995">
        <v>500</v>
      </c>
      <c r="O2995">
        <v>450</v>
      </c>
      <c r="P2995" t="s">
        <v>25</v>
      </c>
      <c r="Q2995" t="s">
        <v>26</v>
      </c>
      <c r="R2995" t="str">
        <f>IF(COUNTIF(Sheet2!B:B, A2995) &gt; 0, "Yes", "No")</f>
        <v>No</v>
      </c>
    </row>
    <row r="2996" spans="1:18" x14ac:dyDescent="0.25">
      <c r="A2996" s="3">
        <v>45582</v>
      </c>
      <c r="B2996" t="s">
        <v>372</v>
      </c>
      <c r="C2996" t="s">
        <v>66</v>
      </c>
      <c r="D2996" t="s">
        <v>20</v>
      </c>
      <c r="E2996" t="s">
        <v>67</v>
      </c>
      <c r="F2996" t="s">
        <v>43</v>
      </c>
      <c r="G2996" t="s">
        <v>252</v>
      </c>
      <c r="H2996" t="s">
        <v>724</v>
      </c>
      <c r="I2996">
        <v>0.11</v>
      </c>
      <c r="J2996">
        <f t="shared" si="138"/>
        <v>49.5</v>
      </c>
      <c r="K2996">
        <v>2</v>
      </c>
      <c r="L2996">
        <f t="shared" si="139"/>
        <v>47.5</v>
      </c>
      <c r="M2996" s="4">
        <f t="shared" si="140"/>
        <v>9.5000000000000001E-2</v>
      </c>
      <c r="N2996">
        <v>500</v>
      </c>
      <c r="O2996">
        <v>450</v>
      </c>
      <c r="P2996" t="s">
        <v>25</v>
      </c>
      <c r="Q2996" t="s">
        <v>26</v>
      </c>
      <c r="R2996" t="str">
        <f>IF(COUNTIF(Sheet2!B:B, A2996) &gt; 0, "Yes", "No")</f>
        <v>No</v>
      </c>
    </row>
    <row r="2997" spans="1:18" x14ac:dyDescent="0.25">
      <c r="A2997" s="3">
        <v>45582</v>
      </c>
      <c r="B2997" t="s">
        <v>372</v>
      </c>
      <c r="C2997" t="s">
        <v>66</v>
      </c>
      <c r="D2997" t="s">
        <v>20</v>
      </c>
      <c r="E2997" t="s">
        <v>67</v>
      </c>
      <c r="F2997" t="s">
        <v>46</v>
      </c>
      <c r="G2997" t="s">
        <v>130</v>
      </c>
      <c r="H2997" t="s">
        <v>725</v>
      </c>
      <c r="I2997">
        <v>8.5000000000000006E-2</v>
      </c>
      <c r="J2997">
        <f t="shared" si="138"/>
        <v>38.25</v>
      </c>
      <c r="K2997">
        <v>0</v>
      </c>
      <c r="L2997">
        <f t="shared" si="139"/>
        <v>38.25</v>
      </c>
      <c r="M2997" s="4">
        <f t="shared" si="140"/>
        <v>7.6499999999999999E-2</v>
      </c>
      <c r="N2997">
        <v>500</v>
      </c>
      <c r="O2997">
        <v>450</v>
      </c>
      <c r="P2997" t="s">
        <v>25</v>
      </c>
      <c r="Q2997" t="s">
        <v>26</v>
      </c>
      <c r="R2997" t="str">
        <f>IF(COUNTIF(Sheet2!B:B, A2997) &gt; 0, "Yes", "No")</f>
        <v>No</v>
      </c>
    </row>
    <row r="2998" spans="1:18" x14ac:dyDescent="0.25">
      <c r="A2998" s="3">
        <v>45582</v>
      </c>
      <c r="B2998" t="s">
        <v>372</v>
      </c>
      <c r="C2998" t="s">
        <v>66</v>
      </c>
      <c r="D2998" t="s">
        <v>20</v>
      </c>
      <c r="E2998" t="s">
        <v>67</v>
      </c>
      <c r="F2998" t="s">
        <v>49</v>
      </c>
      <c r="G2998" t="s">
        <v>50</v>
      </c>
      <c r="H2998" t="s">
        <v>49</v>
      </c>
      <c r="I2998">
        <v>0.09</v>
      </c>
      <c r="J2998">
        <f t="shared" si="138"/>
        <v>40.5</v>
      </c>
      <c r="K2998">
        <v>1</v>
      </c>
      <c r="L2998">
        <f t="shared" si="139"/>
        <v>39.5</v>
      </c>
      <c r="M2998" s="4">
        <f t="shared" si="140"/>
        <v>7.9000000000000001E-2</v>
      </c>
      <c r="N2998">
        <v>500</v>
      </c>
      <c r="O2998">
        <v>450</v>
      </c>
      <c r="P2998" t="s">
        <v>25</v>
      </c>
      <c r="Q2998" t="s">
        <v>26</v>
      </c>
      <c r="R2998" t="str">
        <f>IF(COUNTIF(Sheet2!B:B, A2998) &gt; 0, "Yes", "No")</f>
        <v>No</v>
      </c>
    </row>
    <row r="2999" spans="1:18" x14ac:dyDescent="0.25">
      <c r="A2999" s="3">
        <v>45583</v>
      </c>
      <c r="B2999" t="s">
        <v>372</v>
      </c>
      <c r="C2999" t="s">
        <v>79</v>
      </c>
      <c r="D2999" t="s">
        <v>20</v>
      </c>
      <c r="E2999" t="s">
        <v>21</v>
      </c>
      <c r="F2999" t="s">
        <v>22</v>
      </c>
      <c r="G2999" t="s">
        <v>52</v>
      </c>
      <c r="H2999" t="s">
        <v>148</v>
      </c>
      <c r="I2999" s="5">
        <v>0.06</v>
      </c>
      <c r="J2999">
        <f t="shared" si="138"/>
        <v>30</v>
      </c>
      <c r="K2999">
        <v>2</v>
      </c>
      <c r="L2999">
        <f t="shared" si="139"/>
        <v>28</v>
      </c>
      <c r="M2999" s="4">
        <f t="shared" si="140"/>
        <v>5.0909090909090911E-2</v>
      </c>
      <c r="N2999">
        <v>550</v>
      </c>
      <c r="O2999">
        <v>500</v>
      </c>
      <c r="P2999" t="s">
        <v>25</v>
      </c>
      <c r="Q2999" t="s">
        <v>26</v>
      </c>
      <c r="R2999" t="str">
        <f>IF(COUNTIF(Sheet2!B:B, A2999) &gt; 0, "Yes", "No")</f>
        <v>Yes</v>
      </c>
    </row>
    <row r="3000" spans="1:18" x14ac:dyDescent="0.25">
      <c r="A3000" s="3">
        <v>45583</v>
      </c>
      <c r="B3000" t="s">
        <v>372</v>
      </c>
      <c r="C3000" t="s">
        <v>79</v>
      </c>
      <c r="D3000" t="s">
        <v>20</v>
      </c>
      <c r="E3000" t="s">
        <v>21</v>
      </c>
      <c r="F3000" t="s">
        <v>27</v>
      </c>
      <c r="G3000" t="s">
        <v>81</v>
      </c>
      <c r="H3000" t="s">
        <v>618</v>
      </c>
      <c r="I3000" s="5">
        <v>0.1</v>
      </c>
      <c r="J3000">
        <f t="shared" si="138"/>
        <v>50</v>
      </c>
      <c r="K3000">
        <v>3</v>
      </c>
      <c r="L3000">
        <f t="shared" si="139"/>
        <v>47</v>
      </c>
      <c r="M3000" s="4">
        <f t="shared" si="140"/>
        <v>8.545454545454545E-2</v>
      </c>
      <c r="N3000">
        <v>550</v>
      </c>
      <c r="O3000">
        <v>500</v>
      </c>
      <c r="P3000" t="s">
        <v>25</v>
      </c>
      <c r="Q3000" t="s">
        <v>26</v>
      </c>
      <c r="R3000" t="str">
        <f>IF(COUNTIF(Sheet2!B:B, A3000) &gt; 0, "Yes", "No")</f>
        <v>Yes</v>
      </c>
    </row>
    <row r="3001" spans="1:18" x14ac:dyDescent="0.25">
      <c r="A3001" s="3">
        <v>45583</v>
      </c>
      <c r="B3001" t="s">
        <v>372</v>
      </c>
      <c r="C3001" t="s">
        <v>79</v>
      </c>
      <c r="D3001" t="s">
        <v>20</v>
      </c>
      <c r="E3001" t="s">
        <v>21</v>
      </c>
      <c r="F3001" t="s">
        <v>30</v>
      </c>
      <c r="G3001" t="s">
        <v>55</v>
      </c>
      <c r="H3001" t="s">
        <v>125</v>
      </c>
      <c r="I3001" s="5">
        <v>0.06</v>
      </c>
      <c r="J3001">
        <f t="shared" si="138"/>
        <v>30</v>
      </c>
      <c r="K3001">
        <v>2</v>
      </c>
      <c r="L3001">
        <f t="shared" si="139"/>
        <v>28</v>
      </c>
      <c r="M3001" s="4">
        <f t="shared" si="140"/>
        <v>5.0909090909090911E-2</v>
      </c>
      <c r="N3001">
        <v>550</v>
      </c>
      <c r="O3001">
        <v>500</v>
      </c>
      <c r="P3001" t="s">
        <v>25</v>
      </c>
      <c r="Q3001" t="s">
        <v>26</v>
      </c>
      <c r="R3001" t="str">
        <f>IF(COUNTIF(Sheet2!B:B, A3001) &gt; 0, "Yes", "No")</f>
        <v>Yes</v>
      </c>
    </row>
    <row r="3002" spans="1:18" x14ac:dyDescent="0.25">
      <c r="A3002" s="3">
        <v>45583</v>
      </c>
      <c r="B3002" t="s">
        <v>372</v>
      </c>
      <c r="C3002" t="s">
        <v>79</v>
      </c>
      <c r="D3002" t="s">
        <v>33</v>
      </c>
      <c r="E3002" t="s">
        <v>21</v>
      </c>
      <c r="F3002" t="s">
        <v>84</v>
      </c>
      <c r="G3002" t="s">
        <v>85</v>
      </c>
      <c r="H3002" t="s">
        <v>135</v>
      </c>
      <c r="I3002" s="5">
        <v>0.3</v>
      </c>
      <c r="J3002">
        <f t="shared" si="138"/>
        <v>105</v>
      </c>
      <c r="K3002">
        <v>0</v>
      </c>
      <c r="L3002">
        <f t="shared" si="139"/>
        <v>105</v>
      </c>
      <c r="M3002" s="4">
        <f t="shared" si="140"/>
        <v>0.27272727272727271</v>
      </c>
      <c r="N3002">
        <v>385</v>
      </c>
      <c r="O3002">
        <v>350</v>
      </c>
      <c r="P3002" t="s">
        <v>25</v>
      </c>
      <c r="Q3002" t="s">
        <v>26</v>
      </c>
      <c r="R3002" t="str">
        <f>IF(COUNTIF(Sheet2!B:B, A3002) &gt; 0, "Yes", "No")</f>
        <v>Yes</v>
      </c>
    </row>
    <row r="3003" spans="1:18" x14ac:dyDescent="0.25">
      <c r="A3003" s="3">
        <v>45583</v>
      </c>
      <c r="B3003" t="s">
        <v>372</v>
      </c>
      <c r="C3003" t="s">
        <v>79</v>
      </c>
      <c r="D3003" t="s">
        <v>20</v>
      </c>
      <c r="E3003" t="s">
        <v>21</v>
      </c>
      <c r="F3003" t="s">
        <v>37</v>
      </c>
      <c r="G3003" t="s">
        <v>38</v>
      </c>
      <c r="H3003" t="s">
        <v>39</v>
      </c>
      <c r="I3003" s="5">
        <v>2.5000000000000001E-2</v>
      </c>
      <c r="J3003">
        <f t="shared" si="138"/>
        <v>12.5</v>
      </c>
      <c r="K3003">
        <v>2</v>
      </c>
      <c r="L3003">
        <f t="shared" si="139"/>
        <v>10.5</v>
      </c>
      <c r="M3003" s="4">
        <f t="shared" si="140"/>
        <v>1.9090909090909092E-2</v>
      </c>
      <c r="N3003">
        <v>550</v>
      </c>
      <c r="O3003">
        <v>500</v>
      </c>
      <c r="P3003" t="s">
        <v>25</v>
      </c>
      <c r="Q3003" t="s">
        <v>26</v>
      </c>
      <c r="R3003" t="str">
        <f>IF(COUNTIF(Sheet2!B:B, A3003) &gt; 0, "Yes", "No")</f>
        <v>Yes</v>
      </c>
    </row>
    <row r="3004" spans="1:18" x14ac:dyDescent="0.25">
      <c r="A3004" s="3">
        <v>45583</v>
      </c>
      <c r="B3004" t="s">
        <v>372</v>
      </c>
      <c r="C3004" t="s">
        <v>79</v>
      </c>
      <c r="D3004" t="s">
        <v>20</v>
      </c>
      <c r="E3004" t="s">
        <v>21</v>
      </c>
      <c r="F3004" t="s">
        <v>40</v>
      </c>
      <c r="G3004" t="s">
        <v>61</v>
      </c>
      <c r="H3004" t="s">
        <v>62</v>
      </c>
      <c r="I3004" s="5">
        <v>0.04</v>
      </c>
      <c r="J3004">
        <f t="shared" si="138"/>
        <v>20</v>
      </c>
      <c r="K3004">
        <v>3</v>
      </c>
      <c r="L3004">
        <f t="shared" si="139"/>
        <v>17</v>
      </c>
      <c r="M3004" s="4">
        <f t="shared" si="140"/>
        <v>3.090909090909091E-2</v>
      </c>
      <c r="N3004">
        <v>550</v>
      </c>
      <c r="O3004">
        <v>500</v>
      </c>
      <c r="P3004" t="s">
        <v>25</v>
      </c>
      <c r="Q3004" t="s">
        <v>26</v>
      </c>
      <c r="R3004" t="str">
        <f>IF(COUNTIF(Sheet2!B:B, A3004) &gt; 0, "Yes", "No")</f>
        <v>Yes</v>
      </c>
    </row>
    <row r="3005" spans="1:18" x14ac:dyDescent="0.25">
      <c r="A3005" s="3">
        <v>45583</v>
      </c>
      <c r="B3005" t="s">
        <v>372</v>
      </c>
      <c r="C3005" t="s">
        <v>79</v>
      </c>
      <c r="D3005" t="s">
        <v>20</v>
      </c>
      <c r="E3005" t="s">
        <v>21</v>
      </c>
      <c r="F3005" t="s">
        <v>43</v>
      </c>
      <c r="G3005" t="s">
        <v>90</v>
      </c>
      <c r="H3005" t="s">
        <v>726</v>
      </c>
      <c r="I3005" s="5">
        <v>7.0000000000000007E-2</v>
      </c>
      <c r="J3005">
        <f t="shared" si="138"/>
        <v>35</v>
      </c>
      <c r="K3005">
        <v>3</v>
      </c>
      <c r="L3005">
        <f t="shared" si="139"/>
        <v>32</v>
      </c>
      <c r="M3005" s="4">
        <f t="shared" si="140"/>
        <v>5.8181818181818182E-2</v>
      </c>
      <c r="N3005">
        <v>550</v>
      </c>
      <c r="O3005">
        <v>500</v>
      </c>
      <c r="P3005" t="s">
        <v>25</v>
      </c>
      <c r="Q3005" t="s">
        <v>26</v>
      </c>
      <c r="R3005" t="str">
        <f>IF(COUNTIF(Sheet2!B:B, A3005) &gt; 0, "Yes", "No")</f>
        <v>Yes</v>
      </c>
    </row>
    <row r="3006" spans="1:18" x14ac:dyDescent="0.25">
      <c r="A3006" s="3">
        <v>45583</v>
      </c>
      <c r="B3006" t="s">
        <v>372</v>
      </c>
      <c r="C3006" t="s">
        <v>79</v>
      </c>
      <c r="D3006" t="s">
        <v>20</v>
      </c>
      <c r="E3006" t="s">
        <v>21</v>
      </c>
      <c r="F3006" t="s">
        <v>46</v>
      </c>
      <c r="G3006" t="s">
        <v>169</v>
      </c>
      <c r="H3006" t="s">
        <v>519</v>
      </c>
      <c r="I3006" s="5">
        <v>5.5E-2</v>
      </c>
      <c r="J3006">
        <f t="shared" si="138"/>
        <v>27.5</v>
      </c>
      <c r="K3006">
        <v>3</v>
      </c>
      <c r="L3006">
        <f t="shared" si="139"/>
        <v>24.5</v>
      </c>
      <c r="M3006" s="4">
        <f t="shared" si="140"/>
        <v>4.4545454545454548E-2</v>
      </c>
      <c r="N3006">
        <v>550</v>
      </c>
      <c r="O3006">
        <v>500</v>
      </c>
      <c r="P3006" t="s">
        <v>25</v>
      </c>
      <c r="Q3006" t="s">
        <v>26</v>
      </c>
      <c r="R3006" t="str">
        <f>IF(COUNTIF(Sheet2!B:B, A3006) &gt; 0, "Yes", "No")</f>
        <v>Yes</v>
      </c>
    </row>
    <row r="3007" spans="1:18" x14ac:dyDescent="0.25">
      <c r="A3007" s="3">
        <v>45583</v>
      </c>
      <c r="B3007" t="s">
        <v>372</v>
      </c>
      <c r="C3007" t="s">
        <v>79</v>
      </c>
      <c r="D3007" t="s">
        <v>20</v>
      </c>
      <c r="E3007" t="s">
        <v>21</v>
      </c>
      <c r="F3007" t="s">
        <v>49</v>
      </c>
      <c r="G3007" t="s">
        <v>50</v>
      </c>
      <c r="H3007" t="s">
        <v>49</v>
      </c>
      <c r="I3007" s="5">
        <v>0.04</v>
      </c>
      <c r="J3007">
        <f t="shared" si="138"/>
        <v>20</v>
      </c>
      <c r="K3007">
        <v>3</v>
      </c>
      <c r="L3007">
        <f t="shared" si="139"/>
        <v>17</v>
      </c>
      <c r="M3007" s="4">
        <f t="shared" si="140"/>
        <v>3.090909090909091E-2</v>
      </c>
      <c r="N3007">
        <v>550</v>
      </c>
      <c r="O3007">
        <v>500</v>
      </c>
      <c r="P3007" t="s">
        <v>25</v>
      </c>
      <c r="Q3007" t="s">
        <v>26</v>
      </c>
      <c r="R3007" t="str">
        <f>IF(COUNTIF(Sheet2!B:B, A3007) &gt; 0, "Yes", "No")</f>
        <v>Yes</v>
      </c>
    </row>
    <row r="3008" spans="1:18" x14ac:dyDescent="0.25">
      <c r="A3008" s="3">
        <v>45586</v>
      </c>
      <c r="B3008" t="s">
        <v>372</v>
      </c>
      <c r="C3008" t="s">
        <v>19</v>
      </c>
      <c r="D3008" t="s">
        <v>20</v>
      </c>
      <c r="E3008" t="s">
        <v>21</v>
      </c>
      <c r="F3008" t="s">
        <v>22</v>
      </c>
      <c r="G3008" t="s">
        <v>94</v>
      </c>
      <c r="H3008" t="s">
        <v>95</v>
      </c>
      <c r="I3008">
        <v>8.5000000000000006E-2</v>
      </c>
      <c r="J3008">
        <f t="shared" si="138"/>
        <v>46.75</v>
      </c>
      <c r="K3008">
        <v>6</v>
      </c>
      <c r="L3008">
        <f t="shared" si="139"/>
        <v>40.75</v>
      </c>
      <c r="M3008" s="4">
        <f t="shared" si="140"/>
        <v>6.7916666666666667E-2</v>
      </c>
      <c r="N3008">
        <v>600</v>
      </c>
      <c r="O3008">
        <v>550</v>
      </c>
      <c r="P3008" t="s">
        <v>25</v>
      </c>
      <c r="Q3008" t="s">
        <v>26</v>
      </c>
      <c r="R3008" t="str">
        <f>IF(COUNTIF(Sheet2!B:B, A3008) &gt; 0, "Yes", "No")</f>
        <v>No</v>
      </c>
    </row>
    <row r="3009" spans="1:18" x14ac:dyDescent="0.25">
      <c r="A3009" s="3">
        <v>45586</v>
      </c>
      <c r="B3009" t="s">
        <v>372</v>
      </c>
      <c r="C3009" t="s">
        <v>19</v>
      </c>
      <c r="D3009" t="s">
        <v>20</v>
      </c>
      <c r="E3009" t="s">
        <v>21</v>
      </c>
      <c r="F3009" t="s">
        <v>27</v>
      </c>
      <c r="G3009" t="s">
        <v>780</v>
      </c>
      <c r="H3009" t="s">
        <v>149</v>
      </c>
      <c r="I3009">
        <v>0.11</v>
      </c>
      <c r="J3009">
        <f t="shared" si="138"/>
        <v>60.5</v>
      </c>
      <c r="K3009">
        <v>5</v>
      </c>
      <c r="L3009">
        <f t="shared" si="139"/>
        <v>55.5</v>
      </c>
      <c r="M3009" s="4">
        <f t="shared" si="140"/>
        <v>9.2499999999999999E-2</v>
      </c>
      <c r="N3009">
        <v>600</v>
      </c>
      <c r="O3009">
        <v>550</v>
      </c>
      <c r="P3009" t="s">
        <v>25</v>
      </c>
      <c r="Q3009" t="s">
        <v>26</v>
      </c>
      <c r="R3009" t="str">
        <f>IF(COUNTIF(Sheet2!B:B, A3009) &gt; 0, "Yes", "No")</f>
        <v>No</v>
      </c>
    </row>
    <row r="3010" spans="1:18" x14ac:dyDescent="0.25">
      <c r="A3010" s="3">
        <v>45586</v>
      </c>
      <c r="B3010" t="s">
        <v>372</v>
      </c>
      <c r="C3010" t="s">
        <v>19</v>
      </c>
      <c r="D3010" t="s">
        <v>20</v>
      </c>
      <c r="E3010" t="s">
        <v>21</v>
      </c>
      <c r="F3010" t="s">
        <v>30</v>
      </c>
      <c r="G3010" t="s">
        <v>55</v>
      </c>
      <c r="H3010" t="s">
        <v>125</v>
      </c>
      <c r="I3010">
        <v>0.09</v>
      </c>
      <c r="J3010">
        <f t="shared" si="138"/>
        <v>49.5</v>
      </c>
      <c r="K3010">
        <v>5</v>
      </c>
      <c r="L3010">
        <f t="shared" si="139"/>
        <v>44.5</v>
      </c>
      <c r="M3010" s="4">
        <f t="shared" si="140"/>
        <v>7.4166666666666672E-2</v>
      </c>
      <c r="N3010">
        <v>600</v>
      </c>
      <c r="O3010">
        <v>550</v>
      </c>
      <c r="P3010" t="s">
        <v>25</v>
      </c>
      <c r="Q3010" t="s">
        <v>26</v>
      </c>
      <c r="R3010" t="str">
        <f>IF(COUNTIF(Sheet2!B:B, A3010) &gt; 0, "Yes", "No")</f>
        <v>No</v>
      </c>
    </row>
    <row r="3011" spans="1:18" x14ac:dyDescent="0.25">
      <c r="A3011" s="3">
        <v>45586</v>
      </c>
      <c r="B3011" t="s">
        <v>372</v>
      </c>
      <c r="C3011" t="s">
        <v>19</v>
      </c>
      <c r="D3011" t="s">
        <v>33</v>
      </c>
      <c r="E3011" t="s">
        <v>21</v>
      </c>
      <c r="F3011" t="s">
        <v>34</v>
      </c>
      <c r="G3011" t="s">
        <v>57</v>
      </c>
      <c r="H3011" t="s">
        <v>607</v>
      </c>
      <c r="I3011">
        <v>0.15</v>
      </c>
      <c r="J3011">
        <f t="shared" ref="J3011:J3074" si="141">I3011*O3011</f>
        <v>51</v>
      </c>
      <c r="K3011">
        <v>3</v>
      </c>
      <c r="L3011">
        <f t="shared" ref="L3011:L3074" si="142">J3011-K3011</f>
        <v>48</v>
      </c>
      <c r="M3011" s="4">
        <f t="shared" ref="M3011:M3074" si="143">((I3011*O3011)-K3011)/N3011</f>
        <v>0.11428571428571428</v>
      </c>
      <c r="N3011">
        <v>420</v>
      </c>
      <c r="O3011">
        <v>340</v>
      </c>
      <c r="P3011" t="s">
        <v>25</v>
      </c>
      <c r="Q3011" t="s">
        <v>26</v>
      </c>
      <c r="R3011" t="str">
        <f>IF(COUNTIF(Sheet2!B:B, A3011) &gt; 0, "Yes", "No")</f>
        <v>No</v>
      </c>
    </row>
    <row r="3012" spans="1:18" x14ac:dyDescent="0.25">
      <c r="A3012" s="3">
        <v>45586</v>
      </c>
      <c r="B3012" t="s">
        <v>372</v>
      </c>
      <c r="C3012" t="s">
        <v>19</v>
      </c>
      <c r="D3012" t="s">
        <v>20</v>
      </c>
      <c r="E3012" t="s">
        <v>21</v>
      </c>
      <c r="F3012" t="s">
        <v>37</v>
      </c>
      <c r="G3012" t="s">
        <v>117</v>
      </c>
      <c r="H3012" t="s">
        <v>118</v>
      </c>
      <c r="I3012">
        <v>0.03</v>
      </c>
      <c r="J3012">
        <f t="shared" si="141"/>
        <v>16.5</v>
      </c>
      <c r="K3012">
        <v>5</v>
      </c>
      <c r="L3012">
        <f t="shared" si="142"/>
        <v>11.5</v>
      </c>
      <c r="M3012" s="4">
        <f t="shared" si="143"/>
        <v>1.9166666666666665E-2</v>
      </c>
      <c r="N3012">
        <v>600</v>
      </c>
      <c r="O3012">
        <v>550</v>
      </c>
      <c r="P3012" t="s">
        <v>25</v>
      </c>
      <c r="Q3012" t="s">
        <v>26</v>
      </c>
      <c r="R3012" t="str">
        <f>IF(COUNTIF(Sheet2!B:B, A3012) &gt; 0, "Yes", "No")</f>
        <v>No</v>
      </c>
    </row>
    <row r="3013" spans="1:18" x14ac:dyDescent="0.25">
      <c r="A3013" s="3">
        <v>45586</v>
      </c>
      <c r="B3013" t="s">
        <v>372</v>
      </c>
      <c r="C3013" t="s">
        <v>19</v>
      </c>
      <c r="D3013" t="s">
        <v>20</v>
      </c>
      <c r="E3013" t="s">
        <v>21</v>
      </c>
      <c r="F3013" t="s">
        <v>40</v>
      </c>
      <c r="G3013" t="s">
        <v>127</v>
      </c>
      <c r="H3013" t="s">
        <v>358</v>
      </c>
      <c r="I3013">
        <v>4.4999999999999998E-2</v>
      </c>
      <c r="J3013">
        <f t="shared" si="141"/>
        <v>24.75</v>
      </c>
      <c r="K3013">
        <v>5</v>
      </c>
      <c r="L3013">
        <f t="shared" si="142"/>
        <v>19.75</v>
      </c>
      <c r="M3013" s="4">
        <f t="shared" si="143"/>
        <v>3.2916666666666664E-2</v>
      </c>
      <c r="N3013">
        <v>600</v>
      </c>
      <c r="O3013">
        <v>550</v>
      </c>
      <c r="P3013" t="s">
        <v>25</v>
      </c>
      <c r="Q3013" t="s">
        <v>26</v>
      </c>
      <c r="R3013" t="str">
        <f>IF(COUNTIF(Sheet2!B:B, A3013) &gt; 0, "Yes", "No")</f>
        <v>No</v>
      </c>
    </row>
    <row r="3014" spans="1:18" x14ac:dyDescent="0.25">
      <c r="A3014" s="3">
        <v>45586</v>
      </c>
      <c r="B3014" t="s">
        <v>372</v>
      </c>
      <c r="C3014" t="s">
        <v>19</v>
      </c>
      <c r="D3014" t="s">
        <v>20</v>
      </c>
      <c r="E3014" t="s">
        <v>21</v>
      </c>
      <c r="F3014" t="s">
        <v>43</v>
      </c>
      <c r="G3014" t="s">
        <v>44</v>
      </c>
      <c r="H3014" t="s">
        <v>293</v>
      </c>
      <c r="I3014">
        <v>0.11</v>
      </c>
      <c r="J3014">
        <f t="shared" si="141"/>
        <v>60.5</v>
      </c>
      <c r="K3014">
        <v>7</v>
      </c>
      <c r="L3014">
        <f t="shared" si="142"/>
        <v>53.5</v>
      </c>
      <c r="M3014" s="4">
        <f t="shared" si="143"/>
        <v>8.9166666666666672E-2</v>
      </c>
      <c r="N3014">
        <v>600</v>
      </c>
      <c r="O3014">
        <v>550</v>
      </c>
      <c r="P3014" t="s">
        <v>25</v>
      </c>
      <c r="Q3014" t="s">
        <v>26</v>
      </c>
      <c r="R3014" t="str">
        <f>IF(COUNTIF(Sheet2!B:B, A3014) &gt; 0, "Yes", "No")</f>
        <v>No</v>
      </c>
    </row>
    <row r="3015" spans="1:18" x14ac:dyDescent="0.25">
      <c r="A3015" s="3">
        <v>45586</v>
      </c>
      <c r="B3015" t="s">
        <v>372</v>
      </c>
      <c r="C3015" t="s">
        <v>19</v>
      </c>
      <c r="D3015" t="s">
        <v>20</v>
      </c>
      <c r="E3015" t="s">
        <v>21</v>
      </c>
      <c r="F3015" t="s">
        <v>46</v>
      </c>
      <c r="G3015" t="s">
        <v>47</v>
      </c>
      <c r="H3015" t="s">
        <v>727</v>
      </c>
      <c r="I3015">
        <v>8.5000000000000006E-2</v>
      </c>
      <c r="J3015">
        <f t="shared" si="141"/>
        <v>46.75</v>
      </c>
      <c r="K3015">
        <v>6</v>
      </c>
      <c r="L3015">
        <f t="shared" si="142"/>
        <v>40.75</v>
      </c>
      <c r="M3015" s="4">
        <f t="shared" si="143"/>
        <v>6.7916666666666667E-2</v>
      </c>
      <c r="N3015">
        <v>600</v>
      </c>
      <c r="O3015">
        <v>550</v>
      </c>
      <c r="P3015" t="s">
        <v>25</v>
      </c>
      <c r="Q3015" t="s">
        <v>26</v>
      </c>
      <c r="R3015" t="str">
        <f>IF(COUNTIF(Sheet2!B:B, A3015) &gt; 0, "Yes", "No")</f>
        <v>No</v>
      </c>
    </row>
    <row r="3016" spans="1:18" x14ac:dyDescent="0.25">
      <c r="A3016" s="3">
        <v>45586</v>
      </c>
      <c r="B3016" t="s">
        <v>372</v>
      </c>
      <c r="C3016" t="s">
        <v>19</v>
      </c>
      <c r="D3016" t="s">
        <v>20</v>
      </c>
      <c r="E3016" t="s">
        <v>21</v>
      </c>
      <c r="F3016" t="s">
        <v>49</v>
      </c>
      <c r="G3016" t="s">
        <v>50</v>
      </c>
      <c r="H3016" t="s">
        <v>49</v>
      </c>
      <c r="I3016">
        <v>0.09</v>
      </c>
      <c r="J3016">
        <f t="shared" si="141"/>
        <v>49.5</v>
      </c>
      <c r="K3016">
        <v>7</v>
      </c>
      <c r="L3016">
        <f t="shared" si="142"/>
        <v>42.5</v>
      </c>
      <c r="M3016" s="4">
        <f t="shared" si="143"/>
        <v>7.0833333333333331E-2</v>
      </c>
      <c r="N3016">
        <v>600</v>
      </c>
      <c r="O3016">
        <v>550</v>
      </c>
      <c r="P3016" t="s">
        <v>25</v>
      </c>
      <c r="Q3016" t="s">
        <v>26</v>
      </c>
      <c r="R3016" t="str">
        <f>IF(COUNTIF(Sheet2!B:B, A3016) &gt; 0, "Yes", "No")</f>
        <v>No</v>
      </c>
    </row>
    <row r="3017" spans="1:18" x14ac:dyDescent="0.25">
      <c r="A3017" s="3">
        <v>45587</v>
      </c>
      <c r="B3017" t="s">
        <v>372</v>
      </c>
      <c r="C3017" t="s">
        <v>105</v>
      </c>
      <c r="D3017" t="s">
        <v>20</v>
      </c>
      <c r="E3017" t="s">
        <v>67</v>
      </c>
      <c r="F3017" t="s">
        <v>22</v>
      </c>
      <c r="G3017" t="s">
        <v>52</v>
      </c>
      <c r="H3017" t="s">
        <v>728</v>
      </c>
      <c r="I3017">
        <v>8.5000000000000006E-2</v>
      </c>
      <c r="J3017">
        <f t="shared" si="141"/>
        <v>46.75</v>
      </c>
      <c r="K3017">
        <v>4</v>
      </c>
      <c r="L3017">
        <f t="shared" si="142"/>
        <v>42.75</v>
      </c>
      <c r="M3017" s="4">
        <f t="shared" si="143"/>
        <v>7.1249999999999994E-2</v>
      </c>
      <c r="N3017">
        <v>600</v>
      </c>
      <c r="O3017">
        <v>550</v>
      </c>
      <c r="P3017" t="s">
        <v>25</v>
      </c>
      <c r="Q3017" t="s">
        <v>26</v>
      </c>
      <c r="R3017" t="str">
        <f>IF(COUNTIF(Sheet2!B:B, A3017) &gt; 0, "Yes", "No")</f>
        <v>No</v>
      </c>
    </row>
    <row r="3018" spans="1:18" x14ac:dyDescent="0.25">
      <c r="A3018" s="3">
        <v>45587</v>
      </c>
      <c r="B3018" t="s">
        <v>372</v>
      </c>
      <c r="C3018" t="s">
        <v>105</v>
      </c>
      <c r="D3018" t="s">
        <v>20</v>
      </c>
      <c r="E3018" t="s">
        <v>67</v>
      </c>
      <c r="F3018" t="s">
        <v>27</v>
      </c>
      <c r="G3018" t="s">
        <v>304</v>
      </c>
      <c r="H3018" t="s">
        <v>595</v>
      </c>
      <c r="I3018">
        <v>0.12</v>
      </c>
      <c r="J3018">
        <f t="shared" si="141"/>
        <v>66</v>
      </c>
      <c r="K3018">
        <v>4</v>
      </c>
      <c r="L3018">
        <f t="shared" si="142"/>
        <v>62</v>
      </c>
      <c r="M3018" s="4">
        <f t="shared" si="143"/>
        <v>0.10333333333333333</v>
      </c>
      <c r="N3018">
        <v>600</v>
      </c>
      <c r="O3018">
        <v>550</v>
      </c>
      <c r="P3018" t="s">
        <v>25</v>
      </c>
      <c r="Q3018" t="s">
        <v>26</v>
      </c>
      <c r="R3018" t="str">
        <f>IF(COUNTIF(Sheet2!B:B, A3018) &gt; 0, "Yes", "No")</f>
        <v>No</v>
      </c>
    </row>
    <row r="3019" spans="1:18" x14ac:dyDescent="0.25">
      <c r="A3019" s="3">
        <v>45587</v>
      </c>
      <c r="B3019" t="s">
        <v>372</v>
      </c>
      <c r="C3019" t="s">
        <v>105</v>
      </c>
      <c r="D3019" t="s">
        <v>20</v>
      </c>
      <c r="E3019" t="s">
        <v>67</v>
      </c>
      <c r="F3019" t="s">
        <v>30</v>
      </c>
      <c r="G3019" t="s">
        <v>31</v>
      </c>
      <c r="H3019" t="s">
        <v>31</v>
      </c>
      <c r="I3019">
        <v>0.09</v>
      </c>
      <c r="J3019">
        <f t="shared" si="141"/>
        <v>49.5</v>
      </c>
      <c r="K3019">
        <v>1</v>
      </c>
      <c r="L3019">
        <f t="shared" si="142"/>
        <v>48.5</v>
      </c>
      <c r="M3019" s="4">
        <f t="shared" si="143"/>
        <v>8.0833333333333326E-2</v>
      </c>
      <c r="N3019">
        <v>600</v>
      </c>
      <c r="O3019">
        <v>550</v>
      </c>
      <c r="P3019" t="s">
        <v>25</v>
      </c>
      <c r="Q3019" t="s">
        <v>26</v>
      </c>
      <c r="R3019" t="str">
        <f>IF(COUNTIF(Sheet2!B:B, A3019) &gt; 0, "Yes", "No")</f>
        <v>No</v>
      </c>
    </row>
    <row r="3020" spans="1:18" x14ac:dyDescent="0.25">
      <c r="A3020" s="3">
        <v>45587</v>
      </c>
      <c r="B3020" t="s">
        <v>372</v>
      </c>
      <c r="C3020" t="s">
        <v>105</v>
      </c>
      <c r="D3020" t="s">
        <v>20</v>
      </c>
      <c r="E3020" t="s">
        <v>67</v>
      </c>
      <c r="F3020" t="s">
        <v>37</v>
      </c>
      <c r="G3020" t="s">
        <v>108</v>
      </c>
      <c r="H3020" t="s">
        <v>126</v>
      </c>
      <c r="I3020">
        <v>3.5000000000000003E-2</v>
      </c>
      <c r="J3020">
        <f t="shared" si="141"/>
        <v>19.250000000000004</v>
      </c>
      <c r="K3020">
        <v>2</v>
      </c>
      <c r="L3020">
        <f t="shared" si="142"/>
        <v>17.250000000000004</v>
      </c>
      <c r="M3020" s="4">
        <f t="shared" si="143"/>
        <v>2.8750000000000005E-2</v>
      </c>
      <c r="N3020">
        <v>600</v>
      </c>
      <c r="O3020">
        <v>550</v>
      </c>
      <c r="P3020" t="s">
        <v>25</v>
      </c>
      <c r="Q3020" t="s">
        <v>26</v>
      </c>
      <c r="R3020" t="str">
        <f>IF(COUNTIF(Sheet2!B:B, A3020) &gt; 0, "Yes", "No")</f>
        <v>No</v>
      </c>
    </row>
    <row r="3021" spans="1:18" x14ac:dyDescent="0.25">
      <c r="A3021" s="3">
        <v>45587</v>
      </c>
      <c r="B3021" t="s">
        <v>372</v>
      </c>
      <c r="C3021" t="s">
        <v>105</v>
      </c>
      <c r="D3021" t="s">
        <v>20</v>
      </c>
      <c r="E3021" t="s">
        <v>67</v>
      </c>
      <c r="F3021" t="s">
        <v>40</v>
      </c>
      <c r="G3021" t="s">
        <v>137</v>
      </c>
      <c r="H3021" t="s">
        <v>138</v>
      </c>
      <c r="I3021">
        <v>0.05</v>
      </c>
      <c r="J3021">
        <f t="shared" si="141"/>
        <v>27.5</v>
      </c>
      <c r="K3021">
        <v>4</v>
      </c>
      <c r="L3021">
        <f t="shared" si="142"/>
        <v>23.5</v>
      </c>
      <c r="M3021" s="4">
        <f t="shared" si="143"/>
        <v>3.9166666666666669E-2</v>
      </c>
      <c r="N3021">
        <v>600</v>
      </c>
      <c r="O3021">
        <v>550</v>
      </c>
      <c r="P3021" t="s">
        <v>25</v>
      </c>
      <c r="Q3021" t="s">
        <v>26</v>
      </c>
      <c r="R3021" t="str">
        <f>IF(COUNTIF(Sheet2!B:B, A3021) &gt; 0, "Yes", "No")</f>
        <v>No</v>
      </c>
    </row>
    <row r="3022" spans="1:18" x14ac:dyDescent="0.25">
      <c r="A3022" s="3">
        <v>45587</v>
      </c>
      <c r="B3022" t="s">
        <v>372</v>
      </c>
      <c r="C3022" t="s">
        <v>105</v>
      </c>
      <c r="D3022" t="s">
        <v>20</v>
      </c>
      <c r="E3022" t="s">
        <v>67</v>
      </c>
      <c r="F3022" t="s">
        <v>43</v>
      </c>
      <c r="G3022" t="s">
        <v>90</v>
      </c>
      <c r="H3022" t="s">
        <v>729</v>
      </c>
      <c r="I3022">
        <v>0.11</v>
      </c>
      <c r="J3022">
        <f t="shared" si="141"/>
        <v>60.5</v>
      </c>
      <c r="K3022">
        <v>4</v>
      </c>
      <c r="L3022">
        <f t="shared" si="142"/>
        <v>56.5</v>
      </c>
      <c r="M3022" s="4">
        <f t="shared" si="143"/>
        <v>9.4166666666666662E-2</v>
      </c>
      <c r="N3022">
        <v>600</v>
      </c>
      <c r="O3022">
        <v>550</v>
      </c>
      <c r="P3022" t="s">
        <v>25</v>
      </c>
      <c r="Q3022" t="s">
        <v>26</v>
      </c>
      <c r="R3022" t="str">
        <f>IF(COUNTIF(Sheet2!B:B, A3022) &gt; 0, "Yes", "No")</f>
        <v>No</v>
      </c>
    </row>
    <row r="3023" spans="1:18" x14ac:dyDescent="0.25">
      <c r="A3023" s="3">
        <v>45587</v>
      </c>
      <c r="B3023" t="s">
        <v>372</v>
      </c>
      <c r="C3023" t="s">
        <v>105</v>
      </c>
      <c r="D3023" t="s">
        <v>20</v>
      </c>
      <c r="E3023" t="s">
        <v>67</v>
      </c>
      <c r="F3023" t="s">
        <v>46</v>
      </c>
      <c r="G3023" t="s">
        <v>103</v>
      </c>
      <c r="H3023" t="s">
        <v>610</v>
      </c>
      <c r="I3023">
        <v>0.09</v>
      </c>
      <c r="J3023">
        <f t="shared" si="141"/>
        <v>49.5</v>
      </c>
      <c r="K3023">
        <v>4</v>
      </c>
      <c r="L3023">
        <f t="shared" si="142"/>
        <v>45.5</v>
      </c>
      <c r="M3023" s="4">
        <f t="shared" si="143"/>
        <v>7.5833333333333336E-2</v>
      </c>
      <c r="N3023">
        <v>600</v>
      </c>
      <c r="O3023">
        <v>550</v>
      </c>
      <c r="P3023" t="s">
        <v>25</v>
      </c>
      <c r="Q3023" t="s">
        <v>26</v>
      </c>
      <c r="R3023" t="str">
        <f>IF(COUNTIF(Sheet2!B:B, A3023) &gt; 0, "Yes", "No")</f>
        <v>No</v>
      </c>
    </row>
    <row r="3024" spans="1:18" x14ac:dyDescent="0.25">
      <c r="A3024" s="3">
        <v>45587</v>
      </c>
      <c r="B3024" t="s">
        <v>372</v>
      </c>
      <c r="C3024" t="s">
        <v>105</v>
      </c>
      <c r="D3024" t="s">
        <v>20</v>
      </c>
      <c r="E3024" t="s">
        <v>67</v>
      </c>
      <c r="F3024" t="s">
        <v>49</v>
      </c>
      <c r="G3024" t="s">
        <v>50</v>
      </c>
      <c r="H3024" t="s">
        <v>49</v>
      </c>
      <c r="I3024">
        <v>0.09</v>
      </c>
      <c r="J3024">
        <f t="shared" si="141"/>
        <v>49.5</v>
      </c>
      <c r="K3024">
        <v>4</v>
      </c>
      <c r="L3024">
        <f t="shared" si="142"/>
        <v>45.5</v>
      </c>
      <c r="M3024" s="4">
        <f t="shared" si="143"/>
        <v>7.5833333333333336E-2</v>
      </c>
      <c r="N3024">
        <v>600</v>
      </c>
      <c r="O3024">
        <v>550</v>
      </c>
      <c r="P3024" t="s">
        <v>25</v>
      </c>
      <c r="Q3024" t="s">
        <v>26</v>
      </c>
      <c r="R3024" t="str">
        <f>IF(COUNTIF(Sheet2!B:B, A3024) &gt; 0, "Yes", "No")</f>
        <v>No</v>
      </c>
    </row>
    <row r="3025" spans="1:18" x14ac:dyDescent="0.25">
      <c r="A3025" s="3">
        <v>45588</v>
      </c>
      <c r="B3025" t="s">
        <v>372</v>
      </c>
      <c r="C3025" t="s">
        <v>51</v>
      </c>
      <c r="D3025" t="s">
        <v>20</v>
      </c>
      <c r="E3025" t="s">
        <v>21</v>
      </c>
      <c r="F3025" t="s">
        <v>22</v>
      </c>
      <c r="G3025" t="s">
        <v>94</v>
      </c>
      <c r="H3025" t="s">
        <v>730</v>
      </c>
      <c r="I3025">
        <v>8.5000000000000006E-2</v>
      </c>
      <c r="J3025">
        <f t="shared" si="141"/>
        <v>38.25</v>
      </c>
      <c r="K3025">
        <v>4</v>
      </c>
      <c r="L3025">
        <f t="shared" si="142"/>
        <v>34.25</v>
      </c>
      <c r="M3025" s="4">
        <f t="shared" si="143"/>
        <v>6.8500000000000005E-2</v>
      </c>
      <c r="N3025">
        <v>500</v>
      </c>
      <c r="O3025">
        <v>450</v>
      </c>
      <c r="P3025" t="s">
        <v>25</v>
      </c>
      <c r="Q3025" t="s">
        <v>26</v>
      </c>
      <c r="R3025" t="str">
        <f>IF(COUNTIF(Sheet2!B:B, A3025) &gt; 0, "Yes", "No")</f>
        <v>No</v>
      </c>
    </row>
    <row r="3026" spans="1:18" x14ac:dyDescent="0.25">
      <c r="A3026" s="3">
        <v>45588</v>
      </c>
      <c r="B3026" t="s">
        <v>372</v>
      </c>
      <c r="C3026" t="s">
        <v>51</v>
      </c>
      <c r="D3026" t="s">
        <v>20</v>
      </c>
      <c r="E3026" t="s">
        <v>21</v>
      </c>
      <c r="F3026" t="s">
        <v>27</v>
      </c>
      <c r="G3026" t="s">
        <v>28</v>
      </c>
      <c r="H3026" t="s">
        <v>210</v>
      </c>
      <c r="I3026">
        <v>0.11</v>
      </c>
      <c r="J3026">
        <f t="shared" si="141"/>
        <v>49.5</v>
      </c>
      <c r="K3026">
        <v>4</v>
      </c>
      <c r="L3026">
        <f t="shared" si="142"/>
        <v>45.5</v>
      </c>
      <c r="M3026" s="4">
        <f t="shared" si="143"/>
        <v>9.0999999999999998E-2</v>
      </c>
      <c r="N3026">
        <v>500</v>
      </c>
      <c r="O3026">
        <v>450</v>
      </c>
      <c r="P3026" t="s">
        <v>25</v>
      </c>
      <c r="Q3026" t="s">
        <v>26</v>
      </c>
      <c r="R3026" t="str">
        <f>IF(COUNTIF(Sheet2!B:B, A3026) &gt; 0, "Yes", "No")</f>
        <v>No</v>
      </c>
    </row>
    <row r="3027" spans="1:18" x14ac:dyDescent="0.25">
      <c r="A3027" s="3">
        <v>45588</v>
      </c>
      <c r="B3027" t="s">
        <v>372</v>
      </c>
      <c r="C3027" t="s">
        <v>51</v>
      </c>
      <c r="D3027" t="s">
        <v>20</v>
      </c>
      <c r="E3027" t="s">
        <v>21</v>
      </c>
      <c r="F3027" t="s">
        <v>30</v>
      </c>
      <c r="G3027" t="s">
        <v>55</v>
      </c>
      <c r="H3027" t="s">
        <v>183</v>
      </c>
      <c r="I3027">
        <v>0.09</v>
      </c>
      <c r="J3027">
        <f t="shared" si="141"/>
        <v>40.5</v>
      </c>
      <c r="K3027">
        <v>2</v>
      </c>
      <c r="L3027">
        <f t="shared" si="142"/>
        <v>38.5</v>
      </c>
      <c r="M3027" s="4">
        <f t="shared" si="143"/>
        <v>7.6999999999999999E-2</v>
      </c>
      <c r="N3027">
        <v>500</v>
      </c>
      <c r="O3027">
        <v>450</v>
      </c>
      <c r="P3027" t="s">
        <v>25</v>
      </c>
      <c r="Q3027" t="s">
        <v>26</v>
      </c>
      <c r="R3027" t="str">
        <f>IF(COUNTIF(Sheet2!B:B, A3027) &gt; 0, "Yes", "No")</f>
        <v>No</v>
      </c>
    </row>
    <row r="3028" spans="1:18" x14ac:dyDescent="0.25">
      <c r="A3028" s="3">
        <v>45588</v>
      </c>
      <c r="B3028" t="s">
        <v>372</v>
      </c>
      <c r="C3028" t="s">
        <v>51</v>
      </c>
      <c r="D3028" t="s">
        <v>33</v>
      </c>
      <c r="E3028" t="s">
        <v>21</v>
      </c>
      <c r="F3028" t="s">
        <v>34</v>
      </c>
      <c r="G3028" t="s">
        <v>57</v>
      </c>
      <c r="H3028" t="s">
        <v>612</v>
      </c>
      <c r="I3028">
        <v>0.15</v>
      </c>
      <c r="J3028">
        <f t="shared" si="141"/>
        <v>47.25</v>
      </c>
      <c r="K3028">
        <v>1</v>
      </c>
      <c r="L3028">
        <f t="shared" si="142"/>
        <v>46.25</v>
      </c>
      <c r="M3028" s="4">
        <f t="shared" si="143"/>
        <v>0.13214285714285715</v>
      </c>
      <c r="N3028">
        <v>350</v>
      </c>
      <c r="O3028">
        <v>315</v>
      </c>
      <c r="P3028" t="s">
        <v>25</v>
      </c>
      <c r="Q3028" t="s">
        <v>26</v>
      </c>
      <c r="R3028" t="str">
        <f>IF(COUNTIF(Sheet2!B:B, A3028) &gt; 0, "Yes", "No")</f>
        <v>No</v>
      </c>
    </row>
    <row r="3029" spans="1:18" x14ac:dyDescent="0.25">
      <c r="A3029" s="3">
        <v>45588</v>
      </c>
      <c r="B3029" t="s">
        <v>372</v>
      </c>
      <c r="C3029" t="s">
        <v>51</v>
      </c>
      <c r="D3029" t="s">
        <v>20</v>
      </c>
      <c r="E3029" t="s">
        <v>21</v>
      </c>
      <c r="F3029" t="s">
        <v>37</v>
      </c>
      <c r="G3029" t="s">
        <v>108</v>
      </c>
      <c r="H3029" t="s">
        <v>731</v>
      </c>
      <c r="I3029">
        <v>0.03</v>
      </c>
      <c r="J3029">
        <f t="shared" si="141"/>
        <v>13.5</v>
      </c>
      <c r="K3029">
        <v>2</v>
      </c>
      <c r="L3029">
        <f t="shared" si="142"/>
        <v>11.5</v>
      </c>
      <c r="M3029" s="4">
        <f t="shared" si="143"/>
        <v>2.3E-2</v>
      </c>
      <c r="N3029">
        <v>500</v>
      </c>
      <c r="O3029">
        <v>450</v>
      </c>
      <c r="P3029" t="s">
        <v>25</v>
      </c>
      <c r="Q3029" t="s">
        <v>26</v>
      </c>
      <c r="R3029" t="str">
        <f>IF(COUNTIF(Sheet2!B:B, A3029) &gt; 0, "Yes", "No")</f>
        <v>No</v>
      </c>
    </row>
    <row r="3030" spans="1:18" x14ac:dyDescent="0.25">
      <c r="A3030" s="3">
        <v>45588</v>
      </c>
      <c r="B3030" t="s">
        <v>372</v>
      </c>
      <c r="C3030" t="s">
        <v>51</v>
      </c>
      <c r="D3030" t="s">
        <v>20</v>
      </c>
      <c r="E3030" t="s">
        <v>21</v>
      </c>
      <c r="F3030" t="s">
        <v>40</v>
      </c>
      <c r="G3030" t="s">
        <v>61</v>
      </c>
      <c r="H3030" t="s">
        <v>62</v>
      </c>
      <c r="I3030">
        <v>4.4999999999999998E-2</v>
      </c>
      <c r="J3030">
        <f t="shared" si="141"/>
        <v>20.25</v>
      </c>
      <c r="K3030">
        <v>2</v>
      </c>
      <c r="L3030">
        <f t="shared" si="142"/>
        <v>18.25</v>
      </c>
      <c r="M3030" s="4">
        <f t="shared" si="143"/>
        <v>3.6499999999999998E-2</v>
      </c>
      <c r="N3030">
        <v>500</v>
      </c>
      <c r="O3030">
        <v>450</v>
      </c>
      <c r="P3030" t="s">
        <v>25</v>
      </c>
      <c r="Q3030" t="s">
        <v>26</v>
      </c>
      <c r="R3030" t="str">
        <f>IF(COUNTIF(Sheet2!B:B, A3030) &gt; 0, "Yes", "No")</f>
        <v>No</v>
      </c>
    </row>
    <row r="3031" spans="1:18" x14ac:dyDescent="0.25">
      <c r="A3031" s="3">
        <v>45588</v>
      </c>
      <c r="B3031" t="s">
        <v>372</v>
      </c>
      <c r="C3031" t="s">
        <v>51</v>
      </c>
      <c r="D3031" t="s">
        <v>20</v>
      </c>
      <c r="E3031" t="s">
        <v>21</v>
      </c>
      <c r="F3031" t="s">
        <v>43</v>
      </c>
      <c r="G3031" t="s">
        <v>44</v>
      </c>
      <c r="H3031" t="s">
        <v>225</v>
      </c>
      <c r="I3031">
        <v>0.11</v>
      </c>
      <c r="J3031">
        <f t="shared" si="141"/>
        <v>49.5</v>
      </c>
      <c r="K3031">
        <v>5</v>
      </c>
      <c r="L3031">
        <f t="shared" si="142"/>
        <v>44.5</v>
      </c>
      <c r="M3031" s="4">
        <f t="shared" si="143"/>
        <v>8.8999999999999996E-2</v>
      </c>
      <c r="N3031">
        <v>500</v>
      </c>
      <c r="O3031">
        <v>450</v>
      </c>
      <c r="P3031" t="s">
        <v>25</v>
      </c>
      <c r="Q3031" t="s">
        <v>26</v>
      </c>
      <c r="R3031" t="str">
        <f>IF(COUNTIF(Sheet2!B:B, A3031) &gt; 0, "Yes", "No")</f>
        <v>No</v>
      </c>
    </row>
    <row r="3032" spans="1:18" x14ac:dyDescent="0.25">
      <c r="A3032" s="3">
        <v>45588</v>
      </c>
      <c r="B3032" t="s">
        <v>372</v>
      </c>
      <c r="C3032" t="s">
        <v>51</v>
      </c>
      <c r="D3032" t="s">
        <v>20</v>
      </c>
      <c r="E3032" t="s">
        <v>21</v>
      </c>
      <c r="F3032" t="s">
        <v>46</v>
      </c>
      <c r="G3032" t="s">
        <v>130</v>
      </c>
      <c r="H3032" t="s">
        <v>548</v>
      </c>
      <c r="I3032">
        <v>8.5000000000000006E-2</v>
      </c>
      <c r="J3032">
        <f t="shared" si="141"/>
        <v>38.25</v>
      </c>
      <c r="K3032">
        <v>3</v>
      </c>
      <c r="L3032">
        <f t="shared" si="142"/>
        <v>35.25</v>
      </c>
      <c r="M3032" s="4">
        <f t="shared" si="143"/>
        <v>7.0499999999999993E-2</v>
      </c>
      <c r="N3032">
        <v>500</v>
      </c>
      <c r="O3032">
        <v>450</v>
      </c>
      <c r="P3032" t="s">
        <v>25</v>
      </c>
      <c r="Q3032" t="s">
        <v>26</v>
      </c>
      <c r="R3032" t="str">
        <f>IF(COUNTIF(Sheet2!B:B, A3032) &gt; 0, "Yes", "No")</f>
        <v>No</v>
      </c>
    </row>
    <row r="3033" spans="1:18" x14ac:dyDescent="0.25">
      <c r="A3033" s="3">
        <v>45588</v>
      </c>
      <c r="B3033" t="s">
        <v>372</v>
      </c>
      <c r="C3033" t="s">
        <v>51</v>
      </c>
      <c r="D3033" t="s">
        <v>20</v>
      </c>
      <c r="E3033" t="s">
        <v>21</v>
      </c>
      <c r="F3033" t="s">
        <v>49</v>
      </c>
      <c r="G3033" t="s">
        <v>50</v>
      </c>
      <c r="H3033" t="s">
        <v>49</v>
      </c>
      <c r="I3033">
        <v>0.09</v>
      </c>
      <c r="J3033">
        <f t="shared" si="141"/>
        <v>40.5</v>
      </c>
      <c r="K3033">
        <v>1</v>
      </c>
      <c r="L3033">
        <f t="shared" si="142"/>
        <v>39.5</v>
      </c>
      <c r="M3033" s="4">
        <f t="shared" si="143"/>
        <v>7.9000000000000001E-2</v>
      </c>
      <c r="N3033">
        <v>500</v>
      </c>
      <c r="O3033">
        <v>450</v>
      </c>
      <c r="P3033" t="s">
        <v>25</v>
      </c>
      <c r="Q3033" t="s">
        <v>26</v>
      </c>
      <c r="R3033" t="str">
        <f>IF(COUNTIF(Sheet2!B:B, A3033) &gt; 0, "Yes", "No")</f>
        <v>No</v>
      </c>
    </row>
    <row r="3034" spans="1:18" x14ac:dyDescent="0.25">
      <c r="A3034" s="3">
        <v>45589</v>
      </c>
      <c r="B3034" t="s">
        <v>372</v>
      </c>
      <c r="C3034" t="s">
        <v>66</v>
      </c>
      <c r="D3034" t="s">
        <v>20</v>
      </c>
      <c r="E3034" t="s">
        <v>67</v>
      </c>
      <c r="F3034" t="s">
        <v>22</v>
      </c>
      <c r="G3034" t="s">
        <v>122</v>
      </c>
      <c r="H3034" t="s">
        <v>162</v>
      </c>
      <c r="I3034">
        <v>8.5000000000000006E-2</v>
      </c>
      <c r="J3034">
        <f t="shared" si="141"/>
        <v>38.25</v>
      </c>
      <c r="K3034">
        <v>5</v>
      </c>
      <c r="L3034">
        <f t="shared" si="142"/>
        <v>33.25</v>
      </c>
      <c r="M3034" s="4">
        <f t="shared" si="143"/>
        <v>6.6500000000000004E-2</v>
      </c>
      <c r="N3034">
        <v>500</v>
      </c>
      <c r="O3034">
        <v>450</v>
      </c>
      <c r="P3034" t="s">
        <v>25</v>
      </c>
      <c r="Q3034" t="s">
        <v>26</v>
      </c>
      <c r="R3034" t="str">
        <f>IF(COUNTIF(Sheet2!B:B, A3034) &gt; 0, "Yes", "No")</f>
        <v>No</v>
      </c>
    </row>
    <row r="3035" spans="1:18" x14ac:dyDescent="0.25">
      <c r="A3035" s="3">
        <v>45589</v>
      </c>
      <c r="B3035" t="s">
        <v>372</v>
      </c>
      <c r="C3035" t="s">
        <v>66</v>
      </c>
      <c r="D3035" t="s">
        <v>20</v>
      </c>
      <c r="E3035" t="s">
        <v>67</v>
      </c>
      <c r="F3035" t="s">
        <v>27</v>
      </c>
      <c r="G3035" t="s">
        <v>780</v>
      </c>
      <c r="H3035" t="s">
        <v>639</v>
      </c>
      <c r="I3035">
        <v>0.11</v>
      </c>
      <c r="J3035">
        <f t="shared" si="141"/>
        <v>49.5</v>
      </c>
      <c r="K3035">
        <v>7</v>
      </c>
      <c r="L3035">
        <f t="shared" si="142"/>
        <v>42.5</v>
      </c>
      <c r="M3035" s="4">
        <f t="shared" si="143"/>
        <v>8.5000000000000006E-2</v>
      </c>
      <c r="N3035">
        <v>500</v>
      </c>
      <c r="O3035">
        <v>450</v>
      </c>
      <c r="P3035" t="s">
        <v>25</v>
      </c>
      <c r="Q3035" t="s">
        <v>26</v>
      </c>
      <c r="R3035" t="str">
        <f>IF(COUNTIF(Sheet2!B:B, A3035) &gt; 0, "Yes", "No")</f>
        <v>No</v>
      </c>
    </row>
    <row r="3036" spans="1:18" x14ac:dyDescent="0.25">
      <c r="A3036" s="3">
        <v>45589</v>
      </c>
      <c r="B3036" t="s">
        <v>372</v>
      </c>
      <c r="C3036" t="s">
        <v>66</v>
      </c>
      <c r="D3036" t="s">
        <v>20</v>
      </c>
      <c r="E3036" t="s">
        <v>67</v>
      </c>
      <c r="F3036" t="s">
        <v>30</v>
      </c>
      <c r="G3036" t="s">
        <v>55</v>
      </c>
      <c r="H3036" t="s">
        <v>134</v>
      </c>
      <c r="I3036">
        <v>0.09</v>
      </c>
      <c r="J3036">
        <f t="shared" si="141"/>
        <v>40.5</v>
      </c>
      <c r="K3036">
        <v>3</v>
      </c>
      <c r="L3036">
        <f t="shared" si="142"/>
        <v>37.5</v>
      </c>
      <c r="M3036" s="4">
        <f t="shared" si="143"/>
        <v>7.4999999999999997E-2</v>
      </c>
      <c r="N3036">
        <v>500</v>
      </c>
      <c r="O3036">
        <v>450</v>
      </c>
      <c r="P3036" t="s">
        <v>25</v>
      </c>
      <c r="Q3036" t="s">
        <v>26</v>
      </c>
      <c r="R3036" t="str">
        <f>IF(COUNTIF(Sheet2!B:B, A3036) &gt; 0, "Yes", "No")</f>
        <v>No</v>
      </c>
    </row>
    <row r="3037" spans="1:18" x14ac:dyDescent="0.25">
      <c r="A3037" s="3">
        <v>45589</v>
      </c>
      <c r="B3037" t="s">
        <v>372</v>
      </c>
      <c r="C3037" t="s">
        <v>66</v>
      </c>
      <c r="D3037" t="s">
        <v>20</v>
      </c>
      <c r="E3037" t="s">
        <v>67</v>
      </c>
      <c r="F3037" t="s">
        <v>37</v>
      </c>
      <c r="G3037" t="s">
        <v>87</v>
      </c>
      <c r="H3037" t="s">
        <v>136</v>
      </c>
      <c r="I3037">
        <v>3.5000000000000003E-2</v>
      </c>
      <c r="J3037">
        <f t="shared" si="141"/>
        <v>15.750000000000002</v>
      </c>
      <c r="K3037">
        <v>5</v>
      </c>
      <c r="L3037">
        <f t="shared" si="142"/>
        <v>10.750000000000002</v>
      </c>
      <c r="M3037" s="4">
        <f t="shared" si="143"/>
        <v>2.1500000000000005E-2</v>
      </c>
      <c r="N3037">
        <v>500</v>
      </c>
      <c r="O3037">
        <v>450</v>
      </c>
      <c r="P3037" t="s">
        <v>25</v>
      </c>
      <c r="Q3037" t="s">
        <v>26</v>
      </c>
      <c r="R3037" t="str">
        <f>IF(COUNTIF(Sheet2!B:B, A3037) &gt; 0, "Yes", "No")</f>
        <v>No</v>
      </c>
    </row>
    <row r="3038" spans="1:18" x14ac:dyDescent="0.25">
      <c r="A3038" s="3">
        <v>45589</v>
      </c>
      <c r="B3038" t="s">
        <v>372</v>
      </c>
      <c r="C3038" t="s">
        <v>66</v>
      </c>
      <c r="D3038" t="s">
        <v>20</v>
      </c>
      <c r="E3038" t="s">
        <v>67</v>
      </c>
      <c r="F3038" t="s">
        <v>40</v>
      </c>
      <c r="G3038" t="s">
        <v>137</v>
      </c>
      <c r="H3038" t="s">
        <v>690</v>
      </c>
      <c r="I3038">
        <v>0.05</v>
      </c>
      <c r="J3038">
        <f t="shared" si="141"/>
        <v>22.5</v>
      </c>
      <c r="K3038">
        <v>5</v>
      </c>
      <c r="L3038">
        <f t="shared" si="142"/>
        <v>17.5</v>
      </c>
      <c r="M3038" s="4">
        <f t="shared" si="143"/>
        <v>3.5000000000000003E-2</v>
      </c>
      <c r="N3038">
        <v>500</v>
      </c>
      <c r="O3038">
        <v>450</v>
      </c>
      <c r="P3038" t="s">
        <v>25</v>
      </c>
      <c r="Q3038" t="s">
        <v>26</v>
      </c>
      <c r="R3038" t="str">
        <f>IF(COUNTIF(Sheet2!B:B, A3038) &gt; 0, "Yes", "No")</f>
        <v>No</v>
      </c>
    </row>
    <row r="3039" spans="1:18" x14ac:dyDescent="0.25">
      <c r="A3039" s="3">
        <v>45589</v>
      </c>
      <c r="B3039" t="s">
        <v>372</v>
      </c>
      <c r="C3039" t="s">
        <v>66</v>
      </c>
      <c r="D3039" t="s">
        <v>20</v>
      </c>
      <c r="E3039" t="s">
        <v>67</v>
      </c>
      <c r="F3039" t="s">
        <v>43</v>
      </c>
      <c r="G3039" t="s">
        <v>90</v>
      </c>
      <c r="H3039" t="s">
        <v>713</v>
      </c>
      <c r="I3039">
        <v>0.11</v>
      </c>
      <c r="J3039">
        <f t="shared" si="141"/>
        <v>49.5</v>
      </c>
      <c r="K3039">
        <v>7</v>
      </c>
      <c r="L3039">
        <f t="shared" si="142"/>
        <v>42.5</v>
      </c>
      <c r="M3039" s="4">
        <f t="shared" si="143"/>
        <v>8.5000000000000006E-2</v>
      </c>
      <c r="N3039">
        <v>500</v>
      </c>
      <c r="O3039">
        <v>450</v>
      </c>
      <c r="P3039" t="s">
        <v>25</v>
      </c>
      <c r="Q3039" t="s">
        <v>26</v>
      </c>
      <c r="R3039" t="str">
        <f>IF(COUNTIF(Sheet2!B:B, A3039) &gt; 0, "Yes", "No")</f>
        <v>No</v>
      </c>
    </row>
    <row r="3040" spans="1:18" x14ac:dyDescent="0.25">
      <c r="A3040" s="3">
        <v>45589</v>
      </c>
      <c r="B3040" t="s">
        <v>372</v>
      </c>
      <c r="C3040" t="s">
        <v>66</v>
      </c>
      <c r="D3040" t="s">
        <v>20</v>
      </c>
      <c r="E3040" t="s">
        <v>67</v>
      </c>
      <c r="F3040" t="s">
        <v>46</v>
      </c>
      <c r="G3040" t="s">
        <v>47</v>
      </c>
      <c r="H3040" t="s">
        <v>732</v>
      </c>
      <c r="I3040">
        <v>8.5000000000000006E-2</v>
      </c>
      <c r="J3040">
        <f t="shared" si="141"/>
        <v>38.25</v>
      </c>
      <c r="K3040">
        <v>5</v>
      </c>
      <c r="L3040">
        <f t="shared" si="142"/>
        <v>33.25</v>
      </c>
      <c r="M3040" s="4">
        <f t="shared" si="143"/>
        <v>6.6500000000000004E-2</v>
      </c>
      <c r="N3040">
        <v>500</v>
      </c>
      <c r="O3040">
        <v>450</v>
      </c>
      <c r="P3040" t="s">
        <v>25</v>
      </c>
      <c r="Q3040" t="s">
        <v>26</v>
      </c>
      <c r="R3040" t="str">
        <f>IF(COUNTIF(Sheet2!B:B, A3040) &gt; 0, "Yes", "No")</f>
        <v>No</v>
      </c>
    </row>
    <row r="3041" spans="1:18" x14ac:dyDescent="0.25">
      <c r="A3041" s="3">
        <v>45589</v>
      </c>
      <c r="B3041" t="s">
        <v>372</v>
      </c>
      <c r="C3041" t="s">
        <v>66</v>
      </c>
      <c r="D3041" t="s">
        <v>20</v>
      </c>
      <c r="E3041" t="s">
        <v>67</v>
      </c>
      <c r="F3041" t="s">
        <v>49</v>
      </c>
      <c r="G3041" t="s">
        <v>50</v>
      </c>
      <c r="H3041" t="s">
        <v>49</v>
      </c>
      <c r="I3041">
        <v>0.09</v>
      </c>
      <c r="J3041">
        <f t="shared" si="141"/>
        <v>40.5</v>
      </c>
      <c r="K3041">
        <v>8</v>
      </c>
      <c r="L3041">
        <f t="shared" si="142"/>
        <v>32.5</v>
      </c>
      <c r="M3041" s="4">
        <f t="shared" si="143"/>
        <v>6.5000000000000002E-2</v>
      </c>
      <c r="N3041">
        <v>500</v>
      </c>
      <c r="O3041">
        <v>450</v>
      </c>
      <c r="P3041" t="s">
        <v>25</v>
      </c>
      <c r="Q3041" t="s">
        <v>26</v>
      </c>
      <c r="R3041" t="str">
        <f>IF(COUNTIF(Sheet2!B:B, A3041) &gt; 0, "Yes", "No")</f>
        <v>No</v>
      </c>
    </row>
    <row r="3042" spans="1:18" x14ac:dyDescent="0.25">
      <c r="A3042" s="3">
        <v>45590</v>
      </c>
      <c r="B3042" t="s">
        <v>372</v>
      </c>
      <c r="C3042" t="s">
        <v>79</v>
      </c>
      <c r="D3042" t="s">
        <v>20</v>
      </c>
      <c r="E3042" t="s">
        <v>21</v>
      </c>
      <c r="F3042" t="s">
        <v>22</v>
      </c>
      <c r="G3042" t="s">
        <v>52</v>
      </c>
      <c r="H3042" t="s">
        <v>621</v>
      </c>
      <c r="I3042" s="5">
        <v>0.06</v>
      </c>
      <c r="J3042">
        <f t="shared" si="141"/>
        <v>21</v>
      </c>
      <c r="K3042">
        <v>3</v>
      </c>
      <c r="L3042">
        <f t="shared" si="142"/>
        <v>18</v>
      </c>
      <c r="M3042" s="4">
        <f t="shared" si="143"/>
        <v>4.4999999999999998E-2</v>
      </c>
      <c r="N3042">
        <v>400</v>
      </c>
      <c r="O3042">
        <v>350</v>
      </c>
      <c r="P3042" t="s">
        <v>25</v>
      </c>
      <c r="Q3042" t="s">
        <v>26</v>
      </c>
      <c r="R3042" t="str">
        <f>IF(COUNTIF(Sheet2!B:B, A3042) &gt; 0, "Yes", "No")</f>
        <v>Yes</v>
      </c>
    </row>
    <row r="3043" spans="1:18" x14ac:dyDescent="0.25">
      <c r="A3043" s="3">
        <v>45590</v>
      </c>
      <c r="B3043" t="s">
        <v>372</v>
      </c>
      <c r="C3043" t="s">
        <v>79</v>
      </c>
      <c r="D3043" t="s">
        <v>20</v>
      </c>
      <c r="E3043" t="s">
        <v>21</v>
      </c>
      <c r="F3043" t="s">
        <v>27</v>
      </c>
      <c r="G3043" t="s">
        <v>81</v>
      </c>
      <c r="H3043" t="s">
        <v>643</v>
      </c>
      <c r="I3043" s="5">
        <v>0.1</v>
      </c>
      <c r="J3043">
        <f t="shared" si="141"/>
        <v>35</v>
      </c>
      <c r="K3043">
        <v>4</v>
      </c>
      <c r="L3043">
        <f t="shared" si="142"/>
        <v>31</v>
      </c>
      <c r="M3043" s="4">
        <f t="shared" si="143"/>
        <v>7.7499999999999999E-2</v>
      </c>
      <c r="N3043">
        <v>400</v>
      </c>
      <c r="O3043">
        <v>350</v>
      </c>
      <c r="P3043" t="s">
        <v>25</v>
      </c>
      <c r="Q3043" t="s">
        <v>26</v>
      </c>
      <c r="R3043" t="str">
        <f>IF(COUNTIF(Sheet2!B:B, A3043) &gt; 0, "Yes", "No")</f>
        <v>Yes</v>
      </c>
    </row>
    <row r="3044" spans="1:18" x14ac:dyDescent="0.25">
      <c r="A3044" s="3">
        <v>45590</v>
      </c>
      <c r="B3044" t="s">
        <v>372</v>
      </c>
      <c r="C3044" t="s">
        <v>79</v>
      </c>
      <c r="D3044" t="s">
        <v>20</v>
      </c>
      <c r="E3044" t="s">
        <v>21</v>
      </c>
      <c r="F3044" t="s">
        <v>30</v>
      </c>
      <c r="G3044" t="s">
        <v>31</v>
      </c>
      <c r="H3044" t="s">
        <v>70</v>
      </c>
      <c r="I3044" s="5">
        <v>0.06</v>
      </c>
      <c r="J3044">
        <f t="shared" si="141"/>
        <v>21</v>
      </c>
      <c r="K3044">
        <v>3</v>
      </c>
      <c r="L3044">
        <f t="shared" si="142"/>
        <v>18</v>
      </c>
      <c r="M3044" s="4">
        <f t="shared" si="143"/>
        <v>4.4999999999999998E-2</v>
      </c>
      <c r="N3044">
        <v>400</v>
      </c>
      <c r="O3044">
        <v>350</v>
      </c>
      <c r="P3044" t="s">
        <v>25</v>
      </c>
      <c r="Q3044" t="s">
        <v>26</v>
      </c>
      <c r="R3044" t="str">
        <f>IF(COUNTIF(Sheet2!B:B, A3044) &gt; 0, "Yes", "No")</f>
        <v>Yes</v>
      </c>
    </row>
    <row r="3045" spans="1:18" x14ac:dyDescent="0.25">
      <c r="A3045" s="3">
        <v>45590</v>
      </c>
      <c r="B3045" t="s">
        <v>372</v>
      </c>
      <c r="C3045" t="s">
        <v>79</v>
      </c>
      <c r="D3045" t="s">
        <v>33</v>
      </c>
      <c r="E3045" t="s">
        <v>21</v>
      </c>
      <c r="F3045" t="s">
        <v>84</v>
      </c>
      <c r="G3045" t="s">
        <v>85</v>
      </c>
      <c r="H3045" t="s">
        <v>86</v>
      </c>
      <c r="I3045" s="5">
        <v>0.3</v>
      </c>
      <c r="J3045">
        <f t="shared" si="141"/>
        <v>73.5</v>
      </c>
      <c r="K3045">
        <v>1</v>
      </c>
      <c r="L3045">
        <f t="shared" si="142"/>
        <v>72.5</v>
      </c>
      <c r="M3045" s="4">
        <f t="shared" si="143"/>
        <v>0.25892857142857145</v>
      </c>
      <c r="N3045">
        <v>280</v>
      </c>
      <c r="O3045">
        <v>245</v>
      </c>
      <c r="P3045" t="s">
        <v>25</v>
      </c>
      <c r="Q3045" t="s">
        <v>26</v>
      </c>
      <c r="R3045" t="str">
        <f>IF(COUNTIF(Sheet2!B:B, A3045) &gt; 0, "Yes", "No")</f>
        <v>Yes</v>
      </c>
    </row>
    <row r="3046" spans="1:18" x14ac:dyDescent="0.25">
      <c r="A3046" s="3">
        <v>45590</v>
      </c>
      <c r="B3046" t="s">
        <v>372</v>
      </c>
      <c r="C3046" t="s">
        <v>79</v>
      </c>
      <c r="D3046" t="s">
        <v>20</v>
      </c>
      <c r="E3046" t="s">
        <v>21</v>
      </c>
      <c r="F3046" t="s">
        <v>37</v>
      </c>
      <c r="G3046" t="s">
        <v>71</v>
      </c>
      <c r="H3046" t="s">
        <v>733</v>
      </c>
      <c r="I3046" s="5">
        <v>2.5000000000000001E-2</v>
      </c>
      <c r="J3046">
        <f t="shared" si="141"/>
        <v>8.75</v>
      </c>
      <c r="K3046">
        <v>3</v>
      </c>
      <c r="L3046">
        <f t="shared" si="142"/>
        <v>5.75</v>
      </c>
      <c r="M3046" s="4">
        <f t="shared" si="143"/>
        <v>1.4375000000000001E-2</v>
      </c>
      <c r="N3046">
        <v>400</v>
      </c>
      <c r="O3046">
        <v>350</v>
      </c>
      <c r="P3046" t="s">
        <v>25</v>
      </c>
      <c r="Q3046" t="s">
        <v>26</v>
      </c>
      <c r="R3046" t="str">
        <f>IF(COUNTIF(Sheet2!B:B, A3046) &gt; 0, "Yes", "No")</f>
        <v>Yes</v>
      </c>
    </row>
    <row r="3047" spans="1:18" x14ac:dyDescent="0.25">
      <c r="A3047" s="3">
        <v>45590</v>
      </c>
      <c r="B3047" t="s">
        <v>372</v>
      </c>
      <c r="C3047" t="s">
        <v>79</v>
      </c>
      <c r="D3047" t="s">
        <v>20</v>
      </c>
      <c r="E3047" t="s">
        <v>21</v>
      </c>
      <c r="F3047" t="s">
        <v>40</v>
      </c>
      <c r="G3047" t="s">
        <v>61</v>
      </c>
      <c r="H3047" t="s">
        <v>62</v>
      </c>
      <c r="I3047" s="5">
        <v>0.04</v>
      </c>
      <c r="J3047">
        <f t="shared" si="141"/>
        <v>14</v>
      </c>
      <c r="K3047">
        <v>5</v>
      </c>
      <c r="L3047">
        <f t="shared" si="142"/>
        <v>9</v>
      </c>
      <c r="M3047" s="4">
        <f t="shared" si="143"/>
        <v>2.2499999999999999E-2</v>
      </c>
      <c r="N3047">
        <v>400</v>
      </c>
      <c r="O3047">
        <v>350</v>
      </c>
      <c r="P3047" t="s">
        <v>25</v>
      </c>
      <c r="Q3047" t="s">
        <v>26</v>
      </c>
      <c r="R3047" t="str">
        <f>IF(COUNTIF(Sheet2!B:B, A3047) &gt; 0, "Yes", "No")</f>
        <v>Yes</v>
      </c>
    </row>
    <row r="3048" spans="1:18" x14ac:dyDescent="0.25">
      <c r="A3048" s="3">
        <v>45590</v>
      </c>
      <c r="B3048" t="s">
        <v>372</v>
      </c>
      <c r="C3048" t="s">
        <v>79</v>
      </c>
      <c r="D3048" t="s">
        <v>20</v>
      </c>
      <c r="E3048" t="s">
        <v>21</v>
      </c>
      <c r="F3048" t="s">
        <v>43</v>
      </c>
      <c r="G3048" t="s">
        <v>139</v>
      </c>
      <c r="H3048" t="s">
        <v>734</v>
      </c>
      <c r="I3048" s="5">
        <v>7.0000000000000007E-2</v>
      </c>
      <c r="J3048">
        <f t="shared" si="141"/>
        <v>24.500000000000004</v>
      </c>
      <c r="K3048">
        <v>3</v>
      </c>
      <c r="L3048">
        <f t="shared" si="142"/>
        <v>21.500000000000004</v>
      </c>
      <c r="M3048" s="4">
        <f t="shared" si="143"/>
        <v>5.3750000000000006E-2</v>
      </c>
      <c r="N3048">
        <v>400</v>
      </c>
      <c r="O3048">
        <v>350</v>
      </c>
      <c r="P3048" t="s">
        <v>25</v>
      </c>
      <c r="Q3048" t="s">
        <v>26</v>
      </c>
      <c r="R3048" t="str">
        <f>IF(COUNTIF(Sheet2!B:B, A3048) &gt; 0, "Yes", "No")</f>
        <v>Yes</v>
      </c>
    </row>
    <row r="3049" spans="1:18" x14ac:dyDescent="0.25">
      <c r="A3049" s="3">
        <v>45590</v>
      </c>
      <c r="B3049" t="s">
        <v>372</v>
      </c>
      <c r="C3049" t="s">
        <v>79</v>
      </c>
      <c r="D3049" t="s">
        <v>20</v>
      </c>
      <c r="E3049" t="s">
        <v>21</v>
      </c>
      <c r="F3049" t="s">
        <v>46</v>
      </c>
      <c r="G3049" t="s">
        <v>47</v>
      </c>
      <c r="H3049" t="s">
        <v>154</v>
      </c>
      <c r="I3049" s="5">
        <v>5.5E-2</v>
      </c>
      <c r="J3049">
        <f t="shared" si="141"/>
        <v>19.25</v>
      </c>
      <c r="K3049">
        <v>3</v>
      </c>
      <c r="L3049">
        <f t="shared" si="142"/>
        <v>16.25</v>
      </c>
      <c r="M3049" s="4">
        <f t="shared" si="143"/>
        <v>4.0625000000000001E-2</v>
      </c>
      <c r="N3049">
        <v>400</v>
      </c>
      <c r="O3049">
        <v>350</v>
      </c>
      <c r="P3049" t="s">
        <v>25</v>
      </c>
      <c r="Q3049" t="s">
        <v>26</v>
      </c>
      <c r="R3049" t="str">
        <f>IF(COUNTIF(Sheet2!B:B, A3049) &gt; 0, "Yes", "No")</f>
        <v>Yes</v>
      </c>
    </row>
    <row r="3050" spans="1:18" x14ac:dyDescent="0.25">
      <c r="A3050" s="3">
        <v>45590</v>
      </c>
      <c r="B3050" t="s">
        <v>372</v>
      </c>
      <c r="C3050" t="s">
        <v>79</v>
      </c>
      <c r="D3050" t="s">
        <v>20</v>
      </c>
      <c r="E3050" t="s">
        <v>21</v>
      </c>
      <c r="F3050" t="s">
        <v>49</v>
      </c>
      <c r="G3050" t="s">
        <v>50</v>
      </c>
      <c r="H3050" t="s">
        <v>49</v>
      </c>
      <c r="I3050" s="5">
        <v>0.04</v>
      </c>
      <c r="J3050">
        <f t="shared" si="141"/>
        <v>14</v>
      </c>
      <c r="K3050">
        <v>2</v>
      </c>
      <c r="L3050">
        <f t="shared" si="142"/>
        <v>12</v>
      </c>
      <c r="M3050" s="4">
        <f t="shared" si="143"/>
        <v>0.03</v>
      </c>
      <c r="N3050">
        <v>400</v>
      </c>
      <c r="O3050">
        <v>350</v>
      </c>
      <c r="P3050" t="s">
        <v>25</v>
      </c>
      <c r="Q3050" t="s">
        <v>26</v>
      </c>
      <c r="R3050" t="str">
        <f>IF(COUNTIF(Sheet2!B:B, A3050) &gt; 0, "Yes", "No")</f>
        <v>Yes</v>
      </c>
    </row>
    <row r="3051" spans="1:18" x14ac:dyDescent="0.25">
      <c r="A3051" s="3">
        <v>45593</v>
      </c>
      <c r="B3051" t="s">
        <v>372</v>
      </c>
      <c r="C3051" t="s">
        <v>19</v>
      </c>
      <c r="D3051" t="s">
        <v>20</v>
      </c>
      <c r="E3051" t="s">
        <v>21</v>
      </c>
      <c r="F3051" t="s">
        <v>22</v>
      </c>
      <c r="G3051" t="s">
        <v>122</v>
      </c>
      <c r="H3051" t="s">
        <v>655</v>
      </c>
      <c r="I3051">
        <v>8.5000000000000006E-2</v>
      </c>
      <c r="J3051">
        <f t="shared" si="141"/>
        <v>42.5</v>
      </c>
      <c r="K3051">
        <v>7</v>
      </c>
      <c r="L3051">
        <f t="shared" si="142"/>
        <v>35.5</v>
      </c>
      <c r="M3051" s="4">
        <f t="shared" si="143"/>
        <v>6.4545454545454545E-2</v>
      </c>
      <c r="N3051">
        <v>550</v>
      </c>
      <c r="O3051">
        <v>500</v>
      </c>
      <c r="P3051" t="s">
        <v>25</v>
      </c>
      <c r="Q3051" t="s">
        <v>26</v>
      </c>
      <c r="R3051" t="str">
        <f>IF(COUNTIF(Sheet2!B:B, A3051) &gt; 0, "Yes", "No")</f>
        <v>No</v>
      </c>
    </row>
    <row r="3052" spans="1:18" x14ac:dyDescent="0.25">
      <c r="A3052" s="3">
        <v>45593</v>
      </c>
      <c r="B3052" t="s">
        <v>372</v>
      </c>
      <c r="C3052" t="s">
        <v>19</v>
      </c>
      <c r="D3052" t="s">
        <v>20</v>
      </c>
      <c r="E3052" t="s">
        <v>21</v>
      </c>
      <c r="F3052" t="s">
        <v>27</v>
      </c>
      <c r="G3052" t="s">
        <v>28</v>
      </c>
      <c r="H3052" t="s">
        <v>578</v>
      </c>
      <c r="I3052">
        <v>0.11</v>
      </c>
      <c r="J3052">
        <f t="shared" si="141"/>
        <v>55</v>
      </c>
      <c r="K3052">
        <v>7</v>
      </c>
      <c r="L3052">
        <f t="shared" si="142"/>
        <v>48</v>
      </c>
      <c r="M3052" s="4">
        <f t="shared" si="143"/>
        <v>8.727272727272728E-2</v>
      </c>
      <c r="N3052">
        <v>550</v>
      </c>
      <c r="O3052">
        <v>500</v>
      </c>
      <c r="P3052" t="s">
        <v>25</v>
      </c>
      <c r="Q3052" t="s">
        <v>26</v>
      </c>
      <c r="R3052" t="str">
        <f>IF(COUNTIF(Sheet2!B:B, A3052) &gt; 0, "Yes", "No")</f>
        <v>No</v>
      </c>
    </row>
    <row r="3053" spans="1:18" x14ac:dyDescent="0.25">
      <c r="A3053" s="3">
        <v>45593</v>
      </c>
      <c r="B3053" t="s">
        <v>372</v>
      </c>
      <c r="C3053" t="s">
        <v>19</v>
      </c>
      <c r="D3053" t="s">
        <v>20</v>
      </c>
      <c r="E3053" t="s">
        <v>21</v>
      </c>
      <c r="F3053" t="s">
        <v>30</v>
      </c>
      <c r="G3053" t="s">
        <v>55</v>
      </c>
      <c r="H3053" t="s">
        <v>183</v>
      </c>
      <c r="I3053">
        <v>0.09</v>
      </c>
      <c r="J3053">
        <f t="shared" si="141"/>
        <v>45</v>
      </c>
      <c r="K3053">
        <v>4</v>
      </c>
      <c r="L3053">
        <f t="shared" si="142"/>
        <v>41</v>
      </c>
      <c r="M3053" s="4">
        <f t="shared" si="143"/>
        <v>7.454545454545454E-2</v>
      </c>
      <c r="N3053">
        <v>550</v>
      </c>
      <c r="O3053">
        <v>500</v>
      </c>
      <c r="P3053" t="s">
        <v>25</v>
      </c>
      <c r="Q3053" t="s">
        <v>26</v>
      </c>
      <c r="R3053" t="str">
        <f>IF(COUNTIF(Sheet2!B:B, A3053) &gt; 0, "Yes", "No")</f>
        <v>No</v>
      </c>
    </row>
    <row r="3054" spans="1:18" x14ac:dyDescent="0.25">
      <c r="A3054" s="3">
        <v>45593</v>
      </c>
      <c r="B3054" t="s">
        <v>372</v>
      </c>
      <c r="C3054" t="s">
        <v>19</v>
      </c>
      <c r="D3054" t="s">
        <v>33</v>
      </c>
      <c r="E3054" t="s">
        <v>21</v>
      </c>
      <c r="F3054" t="s">
        <v>34</v>
      </c>
      <c r="G3054" t="s">
        <v>57</v>
      </c>
      <c r="H3054" t="s">
        <v>735</v>
      </c>
      <c r="I3054">
        <v>0.15</v>
      </c>
      <c r="J3054">
        <f t="shared" si="141"/>
        <v>48</v>
      </c>
      <c r="K3054">
        <v>4</v>
      </c>
      <c r="L3054">
        <f t="shared" si="142"/>
        <v>44</v>
      </c>
      <c r="M3054" s="4">
        <f t="shared" si="143"/>
        <v>0.11428571428571428</v>
      </c>
      <c r="N3054">
        <v>385</v>
      </c>
      <c r="O3054">
        <v>320</v>
      </c>
      <c r="P3054" t="s">
        <v>25</v>
      </c>
      <c r="Q3054" t="s">
        <v>26</v>
      </c>
      <c r="R3054" t="str">
        <f>IF(COUNTIF(Sheet2!B:B, A3054) &gt; 0, "Yes", "No")</f>
        <v>No</v>
      </c>
    </row>
    <row r="3055" spans="1:18" x14ac:dyDescent="0.25">
      <c r="A3055" s="3">
        <v>45593</v>
      </c>
      <c r="B3055" t="s">
        <v>372</v>
      </c>
      <c r="C3055" t="s">
        <v>19</v>
      </c>
      <c r="D3055" t="s">
        <v>20</v>
      </c>
      <c r="E3055" t="s">
        <v>21</v>
      </c>
      <c r="F3055" t="s">
        <v>37</v>
      </c>
      <c r="G3055" t="s">
        <v>59</v>
      </c>
      <c r="H3055" t="s">
        <v>60</v>
      </c>
      <c r="I3055">
        <v>0.03</v>
      </c>
      <c r="J3055">
        <f t="shared" si="141"/>
        <v>15</v>
      </c>
      <c r="K3055">
        <v>7</v>
      </c>
      <c r="L3055">
        <f t="shared" si="142"/>
        <v>8</v>
      </c>
      <c r="M3055" s="4">
        <f t="shared" si="143"/>
        <v>1.4545454545454545E-2</v>
      </c>
      <c r="N3055">
        <v>550</v>
      </c>
      <c r="O3055">
        <v>500</v>
      </c>
      <c r="P3055" t="s">
        <v>25</v>
      </c>
      <c r="Q3055" t="s">
        <v>26</v>
      </c>
      <c r="R3055" t="str">
        <f>IF(COUNTIF(Sheet2!B:B, A3055) &gt; 0, "Yes", "No")</f>
        <v>No</v>
      </c>
    </row>
    <row r="3056" spans="1:18" x14ac:dyDescent="0.25">
      <c r="A3056" s="3">
        <v>45593</v>
      </c>
      <c r="B3056" t="s">
        <v>372</v>
      </c>
      <c r="C3056" t="s">
        <v>19</v>
      </c>
      <c r="D3056" t="s">
        <v>20</v>
      </c>
      <c r="E3056" t="s">
        <v>21</v>
      </c>
      <c r="F3056" t="s">
        <v>40</v>
      </c>
      <c r="G3056" t="s">
        <v>137</v>
      </c>
      <c r="H3056" t="s">
        <v>622</v>
      </c>
      <c r="I3056">
        <v>4.4999999999999998E-2</v>
      </c>
      <c r="J3056">
        <f t="shared" si="141"/>
        <v>22.5</v>
      </c>
      <c r="K3056">
        <v>5</v>
      </c>
      <c r="L3056">
        <f t="shared" si="142"/>
        <v>17.5</v>
      </c>
      <c r="M3056" s="4">
        <f t="shared" si="143"/>
        <v>3.1818181818181815E-2</v>
      </c>
      <c r="N3056">
        <v>550</v>
      </c>
      <c r="O3056">
        <v>500</v>
      </c>
      <c r="P3056" t="s">
        <v>25</v>
      </c>
      <c r="Q3056" t="s">
        <v>26</v>
      </c>
      <c r="R3056" t="str">
        <f>IF(COUNTIF(Sheet2!B:B, A3056) &gt; 0, "Yes", "No")</f>
        <v>No</v>
      </c>
    </row>
    <row r="3057" spans="1:18" x14ac:dyDescent="0.25">
      <c r="A3057" s="3">
        <v>45593</v>
      </c>
      <c r="B3057" t="s">
        <v>372</v>
      </c>
      <c r="C3057" t="s">
        <v>19</v>
      </c>
      <c r="D3057" t="s">
        <v>20</v>
      </c>
      <c r="E3057" t="s">
        <v>21</v>
      </c>
      <c r="F3057" t="s">
        <v>43</v>
      </c>
      <c r="G3057" t="s">
        <v>75</v>
      </c>
      <c r="H3057" t="s">
        <v>736</v>
      </c>
      <c r="I3057">
        <v>0.11</v>
      </c>
      <c r="J3057">
        <f t="shared" si="141"/>
        <v>55</v>
      </c>
      <c r="K3057">
        <v>8</v>
      </c>
      <c r="L3057">
        <f t="shared" si="142"/>
        <v>47</v>
      </c>
      <c r="M3057" s="4">
        <f t="shared" si="143"/>
        <v>8.545454545454545E-2</v>
      </c>
      <c r="N3057">
        <v>550</v>
      </c>
      <c r="O3057">
        <v>500</v>
      </c>
      <c r="P3057" t="s">
        <v>25</v>
      </c>
      <c r="Q3057" t="s">
        <v>26</v>
      </c>
      <c r="R3057" t="str">
        <f>IF(COUNTIF(Sheet2!B:B, A3057) &gt; 0, "Yes", "No")</f>
        <v>No</v>
      </c>
    </row>
    <row r="3058" spans="1:18" x14ac:dyDescent="0.25">
      <c r="A3058" s="3">
        <v>45593</v>
      </c>
      <c r="B3058" t="s">
        <v>372</v>
      </c>
      <c r="C3058" t="s">
        <v>19</v>
      </c>
      <c r="D3058" t="s">
        <v>20</v>
      </c>
      <c r="E3058" t="s">
        <v>21</v>
      </c>
      <c r="F3058" t="s">
        <v>46</v>
      </c>
      <c r="G3058" t="s">
        <v>130</v>
      </c>
      <c r="H3058" t="s">
        <v>367</v>
      </c>
      <c r="I3058">
        <v>8.5000000000000006E-2</v>
      </c>
      <c r="J3058">
        <f t="shared" si="141"/>
        <v>42.5</v>
      </c>
      <c r="K3058">
        <v>7</v>
      </c>
      <c r="L3058">
        <f t="shared" si="142"/>
        <v>35.5</v>
      </c>
      <c r="M3058" s="4">
        <f t="shared" si="143"/>
        <v>6.4545454545454545E-2</v>
      </c>
      <c r="N3058">
        <v>550</v>
      </c>
      <c r="O3058">
        <v>500</v>
      </c>
      <c r="P3058" t="s">
        <v>25</v>
      </c>
      <c r="Q3058" t="s">
        <v>26</v>
      </c>
      <c r="R3058" t="str">
        <f>IF(COUNTIF(Sheet2!B:B, A3058) &gt; 0, "Yes", "No")</f>
        <v>No</v>
      </c>
    </row>
    <row r="3059" spans="1:18" x14ac:dyDescent="0.25">
      <c r="A3059" s="3">
        <v>45593</v>
      </c>
      <c r="B3059" t="s">
        <v>372</v>
      </c>
      <c r="C3059" t="s">
        <v>19</v>
      </c>
      <c r="D3059" t="s">
        <v>20</v>
      </c>
      <c r="E3059" t="s">
        <v>21</v>
      </c>
      <c r="F3059" t="s">
        <v>49</v>
      </c>
      <c r="G3059" t="s">
        <v>50</v>
      </c>
      <c r="H3059" t="s">
        <v>49</v>
      </c>
      <c r="I3059">
        <v>0.09</v>
      </c>
      <c r="J3059">
        <f t="shared" si="141"/>
        <v>45</v>
      </c>
      <c r="K3059">
        <v>7</v>
      </c>
      <c r="L3059">
        <f t="shared" si="142"/>
        <v>38</v>
      </c>
      <c r="M3059" s="4">
        <f t="shared" si="143"/>
        <v>6.9090909090909092E-2</v>
      </c>
      <c r="N3059">
        <v>550</v>
      </c>
      <c r="O3059">
        <v>500</v>
      </c>
      <c r="P3059" t="s">
        <v>25</v>
      </c>
      <c r="Q3059" t="s">
        <v>26</v>
      </c>
      <c r="R3059" t="str">
        <f>IF(COUNTIF(Sheet2!B:B, A3059) &gt; 0, "Yes", "No")</f>
        <v>No</v>
      </c>
    </row>
    <row r="3060" spans="1:18" x14ac:dyDescent="0.25">
      <c r="A3060" s="3">
        <v>45594</v>
      </c>
      <c r="B3060" t="s">
        <v>372</v>
      </c>
      <c r="C3060" t="s">
        <v>105</v>
      </c>
      <c r="D3060" t="s">
        <v>20</v>
      </c>
      <c r="E3060" t="s">
        <v>67</v>
      </c>
      <c r="F3060" t="s">
        <v>22</v>
      </c>
      <c r="G3060" t="s">
        <v>52</v>
      </c>
      <c r="H3060" t="s">
        <v>737</v>
      </c>
      <c r="I3060">
        <v>8.5000000000000006E-2</v>
      </c>
      <c r="J3060">
        <f t="shared" si="141"/>
        <v>34</v>
      </c>
      <c r="K3060">
        <v>3</v>
      </c>
      <c r="L3060">
        <f t="shared" si="142"/>
        <v>31</v>
      </c>
      <c r="M3060" s="4">
        <f t="shared" si="143"/>
        <v>6.8888888888888888E-2</v>
      </c>
      <c r="N3060">
        <v>450</v>
      </c>
      <c r="O3060">
        <v>400</v>
      </c>
      <c r="P3060" t="s">
        <v>25</v>
      </c>
      <c r="Q3060" t="s">
        <v>26</v>
      </c>
      <c r="R3060" t="str">
        <f>IF(COUNTIF(Sheet2!B:B, A3060) &gt; 0, "Yes", "No")</f>
        <v>No</v>
      </c>
    </row>
    <row r="3061" spans="1:18" x14ac:dyDescent="0.25">
      <c r="A3061" s="3">
        <v>45594</v>
      </c>
      <c r="B3061" t="s">
        <v>372</v>
      </c>
      <c r="C3061" t="s">
        <v>105</v>
      </c>
      <c r="D3061" t="s">
        <v>20</v>
      </c>
      <c r="E3061" t="s">
        <v>67</v>
      </c>
      <c r="F3061" t="s">
        <v>27</v>
      </c>
      <c r="G3061" t="s">
        <v>304</v>
      </c>
      <c r="H3061" t="s">
        <v>419</v>
      </c>
      <c r="I3061">
        <v>0.12</v>
      </c>
      <c r="J3061">
        <f t="shared" si="141"/>
        <v>48</v>
      </c>
      <c r="K3061">
        <v>2</v>
      </c>
      <c r="L3061">
        <f t="shared" si="142"/>
        <v>46</v>
      </c>
      <c r="M3061" s="4">
        <f t="shared" si="143"/>
        <v>0.10222222222222223</v>
      </c>
      <c r="N3061">
        <v>450</v>
      </c>
      <c r="O3061">
        <v>400</v>
      </c>
      <c r="P3061" t="s">
        <v>25</v>
      </c>
      <c r="Q3061" t="s">
        <v>26</v>
      </c>
      <c r="R3061" t="str">
        <f>IF(COUNTIF(Sheet2!B:B, A3061) &gt; 0, "Yes", "No")</f>
        <v>No</v>
      </c>
    </row>
    <row r="3062" spans="1:18" x14ac:dyDescent="0.25">
      <c r="A3062" s="3">
        <v>45594</v>
      </c>
      <c r="B3062" t="s">
        <v>372</v>
      </c>
      <c r="C3062" t="s">
        <v>105</v>
      </c>
      <c r="D3062" t="s">
        <v>20</v>
      </c>
      <c r="E3062" t="s">
        <v>67</v>
      </c>
      <c r="F3062" t="s">
        <v>30</v>
      </c>
      <c r="G3062" t="s">
        <v>55</v>
      </c>
      <c r="H3062" t="s">
        <v>134</v>
      </c>
      <c r="I3062">
        <v>0.09</v>
      </c>
      <c r="J3062">
        <f t="shared" si="141"/>
        <v>36</v>
      </c>
      <c r="K3062">
        <v>2</v>
      </c>
      <c r="L3062">
        <f t="shared" si="142"/>
        <v>34</v>
      </c>
      <c r="M3062" s="4">
        <f t="shared" si="143"/>
        <v>7.5555555555555556E-2</v>
      </c>
      <c r="N3062">
        <v>450</v>
      </c>
      <c r="O3062">
        <v>400</v>
      </c>
      <c r="P3062" t="s">
        <v>25</v>
      </c>
      <c r="Q3062" t="s">
        <v>26</v>
      </c>
      <c r="R3062" t="str">
        <f>IF(COUNTIF(Sheet2!B:B, A3062) &gt; 0, "Yes", "No")</f>
        <v>No</v>
      </c>
    </row>
    <row r="3063" spans="1:18" x14ac:dyDescent="0.25">
      <c r="A3063" s="3">
        <v>45594</v>
      </c>
      <c r="B3063" t="s">
        <v>372</v>
      </c>
      <c r="C3063" t="s">
        <v>105</v>
      </c>
      <c r="D3063" t="s">
        <v>20</v>
      </c>
      <c r="E3063" t="s">
        <v>67</v>
      </c>
      <c r="F3063" t="s">
        <v>37</v>
      </c>
      <c r="G3063" t="s">
        <v>87</v>
      </c>
      <c r="H3063" t="s">
        <v>99</v>
      </c>
      <c r="I3063">
        <v>3.5000000000000003E-2</v>
      </c>
      <c r="J3063">
        <f t="shared" si="141"/>
        <v>14.000000000000002</v>
      </c>
      <c r="K3063">
        <v>2</v>
      </c>
      <c r="L3063">
        <f t="shared" si="142"/>
        <v>12.000000000000002</v>
      </c>
      <c r="M3063" s="4">
        <f t="shared" si="143"/>
        <v>2.6666666666666672E-2</v>
      </c>
      <c r="N3063">
        <v>450</v>
      </c>
      <c r="O3063">
        <v>400</v>
      </c>
      <c r="P3063" t="s">
        <v>25</v>
      </c>
      <c r="Q3063" t="s">
        <v>26</v>
      </c>
      <c r="R3063" t="str">
        <f>IF(COUNTIF(Sheet2!B:B, A3063) &gt; 0, "Yes", "No")</f>
        <v>No</v>
      </c>
    </row>
    <row r="3064" spans="1:18" x14ac:dyDescent="0.25">
      <c r="A3064" s="3">
        <v>45594</v>
      </c>
      <c r="B3064" t="s">
        <v>372</v>
      </c>
      <c r="C3064" t="s">
        <v>105</v>
      </c>
      <c r="D3064" t="s">
        <v>20</v>
      </c>
      <c r="E3064" t="s">
        <v>67</v>
      </c>
      <c r="F3064" t="s">
        <v>40</v>
      </c>
      <c r="G3064" t="s">
        <v>41</v>
      </c>
      <c r="H3064" t="s">
        <v>42</v>
      </c>
      <c r="I3064">
        <v>0.05</v>
      </c>
      <c r="J3064">
        <f t="shared" si="141"/>
        <v>20</v>
      </c>
      <c r="K3064">
        <v>2</v>
      </c>
      <c r="L3064">
        <f t="shared" si="142"/>
        <v>18</v>
      </c>
      <c r="M3064" s="4">
        <f t="shared" si="143"/>
        <v>0.04</v>
      </c>
      <c r="N3064">
        <v>450</v>
      </c>
      <c r="O3064">
        <v>400</v>
      </c>
      <c r="P3064" t="s">
        <v>25</v>
      </c>
      <c r="Q3064" t="s">
        <v>26</v>
      </c>
      <c r="R3064" t="str">
        <f>IF(COUNTIF(Sheet2!B:B, A3064) &gt; 0, "Yes", "No")</f>
        <v>No</v>
      </c>
    </row>
    <row r="3065" spans="1:18" x14ac:dyDescent="0.25">
      <c r="A3065" s="3">
        <v>45594</v>
      </c>
      <c r="B3065" t="s">
        <v>372</v>
      </c>
      <c r="C3065" t="s">
        <v>105</v>
      </c>
      <c r="D3065" t="s">
        <v>20</v>
      </c>
      <c r="E3065" t="s">
        <v>67</v>
      </c>
      <c r="F3065" t="s">
        <v>43</v>
      </c>
      <c r="G3065" t="s">
        <v>90</v>
      </c>
      <c r="H3065" t="s">
        <v>543</v>
      </c>
      <c r="I3065">
        <v>0.11</v>
      </c>
      <c r="J3065">
        <f t="shared" si="141"/>
        <v>44</v>
      </c>
      <c r="K3065">
        <v>3</v>
      </c>
      <c r="L3065">
        <f t="shared" si="142"/>
        <v>41</v>
      </c>
      <c r="M3065" s="4">
        <f t="shared" si="143"/>
        <v>9.1111111111111115E-2</v>
      </c>
      <c r="N3065">
        <v>450</v>
      </c>
      <c r="O3065">
        <v>400</v>
      </c>
      <c r="P3065" t="s">
        <v>25</v>
      </c>
      <c r="Q3065" t="s">
        <v>26</v>
      </c>
      <c r="R3065" t="str">
        <f>IF(COUNTIF(Sheet2!B:B, A3065) &gt; 0, "Yes", "No")</f>
        <v>No</v>
      </c>
    </row>
    <row r="3066" spans="1:18" x14ac:dyDescent="0.25">
      <c r="A3066" s="3">
        <v>45594</v>
      </c>
      <c r="B3066" t="s">
        <v>372</v>
      </c>
      <c r="C3066" t="s">
        <v>105</v>
      </c>
      <c r="D3066" t="s">
        <v>20</v>
      </c>
      <c r="E3066" t="s">
        <v>67</v>
      </c>
      <c r="F3066" t="s">
        <v>46</v>
      </c>
      <c r="G3066" t="s">
        <v>103</v>
      </c>
      <c r="H3066" t="s">
        <v>309</v>
      </c>
      <c r="I3066">
        <v>0.09</v>
      </c>
      <c r="J3066">
        <f t="shared" si="141"/>
        <v>36</v>
      </c>
      <c r="K3066">
        <v>1</v>
      </c>
      <c r="L3066">
        <f t="shared" si="142"/>
        <v>35</v>
      </c>
      <c r="M3066" s="4">
        <f t="shared" si="143"/>
        <v>7.7777777777777779E-2</v>
      </c>
      <c r="N3066">
        <v>450</v>
      </c>
      <c r="O3066">
        <v>400</v>
      </c>
      <c r="P3066" t="s">
        <v>25</v>
      </c>
      <c r="Q3066" t="s">
        <v>26</v>
      </c>
      <c r="R3066" t="str">
        <f>IF(COUNTIF(Sheet2!B:B, A3066) &gt; 0, "Yes", "No")</f>
        <v>No</v>
      </c>
    </row>
    <row r="3067" spans="1:18" x14ac:dyDescent="0.25">
      <c r="A3067" s="3">
        <v>45594</v>
      </c>
      <c r="B3067" t="s">
        <v>372</v>
      </c>
      <c r="C3067" t="s">
        <v>105</v>
      </c>
      <c r="D3067" t="s">
        <v>20</v>
      </c>
      <c r="E3067" t="s">
        <v>67</v>
      </c>
      <c r="F3067" t="s">
        <v>49</v>
      </c>
      <c r="G3067" t="s">
        <v>50</v>
      </c>
      <c r="H3067" t="s">
        <v>49</v>
      </c>
      <c r="I3067">
        <v>0.09</v>
      </c>
      <c r="J3067">
        <f t="shared" si="141"/>
        <v>36</v>
      </c>
      <c r="K3067">
        <v>2</v>
      </c>
      <c r="L3067">
        <f t="shared" si="142"/>
        <v>34</v>
      </c>
      <c r="M3067" s="4">
        <f t="shared" si="143"/>
        <v>7.5555555555555556E-2</v>
      </c>
      <c r="N3067">
        <v>450</v>
      </c>
      <c r="O3067">
        <v>400</v>
      </c>
      <c r="P3067" t="s">
        <v>25</v>
      </c>
      <c r="Q3067" t="s">
        <v>26</v>
      </c>
      <c r="R3067" t="str">
        <f>IF(COUNTIF(Sheet2!B:B, A3067) &gt; 0, "Yes", "No")</f>
        <v>No</v>
      </c>
    </row>
    <row r="3068" spans="1:18" x14ac:dyDescent="0.25">
      <c r="A3068" s="3">
        <v>45596</v>
      </c>
      <c r="B3068" t="s">
        <v>372</v>
      </c>
      <c r="C3068" t="s">
        <v>66</v>
      </c>
      <c r="D3068" t="s">
        <v>20</v>
      </c>
      <c r="E3068" t="s">
        <v>67</v>
      </c>
      <c r="F3068" t="s">
        <v>22</v>
      </c>
      <c r="G3068" t="s">
        <v>52</v>
      </c>
      <c r="H3068" t="s">
        <v>738</v>
      </c>
      <c r="I3068">
        <v>8.5000000000000006E-2</v>
      </c>
      <c r="J3068">
        <f t="shared" si="141"/>
        <v>15.3</v>
      </c>
      <c r="K3068">
        <v>6</v>
      </c>
      <c r="L3068">
        <f t="shared" si="142"/>
        <v>9.3000000000000007</v>
      </c>
      <c r="M3068" s="4">
        <f t="shared" si="143"/>
        <v>4.6500000000000007E-2</v>
      </c>
      <c r="N3068">
        <v>200</v>
      </c>
      <c r="O3068">
        <v>180</v>
      </c>
      <c r="P3068" t="s">
        <v>341</v>
      </c>
      <c r="Q3068" t="s">
        <v>284</v>
      </c>
      <c r="R3068" t="str">
        <f>IF(COUNTIF(Sheet2!B:B, A3068) &gt; 0, "Yes", "No")</f>
        <v>No</v>
      </c>
    </row>
    <row r="3069" spans="1:18" x14ac:dyDescent="0.25">
      <c r="A3069" s="3">
        <v>45596</v>
      </c>
      <c r="B3069" t="s">
        <v>372</v>
      </c>
      <c r="C3069" t="s">
        <v>66</v>
      </c>
      <c r="D3069" t="s">
        <v>20</v>
      </c>
      <c r="E3069" t="s">
        <v>67</v>
      </c>
      <c r="F3069" t="s">
        <v>27</v>
      </c>
      <c r="G3069" t="s">
        <v>144</v>
      </c>
      <c r="H3069" t="s">
        <v>410</v>
      </c>
      <c r="I3069">
        <v>0.11</v>
      </c>
      <c r="J3069">
        <f t="shared" si="141"/>
        <v>19.8</v>
      </c>
      <c r="K3069">
        <v>4</v>
      </c>
      <c r="L3069">
        <f t="shared" si="142"/>
        <v>15.8</v>
      </c>
      <c r="M3069" s="4">
        <f t="shared" si="143"/>
        <v>7.9000000000000001E-2</v>
      </c>
      <c r="N3069">
        <v>200</v>
      </c>
      <c r="O3069">
        <v>180</v>
      </c>
      <c r="P3069" t="s">
        <v>341</v>
      </c>
      <c r="Q3069" t="s">
        <v>284</v>
      </c>
      <c r="R3069" t="str">
        <f>IF(COUNTIF(Sheet2!B:B, A3069) &gt; 0, "Yes", "No")</f>
        <v>No</v>
      </c>
    </row>
    <row r="3070" spans="1:18" x14ac:dyDescent="0.25">
      <c r="A3070" s="3">
        <v>45596</v>
      </c>
      <c r="B3070" t="s">
        <v>372</v>
      </c>
      <c r="C3070" t="s">
        <v>66</v>
      </c>
      <c r="D3070" t="s">
        <v>20</v>
      </c>
      <c r="E3070" t="s">
        <v>67</v>
      </c>
      <c r="F3070" t="s">
        <v>30</v>
      </c>
      <c r="G3070" t="s">
        <v>31</v>
      </c>
      <c r="H3070" t="s">
        <v>31</v>
      </c>
      <c r="I3070">
        <v>0.09</v>
      </c>
      <c r="J3070">
        <f t="shared" si="141"/>
        <v>16.2</v>
      </c>
      <c r="K3070">
        <v>3</v>
      </c>
      <c r="L3070">
        <f t="shared" si="142"/>
        <v>13.2</v>
      </c>
      <c r="M3070" s="4">
        <f t="shared" si="143"/>
        <v>6.6000000000000003E-2</v>
      </c>
      <c r="N3070">
        <v>200</v>
      </c>
      <c r="O3070">
        <v>180</v>
      </c>
      <c r="P3070" t="s">
        <v>341</v>
      </c>
      <c r="Q3070" t="s">
        <v>284</v>
      </c>
      <c r="R3070" t="str">
        <f>IF(COUNTIF(Sheet2!B:B, A3070) &gt; 0, "Yes", "No")</f>
        <v>No</v>
      </c>
    </row>
    <row r="3071" spans="1:18" x14ac:dyDescent="0.25">
      <c r="A3071" s="3">
        <v>45596</v>
      </c>
      <c r="B3071" t="s">
        <v>372</v>
      </c>
      <c r="C3071" t="s">
        <v>66</v>
      </c>
      <c r="D3071" t="s">
        <v>20</v>
      </c>
      <c r="E3071" t="s">
        <v>67</v>
      </c>
      <c r="F3071" t="s">
        <v>37</v>
      </c>
      <c r="G3071" t="s">
        <v>117</v>
      </c>
      <c r="H3071" t="s">
        <v>421</v>
      </c>
      <c r="I3071">
        <v>3.5000000000000003E-2</v>
      </c>
      <c r="J3071">
        <f t="shared" si="141"/>
        <v>6.3000000000000007</v>
      </c>
      <c r="K3071">
        <v>3</v>
      </c>
      <c r="L3071">
        <f t="shared" si="142"/>
        <v>3.3000000000000007</v>
      </c>
      <c r="M3071" s="4">
        <f t="shared" si="143"/>
        <v>1.6500000000000004E-2</v>
      </c>
      <c r="N3071">
        <v>200</v>
      </c>
      <c r="O3071">
        <v>180</v>
      </c>
      <c r="P3071" t="s">
        <v>341</v>
      </c>
      <c r="Q3071" t="s">
        <v>284</v>
      </c>
      <c r="R3071" t="str">
        <f>IF(COUNTIF(Sheet2!B:B, A3071) &gt; 0, "Yes", "No")</f>
        <v>No</v>
      </c>
    </row>
    <row r="3072" spans="1:18" x14ac:dyDescent="0.25">
      <c r="A3072" s="3">
        <v>45596</v>
      </c>
      <c r="B3072" t="s">
        <v>372</v>
      </c>
      <c r="C3072" t="s">
        <v>66</v>
      </c>
      <c r="D3072" t="s">
        <v>20</v>
      </c>
      <c r="E3072" t="s">
        <v>67</v>
      </c>
      <c r="F3072" t="s">
        <v>40</v>
      </c>
      <c r="G3072" t="s">
        <v>61</v>
      </c>
      <c r="H3072" t="s">
        <v>119</v>
      </c>
      <c r="I3072">
        <v>0.05</v>
      </c>
      <c r="J3072">
        <f t="shared" si="141"/>
        <v>9</v>
      </c>
      <c r="K3072">
        <v>6</v>
      </c>
      <c r="L3072">
        <f t="shared" si="142"/>
        <v>3</v>
      </c>
      <c r="M3072" s="4">
        <f t="shared" si="143"/>
        <v>1.4999999999999999E-2</v>
      </c>
      <c r="N3072">
        <v>200</v>
      </c>
      <c r="O3072">
        <v>180</v>
      </c>
      <c r="P3072" t="s">
        <v>341</v>
      </c>
      <c r="Q3072" t="s">
        <v>284</v>
      </c>
      <c r="R3072" t="str">
        <f>IF(COUNTIF(Sheet2!B:B, A3072) &gt; 0, "Yes", "No")</f>
        <v>No</v>
      </c>
    </row>
    <row r="3073" spans="1:18" x14ac:dyDescent="0.25">
      <c r="A3073" s="3">
        <v>45596</v>
      </c>
      <c r="B3073" t="s">
        <v>372</v>
      </c>
      <c r="C3073" t="s">
        <v>66</v>
      </c>
      <c r="D3073" t="s">
        <v>20</v>
      </c>
      <c r="E3073" t="s">
        <v>67</v>
      </c>
      <c r="F3073" t="s">
        <v>43</v>
      </c>
      <c r="G3073" t="s">
        <v>159</v>
      </c>
      <c r="H3073" t="s">
        <v>160</v>
      </c>
      <c r="I3073">
        <v>0.11</v>
      </c>
      <c r="J3073">
        <f t="shared" si="141"/>
        <v>19.8</v>
      </c>
      <c r="K3073">
        <v>4</v>
      </c>
      <c r="L3073">
        <f t="shared" si="142"/>
        <v>15.8</v>
      </c>
      <c r="M3073" s="4">
        <f t="shared" si="143"/>
        <v>7.9000000000000001E-2</v>
      </c>
      <c r="N3073">
        <v>200</v>
      </c>
      <c r="O3073">
        <v>180</v>
      </c>
      <c r="P3073" t="s">
        <v>341</v>
      </c>
      <c r="Q3073" t="s">
        <v>284</v>
      </c>
      <c r="R3073" t="str">
        <f>IF(COUNTIF(Sheet2!B:B, A3073) &gt; 0, "Yes", "No")</f>
        <v>No</v>
      </c>
    </row>
    <row r="3074" spans="1:18" x14ac:dyDescent="0.25">
      <c r="A3074" s="3">
        <v>45596</v>
      </c>
      <c r="B3074" t="s">
        <v>372</v>
      </c>
      <c r="C3074" t="s">
        <v>66</v>
      </c>
      <c r="D3074" t="s">
        <v>20</v>
      </c>
      <c r="E3074" t="s">
        <v>67</v>
      </c>
      <c r="F3074" t="s">
        <v>46</v>
      </c>
      <c r="G3074" t="s">
        <v>167</v>
      </c>
      <c r="H3074" t="s">
        <v>167</v>
      </c>
      <c r="I3074">
        <v>8.5000000000000006E-2</v>
      </c>
      <c r="J3074">
        <f t="shared" si="141"/>
        <v>15.3</v>
      </c>
      <c r="K3074">
        <v>5</v>
      </c>
      <c r="L3074">
        <f t="shared" si="142"/>
        <v>10.3</v>
      </c>
      <c r="M3074" s="4">
        <f t="shared" si="143"/>
        <v>5.1500000000000004E-2</v>
      </c>
      <c r="N3074">
        <v>200</v>
      </c>
      <c r="O3074">
        <v>180</v>
      </c>
      <c r="P3074" t="s">
        <v>341</v>
      </c>
      <c r="Q3074" t="s">
        <v>284</v>
      </c>
      <c r="R3074" t="str">
        <f>IF(COUNTIF(Sheet2!B:B, A3074) &gt; 0, "Yes", "No")</f>
        <v>No</v>
      </c>
    </row>
    <row r="3075" spans="1:18" x14ac:dyDescent="0.25">
      <c r="A3075" s="3">
        <v>45596</v>
      </c>
      <c r="B3075" t="s">
        <v>372</v>
      </c>
      <c r="C3075" t="s">
        <v>66</v>
      </c>
      <c r="D3075" t="s">
        <v>20</v>
      </c>
      <c r="E3075" t="s">
        <v>67</v>
      </c>
      <c r="F3075" t="s">
        <v>49</v>
      </c>
      <c r="G3075" t="s">
        <v>50</v>
      </c>
      <c r="H3075" t="s">
        <v>49</v>
      </c>
      <c r="I3075">
        <v>0.09</v>
      </c>
      <c r="J3075">
        <f t="shared" ref="J3075:J3138" si="144">I3075*O3075</f>
        <v>16.2</v>
      </c>
      <c r="K3075">
        <v>5</v>
      </c>
      <c r="L3075">
        <f t="shared" ref="L3075:L3138" si="145">J3075-K3075</f>
        <v>11.2</v>
      </c>
      <c r="M3075" s="4">
        <f t="shared" ref="M3075:M3138" si="146">((I3075*O3075)-K3075)/N3075</f>
        <v>5.5999999999999994E-2</v>
      </c>
      <c r="N3075">
        <v>200</v>
      </c>
      <c r="O3075">
        <v>180</v>
      </c>
      <c r="P3075" t="s">
        <v>341</v>
      </c>
      <c r="Q3075" t="s">
        <v>284</v>
      </c>
      <c r="R3075" t="str">
        <f>IF(COUNTIF(Sheet2!B:B, A3075) &gt; 0, "Yes", "No")</f>
        <v>No</v>
      </c>
    </row>
    <row r="3076" spans="1:18" x14ac:dyDescent="0.25">
      <c r="A3076" s="3">
        <v>45600</v>
      </c>
      <c r="B3076" t="s">
        <v>386</v>
      </c>
      <c r="C3076" t="s">
        <v>19</v>
      </c>
      <c r="D3076" t="s">
        <v>20</v>
      </c>
      <c r="E3076" t="s">
        <v>21</v>
      </c>
      <c r="F3076" t="s">
        <v>22</v>
      </c>
      <c r="G3076" t="s">
        <v>94</v>
      </c>
      <c r="H3076" t="s">
        <v>168</v>
      </c>
      <c r="I3076">
        <v>8.5000000000000006E-2</v>
      </c>
      <c r="J3076">
        <f t="shared" si="144"/>
        <v>45.900000000000006</v>
      </c>
      <c r="K3076">
        <v>9</v>
      </c>
      <c r="L3076">
        <f t="shared" si="145"/>
        <v>36.900000000000006</v>
      </c>
      <c r="M3076" s="4">
        <f t="shared" si="146"/>
        <v>6.1500000000000006E-2</v>
      </c>
      <c r="N3076">
        <v>600</v>
      </c>
      <c r="O3076">
        <v>540</v>
      </c>
      <c r="P3076" t="s">
        <v>25</v>
      </c>
      <c r="Q3076" t="s">
        <v>26</v>
      </c>
      <c r="R3076" t="str">
        <f>IF(COUNTIF(Sheet2!B:B, A3076) &gt; 0, "Yes", "No")</f>
        <v>No</v>
      </c>
    </row>
    <row r="3077" spans="1:18" x14ac:dyDescent="0.25">
      <c r="A3077" s="3">
        <v>45600</v>
      </c>
      <c r="B3077" t="s">
        <v>386</v>
      </c>
      <c r="C3077" t="s">
        <v>19</v>
      </c>
      <c r="D3077" t="s">
        <v>20</v>
      </c>
      <c r="E3077" t="s">
        <v>21</v>
      </c>
      <c r="F3077" t="s">
        <v>27</v>
      </c>
      <c r="G3077" t="s">
        <v>28</v>
      </c>
      <c r="H3077" t="s">
        <v>739</v>
      </c>
      <c r="I3077">
        <v>0.11</v>
      </c>
      <c r="J3077">
        <f t="shared" si="144"/>
        <v>59.4</v>
      </c>
      <c r="K3077">
        <v>11</v>
      </c>
      <c r="L3077">
        <f t="shared" si="145"/>
        <v>48.4</v>
      </c>
      <c r="M3077" s="4">
        <f t="shared" si="146"/>
        <v>8.0666666666666664E-2</v>
      </c>
      <c r="N3077">
        <v>600</v>
      </c>
      <c r="O3077">
        <v>540</v>
      </c>
      <c r="P3077" t="s">
        <v>25</v>
      </c>
      <c r="Q3077" t="s">
        <v>26</v>
      </c>
      <c r="R3077" t="str">
        <f>IF(COUNTIF(Sheet2!B:B, A3077) &gt; 0, "Yes", "No")</f>
        <v>No</v>
      </c>
    </row>
    <row r="3078" spans="1:18" x14ac:dyDescent="0.25">
      <c r="A3078" s="3">
        <v>45600</v>
      </c>
      <c r="B3078" t="s">
        <v>386</v>
      </c>
      <c r="C3078" t="s">
        <v>19</v>
      </c>
      <c r="D3078" t="s">
        <v>20</v>
      </c>
      <c r="E3078" t="s">
        <v>21</v>
      </c>
      <c r="F3078" t="s">
        <v>30</v>
      </c>
      <c r="G3078" t="s">
        <v>31</v>
      </c>
      <c r="H3078" t="s">
        <v>31</v>
      </c>
      <c r="I3078">
        <v>0.09</v>
      </c>
      <c r="J3078">
        <f t="shared" si="144"/>
        <v>48.6</v>
      </c>
      <c r="K3078">
        <v>2</v>
      </c>
      <c r="L3078">
        <f t="shared" si="145"/>
        <v>46.6</v>
      </c>
      <c r="M3078" s="4">
        <f t="shared" si="146"/>
        <v>7.7666666666666676E-2</v>
      </c>
      <c r="N3078">
        <v>600</v>
      </c>
      <c r="O3078">
        <v>540</v>
      </c>
      <c r="P3078" t="s">
        <v>25</v>
      </c>
      <c r="Q3078" t="s">
        <v>26</v>
      </c>
      <c r="R3078" t="str">
        <f>IF(COUNTIF(Sheet2!B:B, A3078) &gt; 0, "Yes", "No")</f>
        <v>No</v>
      </c>
    </row>
    <row r="3079" spans="1:18" x14ac:dyDescent="0.25">
      <c r="A3079" s="3">
        <v>45600</v>
      </c>
      <c r="B3079" t="s">
        <v>386</v>
      </c>
      <c r="C3079" t="s">
        <v>19</v>
      </c>
      <c r="D3079" t="s">
        <v>33</v>
      </c>
      <c r="E3079" t="s">
        <v>21</v>
      </c>
      <c r="F3079" t="s">
        <v>34</v>
      </c>
      <c r="G3079" t="s">
        <v>35</v>
      </c>
      <c r="H3079" t="s">
        <v>241</v>
      </c>
      <c r="I3079">
        <v>0.15</v>
      </c>
      <c r="J3079">
        <f t="shared" si="144"/>
        <v>49.5</v>
      </c>
      <c r="K3079">
        <v>7</v>
      </c>
      <c r="L3079">
        <f t="shared" si="145"/>
        <v>42.5</v>
      </c>
      <c r="M3079" s="4">
        <f t="shared" si="146"/>
        <v>0.10119047619047619</v>
      </c>
      <c r="N3079">
        <v>420</v>
      </c>
      <c r="O3079">
        <v>330</v>
      </c>
      <c r="P3079" t="s">
        <v>25</v>
      </c>
      <c r="Q3079" t="s">
        <v>26</v>
      </c>
      <c r="R3079" t="str">
        <f>IF(COUNTIF(Sheet2!B:B, A3079) &gt; 0, "Yes", "No")</f>
        <v>No</v>
      </c>
    </row>
    <row r="3080" spans="1:18" x14ac:dyDescent="0.25">
      <c r="A3080" s="3">
        <v>45600</v>
      </c>
      <c r="B3080" t="s">
        <v>386</v>
      </c>
      <c r="C3080" t="s">
        <v>19</v>
      </c>
      <c r="D3080" t="s">
        <v>20</v>
      </c>
      <c r="E3080" t="s">
        <v>21</v>
      </c>
      <c r="F3080" t="s">
        <v>37</v>
      </c>
      <c r="G3080" t="s">
        <v>38</v>
      </c>
      <c r="H3080" t="s">
        <v>39</v>
      </c>
      <c r="I3080">
        <v>0.03</v>
      </c>
      <c r="J3080">
        <f t="shared" si="144"/>
        <v>16.2</v>
      </c>
      <c r="K3080">
        <v>6</v>
      </c>
      <c r="L3080">
        <f t="shared" si="145"/>
        <v>10.199999999999999</v>
      </c>
      <c r="M3080" s="4">
        <f t="shared" si="146"/>
        <v>1.6999999999999998E-2</v>
      </c>
      <c r="N3080">
        <v>600</v>
      </c>
      <c r="O3080">
        <v>540</v>
      </c>
      <c r="P3080" t="s">
        <v>25</v>
      </c>
      <c r="Q3080" t="s">
        <v>26</v>
      </c>
      <c r="R3080" t="str">
        <f>IF(COUNTIF(Sheet2!B:B, A3080) &gt; 0, "Yes", "No")</f>
        <v>No</v>
      </c>
    </row>
    <row r="3081" spans="1:18" x14ac:dyDescent="0.25">
      <c r="A3081" s="3">
        <v>45600</v>
      </c>
      <c r="B3081" t="s">
        <v>386</v>
      </c>
      <c r="C3081" t="s">
        <v>19</v>
      </c>
      <c r="D3081" t="s">
        <v>20</v>
      </c>
      <c r="E3081" t="s">
        <v>21</v>
      </c>
      <c r="F3081" t="s">
        <v>40</v>
      </c>
      <c r="G3081" t="s">
        <v>137</v>
      </c>
      <c r="H3081" t="s">
        <v>687</v>
      </c>
      <c r="I3081">
        <v>4.4999999999999998E-2</v>
      </c>
      <c r="J3081">
        <f t="shared" si="144"/>
        <v>24.3</v>
      </c>
      <c r="K3081">
        <v>6</v>
      </c>
      <c r="L3081">
        <f t="shared" si="145"/>
        <v>18.3</v>
      </c>
      <c r="M3081" s="4">
        <f t="shared" si="146"/>
        <v>3.0500000000000003E-2</v>
      </c>
      <c r="N3081">
        <v>600</v>
      </c>
      <c r="O3081">
        <v>540</v>
      </c>
      <c r="P3081" t="s">
        <v>25</v>
      </c>
      <c r="Q3081" t="s">
        <v>26</v>
      </c>
      <c r="R3081" t="str">
        <f>IF(COUNTIF(Sheet2!B:B, A3081) &gt; 0, "Yes", "No")</f>
        <v>No</v>
      </c>
    </row>
    <row r="3082" spans="1:18" x14ac:dyDescent="0.25">
      <c r="A3082" s="3">
        <v>45600</v>
      </c>
      <c r="B3082" t="s">
        <v>386</v>
      </c>
      <c r="C3082" t="s">
        <v>19</v>
      </c>
      <c r="D3082" t="s">
        <v>20</v>
      </c>
      <c r="E3082" t="s">
        <v>21</v>
      </c>
      <c r="F3082" t="s">
        <v>43</v>
      </c>
      <c r="G3082" t="s">
        <v>111</v>
      </c>
      <c r="H3082" t="s">
        <v>325</v>
      </c>
      <c r="I3082">
        <v>0.11</v>
      </c>
      <c r="J3082">
        <f t="shared" si="144"/>
        <v>59.4</v>
      </c>
      <c r="K3082">
        <v>10</v>
      </c>
      <c r="L3082">
        <f t="shared" si="145"/>
        <v>49.4</v>
      </c>
      <c r="M3082" s="4">
        <f t="shared" si="146"/>
        <v>8.2333333333333328E-2</v>
      </c>
      <c r="N3082">
        <v>600</v>
      </c>
      <c r="O3082">
        <v>540</v>
      </c>
      <c r="P3082" t="s">
        <v>25</v>
      </c>
      <c r="Q3082" t="s">
        <v>26</v>
      </c>
      <c r="R3082" t="str">
        <f>IF(COUNTIF(Sheet2!B:B, A3082) &gt; 0, "Yes", "No")</f>
        <v>No</v>
      </c>
    </row>
    <row r="3083" spans="1:18" x14ac:dyDescent="0.25">
      <c r="A3083" s="3">
        <v>45600</v>
      </c>
      <c r="B3083" t="s">
        <v>386</v>
      </c>
      <c r="C3083" t="s">
        <v>19</v>
      </c>
      <c r="D3083" t="s">
        <v>20</v>
      </c>
      <c r="E3083" t="s">
        <v>21</v>
      </c>
      <c r="F3083" t="s">
        <v>46</v>
      </c>
      <c r="G3083" t="s">
        <v>92</v>
      </c>
      <c r="H3083" t="s">
        <v>740</v>
      </c>
      <c r="I3083">
        <v>8.5000000000000006E-2</v>
      </c>
      <c r="J3083">
        <f t="shared" si="144"/>
        <v>45.900000000000006</v>
      </c>
      <c r="K3083">
        <v>5</v>
      </c>
      <c r="L3083">
        <f t="shared" si="145"/>
        <v>40.900000000000006</v>
      </c>
      <c r="M3083" s="4">
        <f t="shared" si="146"/>
        <v>6.8166666666666681E-2</v>
      </c>
      <c r="N3083">
        <v>600</v>
      </c>
      <c r="O3083">
        <v>540</v>
      </c>
      <c r="P3083" t="s">
        <v>25</v>
      </c>
      <c r="Q3083" t="s">
        <v>26</v>
      </c>
      <c r="R3083" t="str">
        <f>IF(COUNTIF(Sheet2!B:B, A3083) &gt; 0, "Yes", "No")</f>
        <v>No</v>
      </c>
    </row>
    <row r="3084" spans="1:18" x14ac:dyDescent="0.25">
      <c r="A3084" s="3">
        <v>45600</v>
      </c>
      <c r="B3084" t="s">
        <v>386</v>
      </c>
      <c r="C3084" t="s">
        <v>19</v>
      </c>
      <c r="D3084" t="s">
        <v>20</v>
      </c>
      <c r="E3084" t="s">
        <v>21</v>
      </c>
      <c r="F3084" t="s">
        <v>49</v>
      </c>
      <c r="G3084" t="s">
        <v>50</v>
      </c>
      <c r="H3084" t="s">
        <v>49</v>
      </c>
      <c r="I3084">
        <v>0.09</v>
      </c>
      <c r="J3084">
        <f t="shared" si="144"/>
        <v>48.6</v>
      </c>
      <c r="K3084">
        <v>9</v>
      </c>
      <c r="L3084">
        <f t="shared" si="145"/>
        <v>39.6</v>
      </c>
      <c r="M3084" s="4">
        <f t="shared" si="146"/>
        <v>6.6000000000000003E-2</v>
      </c>
      <c r="N3084">
        <v>600</v>
      </c>
      <c r="O3084">
        <v>540</v>
      </c>
      <c r="P3084" t="s">
        <v>25</v>
      </c>
      <c r="Q3084" t="s">
        <v>26</v>
      </c>
      <c r="R3084" t="str">
        <f>IF(COUNTIF(Sheet2!B:B, A3084) &gt; 0, "Yes", "No")</f>
        <v>No</v>
      </c>
    </row>
    <row r="3085" spans="1:18" x14ac:dyDescent="0.25">
      <c r="A3085" s="3">
        <v>45601</v>
      </c>
      <c r="B3085" t="s">
        <v>386</v>
      </c>
      <c r="C3085" t="s">
        <v>105</v>
      </c>
      <c r="D3085" t="s">
        <v>20</v>
      </c>
      <c r="E3085" t="s">
        <v>67</v>
      </c>
      <c r="F3085" t="s">
        <v>22</v>
      </c>
      <c r="G3085" t="s">
        <v>52</v>
      </c>
      <c r="H3085" t="s">
        <v>53</v>
      </c>
      <c r="I3085">
        <v>8.5000000000000006E-2</v>
      </c>
      <c r="J3085">
        <f t="shared" si="144"/>
        <v>42.5</v>
      </c>
      <c r="K3085">
        <v>8</v>
      </c>
      <c r="L3085">
        <f t="shared" si="145"/>
        <v>34.5</v>
      </c>
      <c r="M3085" s="4">
        <f t="shared" si="146"/>
        <v>6.2727272727272729E-2</v>
      </c>
      <c r="N3085">
        <v>550</v>
      </c>
      <c r="O3085">
        <v>500</v>
      </c>
      <c r="P3085" t="s">
        <v>25</v>
      </c>
      <c r="Q3085" t="s">
        <v>26</v>
      </c>
      <c r="R3085" t="str">
        <f>IF(COUNTIF(Sheet2!B:B, A3085) &gt; 0, "Yes", "No")</f>
        <v>No</v>
      </c>
    </row>
    <row r="3086" spans="1:18" x14ac:dyDescent="0.25">
      <c r="A3086" s="3">
        <v>45601</v>
      </c>
      <c r="B3086" t="s">
        <v>386</v>
      </c>
      <c r="C3086" t="s">
        <v>105</v>
      </c>
      <c r="D3086" t="s">
        <v>20</v>
      </c>
      <c r="E3086" t="s">
        <v>67</v>
      </c>
      <c r="F3086" t="s">
        <v>27</v>
      </c>
      <c r="G3086" t="s">
        <v>304</v>
      </c>
      <c r="H3086" t="s">
        <v>613</v>
      </c>
      <c r="I3086">
        <v>0.12</v>
      </c>
      <c r="J3086">
        <f t="shared" si="144"/>
        <v>60</v>
      </c>
      <c r="K3086">
        <v>7</v>
      </c>
      <c r="L3086">
        <f t="shared" si="145"/>
        <v>53</v>
      </c>
      <c r="M3086" s="4">
        <f t="shared" si="146"/>
        <v>9.636363636363636E-2</v>
      </c>
      <c r="N3086">
        <v>550</v>
      </c>
      <c r="O3086">
        <v>500</v>
      </c>
      <c r="P3086" t="s">
        <v>25</v>
      </c>
      <c r="Q3086" t="s">
        <v>26</v>
      </c>
      <c r="R3086" t="str">
        <f>IF(COUNTIF(Sheet2!B:B, A3086) &gt; 0, "Yes", "No")</f>
        <v>No</v>
      </c>
    </row>
    <row r="3087" spans="1:18" x14ac:dyDescent="0.25">
      <c r="A3087" s="3">
        <v>45601</v>
      </c>
      <c r="B3087" t="s">
        <v>386</v>
      </c>
      <c r="C3087" t="s">
        <v>105</v>
      </c>
      <c r="D3087" t="s">
        <v>20</v>
      </c>
      <c r="E3087" t="s">
        <v>67</v>
      </c>
      <c r="F3087" t="s">
        <v>30</v>
      </c>
      <c r="G3087" t="s">
        <v>55</v>
      </c>
      <c r="H3087" t="s">
        <v>183</v>
      </c>
      <c r="I3087">
        <v>0.09</v>
      </c>
      <c r="J3087">
        <f t="shared" si="144"/>
        <v>45</v>
      </c>
      <c r="K3087">
        <v>3</v>
      </c>
      <c r="L3087">
        <f t="shared" si="145"/>
        <v>42</v>
      </c>
      <c r="M3087" s="4">
        <f t="shared" si="146"/>
        <v>7.636363636363637E-2</v>
      </c>
      <c r="N3087">
        <v>550</v>
      </c>
      <c r="O3087">
        <v>500</v>
      </c>
      <c r="P3087" t="s">
        <v>25</v>
      </c>
      <c r="Q3087" t="s">
        <v>26</v>
      </c>
      <c r="R3087" t="str">
        <f>IF(COUNTIF(Sheet2!B:B, A3087) &gt; 0, "Yes", "No")</f>
        <v>No</v>
      </c>
    </row>
    <row r="3088" spans="1:18" x14ac:dyDescent="0.25">
      <c r="A3088" s="3">
        <v>45601</v>
      </c>
      <c r="B3088" t="s">
        <v>386</v>
      </c>
      <c r="C3088" t="s">
        <v>105</v>
      </c>
      <c r="D3088" t="s">
        <v>20</v>
      </c>
      <c r="E3088" t="s">
        <v>67</v>
      </c>
      <c r="F3088" t="s">
        <v>37</v>
      </c>
      <c r="G3088" t="s">
        <v>59</v>
      </c>
      <c r="H3088" t="s">
        <v>60</v>
      </c>
      <c r="I3088">
        <v>3.5000000000000003E-2</v>
      </c>
      <c r="J3088">
        <f t="shared" si="144"/>
        <v>17.5</v>
      </c>
      <c r="K3088">
        <v>5</v>
      </c>
      <c r="L3088">
        <f t="shared" si="145"/>
        <v>12.5</v>
      </c>
      <c r="M3088" s="4">
        <f t="shared" si="146"/>
        <v>2.2727272727272728E-2</v>
      </c>
      <c r="N3088">
        <v>550</v>
      </c>
      <c r="O3088">
        <v>500</v>
      </c>
      <c r="P3088" t="s">
        <v>25</v>
      </c>
      <c r="Q3088" t="s">
        <v>26</v>
      </c>
      <c r="R3088" t="str">
        <f>IF(COUNTIF(Sheet2!B:B, A3088) &gt; 0, "Yes", "No")</f>
        <v>No</v>
      </c>
    </row>
    <row r="3089" spans="1:18" x14ac:dyDescent="0.25">
      <c r="A3089" s="3">
        <v>45601</v>
      </c>
      <c r="B3089" t="s">
        <v>386</v>
      </c>
      <c r="C3089" t="s">
        <v>105</v>
      </c>
      <c r="D3089" t="s">
        <v>20</v>
      </c>
      <c r="E3089" t="s">
        <v>67</v>
      </c>
      <c r="F3089" t="s">
        <v>40</v>
      </c>
      <c r="G3089" t="s">
        <v>137</v>
      </c>
      <c r="H3089" t="s">
        <v>197</v>
      </c>
      <c r="I3089">
        <v>0.05</v>
      </c>
      <c r="J3089">
        <f t="shared" si="144"/>
        <v>25</v>
      </c>
      <c r="K3089">
        <v>8</v>
      </c>
      <c r="L3089">
        <f t="shared" si="145"/>
        <v>17</v>
      </c>
      <c r="M3089" s="4">
        <f t="shared" si="146"/>
        <v>3.090909090909091E-2</v>
      </c>
      <c r="N3089">
        <v>550</v>
      </c>
      <c r="O3089">
        <v>500</v>
      </c>
      <c r="P3089" t="s">
        <v>25</v>
      </c>
      <c r="Q3089" t="s">
        <v>26</v>
      </c>
      <c r="R3089" t="str">
        <f>IF(COUNTIF(Sheet2!B:B, A3089) &gt; 0, "Yes", "No")</f>
        <v>No</v>
      </c>
    </row>
    <row r="3090" spans="1:18" x14ac:dyDescent="0.25">
      <c r="A3090" s="3">
        <v>45601</v>
      </c>
      <c r="B3090" t="s">
        <v>386</v>
      </c>
      <c r="C3090" t="s">
        <v>105</v>
      </c>
      <c r="D3090" t="s">
        <v>20</v>
      </c>
      <c r="E3090" t="s">
        <v>67</v>
      </c>
      <c r="F3090" t="s">
        <v>43</v>
      </c>
      <c r="G3090" t="s">
        <v>90</v>
      </c>
      <c r="H3090" t="s">
        <v>726</v>
      </c>
      <c r="I3090">
        <v>0.11</v>
      </c>
      <c r="J3090">
        <f t="shared" si="144"/>
        <v>55</v>
      </c>
      <c r="K3090">
        <v>7</v>
      </c>
      <c r="L3090">
        <f t="shared" si="145"/>
        <v>48</v>
      </c>
      <c r="M3090" s="4">
        <f t="shared" si="146"/>
        <v>8.727272727272728E-2</v>
      </c>
      <c r="N3090">
        <v>550</v>
      </c>
      <c r="O3090">
        <v>500</v>
      </c>
      <c r="P3090" t="s">
        <v>25</v>
      </c>
      <c r="Q3090" t="s">
        <v>26</v>
      </c>
      <c r="R3090" t="str">
        <f>IF(COUNTIF(Sheet2!B:B, A3090) &gt; 0, "Yes", "No")</f>
        <v>No</v>
      </c>
    </row>
    <row r="3091" spans="1:18" x14ac:dyDescent="0.25">
      <c r="A3091" s="3">
        <v>45601</v>
      </c>
      <c r="B3091" t="s">
        <v>386</v>
      </c>
      <c r="C3091" t="s">
        <v>105</v>
      </c>
      <c r="D3091" t="s">
        <v>20</v>
      </c>
      <c r="E3091" t="s">
        <v>67</v>
      </c>
      <c r="F3091" t="s">
        <v>46</v>
      </c>
      <c r="G3091" t="s">
        <v>103</v>
      </c>
      <c r="H3091" t="s">
        <v>180</v>
      </c>
      <c r="I3091">
        <v>0.09</v>
      </c>
      <c r="J3091">
        <f t="shared" si="144"/>
        <v>45</v>
      </c>
      <c r="K3091">
        <v>6</v>
      </c>
      <c r="L3091">
        <f t="shared" si="145"/>
        <v>39</v>
      </c>
      <c r="M3091" s="4">
        <f t="shared" si="146"/>
        <v>7.0909090909090908E-2</v>
      </c>
      <c r="N3091">
        <v>550</v>
      </c>
      <c r="O3091">
        <v>500</v>
      </c>
      <c r="P3091" t="s">
        <v>25</v>
      </c>
      <c r="Q3091" t="s">
        <v>26</v>
      </c>
      <c r="R3091" t="str">
        <f>IF(COUNTIF(Sheet2!B:B, A3091) &gt; 0, "Yes", "No")</f>
        <v>No</v>
      </c>
    </row>
    <row r="3092" spans="1:18" x14ac:dyDescent="0.25">
      <c r="A3092" s="3">
        <v>45601</v>
      </c>
      <c r="B3092" t="s">
        <v>386</v>
      </c>
      <c r="C3092" t="s">
        <v>105</v>
      </c>
      <c r="D3092" t="s">
        <v>20</v>
      </c>
      <c r="E3092" t="s">
        <v>67</v>
      </c>
      <c r="F3092" t="s">
        <v>49</v>
      </c>
      <c r="G3092" t="s">
        <v>50</v>
      </c>
      <c r="H3092" t="s">
        <v>49</v>
      </c>
      <c r="I3092">
        <v>0.09</v>
      </c>
      <c r="J3092">
        <f t="shared" si="144"/>
        <v>45</v>
      </c>
      <c r="K3092">
        <v>5</v>
      </c>
      <c r="L3092">
        <f t="shared" si="145"/>
        <v>40</v>
      </c>
      <c r="M3092" s="4">
        <f t="shared" si="146"/>
        <v>7.2727272727272724E-2</v>
      </c>
      <c r="N3092">
        <v>550</v>
      </c>
      <c r="O3092">
        <v>500</v>
      </c>
      <c r="P3092" t="s">
        <v>25</v>
      </c>
      <c r="Q3092" t="s">
        <v>26</v>
      </c>
      <c r="R3092" t="str">
        <f>IF(COUNTIF(Sheet2!B:B, A3092) &gt; 0, "Yes", "No")</f>
        <v>No</v>
      </c>
    </row>
    <row r="3093" spans="1:18" x14ac:dyDescent="0.25">
      <c r="A3093" s="3">
        <v>45602</v>
      </c>
      <c r="B3093" t="s">
        <v>386</v>
      </c>
      <c r="C3093" t="s">
        <v>51</v>
      </c>
      <c r="D3093" t="s">
        <v>20</v>
      </c>
      <c r="E3093" t="s">
        <v>21</v>
      </c>
      <c r="F3093" t="s">
        <v>22</v>
      </c>
      <c r="G3093" t="s">
        <v>52</v>
      </c>
      <c r="H3093" t="s">
        <v>741</v>
      </c>
      <c r="I3093">
        <v>8.5000000000000006E-2</v>
      </c>
      <c r="J3093">
        <f t="shared" si="144"/>
        <v>45.900000000000006</v>
      </c>
      <c r="K3093">
        <v>10</v>
      </c>
      <c r="L3093">
        <f t="shared" si="145"/>
        <v>35.900000000000006</v>
      </c>
      <c r="M3093" s="4">
        <f t="shared" si="146"/>
        <v>5.9833333333333343E-2</v>
      </c>
      <c r="N3093">
        <v>600</v>
      </c>
      <c r="O3093">
        <v>540</v>
      </c>
      <c r="P3093" t="s">
        <v>283</v>
      </c>
      <c r="Q3093" t="s">
        <v>320</v>
      </c>
      <c r="R3093" t="str">
        <f>IF(COUNTIF(Sheet2!B:B, A3093) &gt; 0, "Yes", "No")</f>
        <v>No</v>
      </c>
    </row>
    <row r="3094" spans="1:18" x14ac:dyDescent="0.25">
      <c r="A3094" s="3">
        <v>45602</v>
      </c>
      <c r="B3094" t="s">
        <v>386</v>
      </c>
      <c r="C3094" t="s">
        <v>51</v>
      </c>
      <c r="D3094" t="s">
        <v>20</v>
      </c>
      <c r="E3094" t="s">
        <v>21</v>
      </c>
      <c r="F3094" t="s">
        <v>27</v>
      </c>
      <c r="G3094" t="s">
        <v>81</v>
      </c>
      <c r="H3094" t="s">
        <v>742</v>
      </c>
      <c r="I3094">
        <v>0.1</v>
      </c>
      <c r="J3094">
        <f t="shared" si="144"/>
        <v>54</v>
      </c>
      <c r="K3094">
        <v>4</v>
      </c>
      <c r="L3094">
        <f t="shared" si="145"/>
        <v>50</v>
      </c>
      <c r="M3094" s="4">
        <f t="shared" si="146"/>
        <v>8.3333333333333329E-2</v>
      </c>
      <c r="N3094">
        <v>600</v>
      </c>
      <c r="O3094">
        <v>540</v>
      </c>
      <c r="P3094" t="s">
        <v>283</v>
      </c>
      <c r="Q3094" t="s">
        <v>320</v>
      </c>
      <c r="R3094" t="str">
        <f>IF(COUNTIF(Sheet2!B:B, A3094) &gt; 0, "Yes", "No")</f>
        <v>No</v>
      </c>
    </row>
    <row r="3095" spans="1:18" x14ac:dyDescent="0.25">
      <c r="A3095" s="3">
        <v>45602</v>
      </c>
      <c r="B3095" t="s">
        <v>386</v>
      </c>
      <c r="C3095" t="s">
        <v>51</v>
      </c>
      <c r="D3095" t="s">
        <v>20</v>
      </c>
      <c r="E3095" t="s">
        <v>21</v>
      </c>
      <c r="F3095" t="s">
        <v>30</v>
      </c>
      <c r="G3095" t="s">
        <v>31</v>
      </c>
      <c r="H3095" t="s">
        <v>70</v>
      </c>
      <c r="I3095">
        <v>0.09</v>
      </c>
      <c r="J3095">
        <f t="shared" si="144"/>
        <v>48.6</v>
      </c>
      <c r="K3095">
        <v>3</v>
      </c>
      <c r="L3095">
        <f t="shared" si="145"/>
        <v>45.6</v>
      </c>
      <c r="M3095" s="4">
        <f t="shared" si="146"/>
        <v>7.5999999999999998E-2</v>
      </c>
      <c r="N3095">
        <v>600</v>
      </c>
      <c r="O3095">
        <v>540</v>
      </c>
      <c r="P3095" t="s">
        <v>283</v>
      </c>
      <c r="Q3095" t="s">
        <v>320</v>
      </c>
      <c r="R3095" t="str">
        <f>IF(COUNTIF(Sheet2!B:B, A3095) &gt; 0, "Yes", "No")</f>
        <v>No</v>
      </c>
    </row>
    <row r="3096" spans="1:18" x14ac:dyDescent="0.25">
      <c r="A3096" s="3">
        <v>45602</v>
      </c>
      <c r="B3096" t="s">
        <v>386</v>
      </c>
      <c r="C3096" t="s">
        <v>51</v>
      </c>
      <c r="D3096" t="s">
        <v>33</v>
      </c>
      <c r="E3096" t="s">
        <v>21</v>
      </c>
      <c r="F3096" t="s">
        <v>34</v>
      </c>
      <c r="G3096" t="s">
        <v>35</v>
      </c>
      <c r="H3096" t="s">
        <v>36</v>
      </c>
      <c r="I3096">
        <v>0.15</v>
      </c>
      <c r="J3096">
        <f t="shared" si="144"/>
        <v>49.5</v>
      </c>
      <c r="K3096">
        <v>4</v>
      </c>
      <c r="L3096">
        <f t="shared" si="145"/>
        <v>45.5</v>
      </c>
      <c r="M3096" s="4">
        <f t="shared" si="146"/>
        <v>0.10833333333333334</v>
      </c>
      <c r="N3096">
        <v>420</v>
      </c>
      <c r="O3096">
        <v>330</v>
      </c>
      <c r="P3096" t="s">
        <v>283</v>
      </c>
      <c r="Q3096" t="s">
        <v>320</v>
      </c>
      <c r="R3096" t="str">
        <f>IF(COUNTIF(Sheet2!B:B, A3096) &gt; 0, "Yes", "No")</f>
        <v>No</v>
      </c>
    </row>
    <row r="3097" spans="1:18" x14ac:dyDescent="0.25">
      <c r="A3097" s="3">
        <v>45602</v>
      </c>
      <c r="B3097" t="s">
        <v>386</v>
      </c>
      <c r="C3097" t="s">
        <v>51</v>
      </c>
      <c r="D3097" t="s">
        <v>20</v>
      </c>
      <c r="E3097" t="s">
        <v>21</v>
      </c>
      <c r="F3097" t="s">
        <v>37</v>
      </c>
      <c r="G3097" t="s">
        <v>117</v>
      </c>
      <c r="H3097" t="s">
        <v>476</v>
      </c>
      <c r="I3097">
        <v>0.03</v>
      </c>
      <c r="J3097">
        <f t="shared" si="144"/>
        <v>16.2</v>
      </c>
      <c r="K3097">
        <v>2</v>
      </c>
      <c r="L3097">
        <f t="shared" si="145"/>
        <v>14.2</v>
      </c>
      <c r="M3097" s="4">
        <f t="shared" si="146"/>
        <v>2.3666666666666666E-2</v>
      </c>
      <c r="N3097">
        <v>600</v>
      </c>
      <c r="O3097">
        <v>540</v>
      </c>
      <c r="P3097" t="s">
        <v>283</v>
      </c>
      <c r="Q3097" t="s">
        <v>320</v>
      </c>
      <c r="R3097" t="str">
        <f>IF(COUNTIF(Sheet2!B:B, A3097) &gt; 0, "Yes", "No")</f>
        <v>No</v>
      </c>
    </row>
    <row r="3098" spans="1:18" x14ac:dyDescent="0.25">
      <c r="A3098" s="3">
        <v>45602</v>
      </c>
      <c r="B3098" t="s">
        <v>386</v>
      </c>
      <c r="C3098" t="s">
        <v>51</v>
      </c>
      <c r="D3098" t="s">
        <v>20</v>
      </c>
      <c r="E3098" t="s">
        <v>21</v>
      </c>
      <c r="F3098" t="s">
        <v>40</v>
      </c>
      <c r="G3098" t="s">
        <v>137</v>
      </c>
      <c r="H3098" t="s">
        <v>251</v>
      </c>
      <c r="I3098">
        <v>4.4999999999999998E-2</v>
      </c>
      <c r="J3098">
        <f t="shared" si="144"/>
        <v>24.3</v>
      </c>
      <c r="K3098">
        <v>7</v>
      </c>
      <c r="L3098">
        <f t="shared" si="145"/>
        <v>17.3</v>
      </c>
      <c r="M3098" s="4">
        <f t="shared" si="146"/>
        <v>2.8833333333333336E-2</v>
      </c>
      <c r="N3098">
        <v>600</v>
      </c>
      <c r="O3098">
        <v>540</v>
      </c>
      <c r="P3098" t="s">
        <v>283</v>
      </c>
      <c r="Q3098" t="s">
        <v>320</v>
      </c>
      <c r="R3098" t="str">
        <f>IF(COUNTIF(Sheet2!B:B, A3098) &gt; 0, "Yes", "No")</f>
        <v>No</v>
      </c>
    </row>
    <row r="3099" spans="1:18" x14ac:dyDescent="0.25">
      <c r="A3099" s="3">
        <v>45602</v>
      </c>
      <c r="B3099" t="s">
        <v>386</v>
      </c>
      <c r="C3099" t="s">
        <v>51</v>
      </c>
      <c r="D3099" t="s">
        <v>20</v>
      </c>
      <c r="E3099" t="s">
        <v>21</v>
      </c>
      <c r="F3099" t="s">
        <v>43</v>
      </c>
      <c r="G3099" t="s">
        <v>44</v>
      </c>
      <c r="H3099" t="s">
        <v>45</v>
      </c>
      <c r="I3099">
        <v>0.11</v>
      </c>
      <c r="J3099">
        <f t="shared" si="144"/>
        <v>59.4</v>
      </c>
      <c r="K3099">
        <v>4</v>
      </c>
      <c r="L3099">
        <f t="shared" si="145"/>
        <v>55.4</v>
      </c>
      <c r="M3099" s="4">
        <f t="shared" si="146"/>
        <v>9.2333333333333337E-2</v>
      </c>
      <c r="N3099">
        <v>600</v>
      </c>
      <c r="O3099">
        <v>540</v>
      </c>
      <c r="P3099" t="s">
        <v>283</v>
      </c>
      <c r="Q3099" t="s">
        <v>320</v>
      </c>
      <c r="R3099" t="str">
        <f>IF(COUNTIF(Sheet2!B:B, A3099) &gt; 0, "Yes", "No")</f>
        <v>No</v>
      </c>
    </row>
    <row r="3100" spans="1:18" x14ac:dyDescent="0.25">
      <c r="A3100" s="3">
        <v>45602</v>
      </c>
      <c r="B3100" t="s">
        <v>386</v>
      </c>
      <c r="C3100" t="s">
        <v>51</v>
      </c>
      <c r="D3100" t="s">
        <v>20</v>
      </c>
      <c r="E3100" t="s">
        <v>21</v>
      </c>
      <c r="F3100" t="s">
        <v>46</v>
      </c>
      <c r="G3100" t="s">
        <v>77</v>
      </c>
      <c r="H3100" t="s">
        <v>743</v>
      </c>
      <c r="I3100">
        <v>8.5000000000000006E-2</v>
      </c>
      <c r="J3100">
        <f t="shared" si="144"/>
        <v>45.900000000000006</v>
      </c>
      <c r="K3100">
        <v>8</v>
      </c>
      <c r="L3100">
        <f t="shared" si="145"/>
        <v>37.900000000000006</v>
      </c>
      <c r="M3100" s="4">
        <f t="shared" si="146"/>
        <v>6.3166666666666677E-2</v>
      </c>
      <c r="N3100">
        <v>600</v>
      </c>
      <c r="O3100">
        <v>540</v>
      </c>
      <c r="P3100" t="s">
        <v>283</v>
      </c>
      <c r="Q3100" t="s">
        <v>320</v>
      </c>
      <c r="R3100" t="str">
        <f>IF(COUNTIF(Sheet2!B:B, A3100) &gt; 0, "Yes", "No")</f>
        <v>No</v>
      </c>
    </row>
    <row r="3101" spans="1:18" x14ac:dyDescent="0.25">
      <c r="A3101" s="3">
        <v>45602</v>
      </c>
      <c r="B3101" t="s">
        <v>386</v>
      </c>
      <c r="C3101" t="s">
        <v>51</v>
      </c>
      <c r="D3101" t="s">
        <v>20</v>
      </c>
      <c r="E3101" t="s">
        <v>21</v>
      </c>
      <c r="F3101" t="s">
        <v>49</v>
      </c>
      <c r="G3101" t="s">
        <v>50</v>
      </c>
      <c r="H3101" t="s">
        <v>49</v>
      </c>
      <c r="I3101">
        <v>0.09</v>
      </c>
      <c r="J3101">
        <f t="shared" si="144"/>
        <v>48.6</v>
      </c>
      <c r="K3101">
        <v>8</v>
      </c>
      <c r="L3101">
        <f t="shared" si="145"/>
        <v>40.6</v>
      </c>
      <c r="M3101" s="4">
        <f t="shared" si="146"/>
        <v>6.7666666666666667E-2</v>
      </c>
      <c r="N3101">
        <v>600</v>
      </c>
      <c r="O3101">
        <v>540</v>
      </c>
      <c r="P3101" t="s">
        <v>283</v>
      </c>
      <c r="Q3101" t="s">
        <v>320</v>
      </c>
      <c r="R3101" t="str">
        <f>IF(COUNTIF(Sheet2!B:B, A3101) &gt; 0, "Yes", "No")</f>
        <v>No</v>
      </c>
    </row>
    <row r="3102" spans="1:18" x14ac:dyDescent="0.25">
      <c r="A3102" s="3">
        <v>45603</v>
      </c>
      <c r="B3102" t="s">
        <v>386</v>
      </c>
      <c r="C3102" t="s">
        <v>66</v>
      </c>
      <c r="D3102" t="s">
        <v>20</v>
      </c>
      <c r="E3102" t="s">
        <v>67</v>
      </c>
      <c r="F3102" t="s">
        <v>22</v>
      </c>
      <c r="G3102" t="s">
        <v>52</v>
      </c>
      <c r="H3102" t="s">
        <v>744</v>
      </c>
      <c r="I3102">
        <v>8.5000000000000006E-2</v>
      </c>
      <c r="J3102">
        <f t="shared" si="144"/>
        <v>38.25</v>
      </c>
      <c r="K3102">
        <v>7</v>
      </c>
      <c r="L3102">
        <f t="shared" si="145"/>
        <v>31.25</v>
      </c>
      <c r="M3102" s="4">
        <f t="shared" si="146"/>
        <v>6.25E-2</v>
      </c>
      <c r="N3102">
        <v>500</v>
      </c>
      <c r="O3102">
        <v>450</v>
      </c>
      <c r="P3102" t="s">
        <v>341</v>
      </c>
      <c r="Q3102" t="s">
        <v>320</v>
      </c>
      <c r="R3102" t="str">
        <f>IF(COUNTIF(Sheet2!B:B, A3102) &gt; 0, "Yes", "No")</f>
        <v>No</v>
      </c>
    </row>
    <row r="3103" spans="1:18" x14ac:dyDescent="0.25">
      <c r="A3103" s="3">
        <v>45603</v>
      </c>
      <c r="B3103" t="s">
        <v>386</v>
      </c>
      <c r="C3103" t="s">
        <v>66</v>
      </c>
      <c r="D3103" t="s">
        <v>20</v>
      </c>
      <c r="E3103" t="s">
        <v>67</v>
      </c>
      <c r="F3103" t="s">
        <v>27</v>
      </c>
      <c r="G3103" t="s">
        <v>780</v>
      </c>
      <c r="H3103" t="s">
        <v>149</v>
      </c>
      <c r="I3103">
        <v>0.11</v>
      </c>
      <c r="J3103">
        <f t="shared" si="144"/>
        <v>49.5</v>
      </c>
      <c r="K3103">
        <v>5</v>
      </c>
      <c r="L3103">
        <f t="shared" si="145"/>
        <v>44.5</v>
      </c>
      <c r="M3103" s="4">
        <f t="shared" si="146"/>
        <v>8.8999999999999996E-2</v>
      </c>
      <c r="N3103">
        <v>500</v>
      </c>
      <c r="O3103">
        <v>450</v>
      </c>
      <c r="P3103" t="s">
        <v>341</v>
      </c>
      <c r="Q3103" t="s">
        <v>320</v>
      </c>
      <c r="R3103" t="str">
        <f>IF(COUNTIF(Sheet2!B:B, A3103) &gt; 0, "Yes", "No")</f>
        <v>No</v>
      </c>
    </row>
    <row r="3104" spans="1:18" x14ac:dyDescent="0.25">
      <c r="A3104" s="3">
        <v>45603</v>
      </c>
      <c r="B3104" t="s">
        <v>386</v>
      </c>
      <c r="C3104" t="s">
        <v>66</v>
      </c>
      <c r="D3104" t="s">
        <v>20</v>
      </c>
      <c r="E3104" t="s">
        <v>67</v>
      </c>
      <c r="F3104" t="s">
        <v>30</v>
      </c>
      <c r="G3104" t="s">
        <v>55</v>
      </c>
      <c r="H3104" t="s">
        <v>125</v>
      </c>
      <c r="I3104">
        <v>0.09</v>
      </c>
      <c r="J3104">
        <f t="shared" si="144"/>
        <v>40.5</v>
      </c>
      <c r="K3104">
        <v>4</v>
      </c>
      <c r="L3104">
        <f t="shared" si="145"/>
        <v>36.5</v>
      </c>
      <c r="M3104" s="4">
        <f t="shared" si="146"/>
        <v>7.2999999999999995E-2</v>
      </c>
      <c r="N3104">
        <v>500</v>
      </c>
      <c r="O3104">
        <v>450</v>
      </c>
      <c r="P3104" t="s">
        <v>341</v>
      </c>
      <c r="Q3104" t="s">
        <v>320</v>
      </c>
      <c r="R3104" t="str">
        <f>IF(COUNTIF(Sheet2!B:B, A3104) &gt; 0, "Yes", "No")</f>
        <v>No</v>
      </c>
    </row>
    <row r="3105" spans="1:18" x14ac:dyDescent="0.25">
      <c r="A3105" s="3">
        <v>45603</v>
      </c>
      <c r="B3105" t="s">
        <v>386</v>
      </c>
      <c r="C3105" t="s">
        <v>66</v>
      </c>
      <c r="D3105" t="s">
        <v>20</v>
      </c>
      <c r="E3105" t="s">
        <v>67</v>
      </c>
      <c r="F3105" t="s">
        <v>37</v>
      </c>
      <c r="G3105" t="s">
        <v>87</v>
      </c>
      <c r="H3105" t="s">
        <v>136</v>
      </c>
      <c r="I3105">
        <v>3.5000000000000003E-2</v>
      </c>
      <c r="J3105">
        <f t="shared" si="144"/>
        <v>15.750000000000002</v>
      </c>
      <c r="K3105">
        <v>4</v>
      </c>
      <c r="L3105">
        <f t="shared" si="145"/>
        <v>11.750000000000002</v>
      </c>
      <c r="M3105" s="4">
        <f t="shared" si="146"/>
        <v>2.3500000000000004E-2</v>
      </c>
      <c r="N3105">
        <v>500</v>
      </c>
      <c r="O3105">
        <v>450</v>
      </c>
      <c r="P3105" t="s">
        <v>341</v>
      </c>
      <c r="Q3105" t="s">
        <v>320</v>
      </c>
      <c r="R3105" t="str">
        <f>IF(COUNTIF(Sheet2!B:B, A3105) &gt; 0, "Yes", "No")</f>
        <v>No</v>
      </c>
    </row>
    <row r="3106" spans="1:18" x14ac:dyDescent="0.25">
      <c r="A3106" s="3">
        <v>45603</v>
      </c>
      <c r="B3106" t="s">
        <v>386</v>
      </c>
      <c r="C3106" t="s">
        <v>66</v>
      </c>
      <c r="D3106" t="s">
        <v>20</v>
      </c>
      <c r="E3106" t="s">
        <v>67</v>
      </c>
      <c r="F3106" t="s">
        <v>40</v>
      </c>
      <c r="G3106" t="s">
        <v>137</v>
      </c>
      <c r="H3106" t="s">
        <v>637</v>
      </c>
      <c r="I3106">
        <v>0.05</v>
      </c>
      <c r="J3106">
        <f t="shared" si="144"/>
        <v>22.5</v>
      </c>
      <c r="K3106">
        <v>7</v>
      </c>
      <c r="L3106">
        <f t="shared" si="145"/>
        <v>15.5</v>
      </c>
      <c r="M3106" s="4">
        <f t="shared" si="146"/>
        <v>3.1E-2</v>
      </c>
      <c r="N3106">
        <v>500</v>
      </c>
      <c r="O3106">
        <v>450</v>
      </c>
      <c r="P3106" t="s">
        <v>341</v>
      </c>
      <c r="Q3106" t="s">
        <v>320</v>
      </c>
      <c r="R3106" t="str">
        <f>IF(COUNTIF(Sheet2!B:B, A3106) &gt; 0, "Yes", "No")</f>
        <v>No</v>
      </c>
    </row>
    <row r="3107" spans="1:18" x14ac:dyDescent="0.25">
      <c r="A3107" s="3">
        <v>45603</v>
      </c>
      <c r="B3107" t="s">
        <v>386</v>
      </c>
      <c r="C3107" t="s">
        <v>66</v>
      </c>
      <c r="D3107" t="s">
        <v>20</v>
      </c>
      <c r="E3107" t="s">
        <v>67</v>
      </c>
      <c r="F3107" t="s">
        <v>43</v>
      </c>
      <c r="G3107" t="s">
        <v>252</v>
      </c>
      <c r="H3107" t="s">
        <v>253</v>
      </c>
      <c r="I3107">
        <v>0.11</v>
      </c>
      <c r="J3107">
        <f t="shared" si="144"/>
        <v>49.5</v>
      </c>
      <c r="K3107">
        <v>3</v>
      </c>
      <c r="L3107">
        <f t="shared" si="145"/>
        <v>46.5</v>
      </c>
      <c r="M3107" s="4">
        <f t="shared" si="146"/>
        <v>9.2999999999999999E-2</v>
      </c>
      <c r="N3107">
        <v>500</v>
      </c>
      <c r="O3107">
        <v>450</v>
      </c>
      <c r="P3107" t="s">
        <v>341</v>
      </c>
      <c r="Q3107" t="s">
        <v>320</v>
      </c>
      <c r="R3107" t="str">
        <f>IF(COUNTIF(Sheet2!B:B, A3107) &gt; 0, "Yes", "No")</f>
        <v>No</v>
      </c>
    </row>
    <row r="3108" spans="1:18" x14ac:dyDescent="0.25">
      <c r="A3108" s="3">
        <v>45603</v>
      </c>
      <c r="B3108" t="s">
        <v>386</v>
      </c>
      <c r="C3108" t="s">
        <v>66</v>
      </c>
      <c r="D3108" t="s">
        <v>20</v>
      </c>
      <c r="E3108" t="s">
        <v>67</v>
      </c>
      <c r="F3108" t="s">
        <v>46</v>
      </c>
      <c r="G3108" t="s">
        <v>47</v>
      </c>
      <c r="H3108" t="s">
        <v>745</v>
      </c>
      <c r="I3108">
        <v>8.5000000000000006E-2</v>
      </c>
      <c r="J3108">
        <f t="shared" si="144"/>
        <v>38.25</v>
      </c>
      <c r="K3108">
        <v>6</v>
      </c>
      <c r="L3108">
        <f t="shared" si="145"/>
        <v>32.25</v>
      </c>
      <c r="M3108" s="4">
        <f t="shared" si="146"/>
        <v>6.4500000000000002E-2</v>
      </c>
      <c r="N3108">
        <v>500</v>
      </c>
      <c r="O3108">
        <v>450</v>
      </c>
      <c r="P3108" t="s">
        <v>341</v>
      </c>
      <c r="Q3108" t="s">
        <v>320</v>
      </c>
      <c r="R3108" t="str">
        <f>IF(COUNTIF(Sheet2!B:B, A3108) &gt; 0, "Yes", "No")</f>
        <v>No</v>
      </c>
    </row>
    <row r="3109" spans="1:18" x14ac:dyDescent="0.25">
      <c r="A3109" s="3">
        <v>45603</v>
      </c>
      <c r="B3109" t="s">
        <v>386</v>
      </c>
      <c r="C3109" t="s">
        <v>66</v>
      </c>
      <c r="D3109" t="s">
        <v>20</v>
      </c>
      <c r="E3109" t="s">
        <v>67</v>
      </c>
      <c r="F3109" t="s">
        <v>49</v>
      </c>
      <c r="G3109" t="s">
        <v>50</v>
      </c>
      <c r="H3109" t="s">
        <v>49</v>
      </c>
      <c r="I3109">
        <v>0.09</v>
      </c>
      <c r="J3109">
        <f t="shared" si="144"/>
        <v>40.5</v>
      </c>
      <c r="K3109">
        <v>6</v>
      </c>
      <c r="L3109">
        <f t="shared" si="145"/>
        <v>34.5</v>
      </c>
      <c r="M3109" s="4">
        <f t="shared" si="146"/>
        <v>6.9000000000000006E-2</v>
      </c>
      <c r="N3109">
        <v>500</v>
      </c>
      <c r="O3109">
        <v>450</v>
      </c>
      <c r="P3109" t="s">
        <v>341</v>
      </c>
      <c r="Q3109" t="s">
        <v>320</v>
      </c>
      <c r="R3109" t="str">
        <f>IF(COUNTIF(Sheet2!B:B, A3109) &gt; 0, "Yes", "No")</f>
        <v>No</v>
      </c>
    </row>
    <row r="3110" spans="1:18" x14ac:dyDescent="0.25">
      <c r="A3110" s="3">
        <v>45607</v>
      </c>
      <c r="B3110" t="s">
        <v>386</v>
      </c>
      <c r="C3110" t="s">
        <v>19</v>
      </c>
      <c r="D3110" t="s">
        <v>20</v>
      </c>
      <c r="E3110" t="s">
        <v>21</v>
      </c>
      <c r="F3110" t="s">
        <v>22</v>
      </c>
      <c r="G3110" t="s">
        <v>122</v>
      </c>
      <c r="H3110" t="s">
        <v>521</v>
      </c>
      <c r="I3110">
        <v>8.5000000000000006E-2</v>
      </c>
      <c r="J3110">
        <f t="shared" si="144"/>
        <v>38.25</v>
      </c>
      <c r="K3110">
        <v>1</v>
      </c>
      <c r="L3110">
        <f t="shared" si="145"/>
        <v>37.25</v>
      </c>
      <c r="M3110" s="4">
        <f t="shared" si="146"/>
        <v>7.4499999999999997E-2</v>
      </c>
      <c r="N3110">
        <v>500</v>
      </c>
      <c r="O3110">
        <v>450</v>
      </c>
      <c r="P3110" t="s">
        <v>25</v>
      </c>
      <c r="Q3110" t="s">
        <v>26</v>
      </c>
      <c r="R3110" t="str">
        <f>IF(COUNTIF(Sheet2!B:B, A3110) &gt; 0, "Yes", "No")</f>
        <v>No</v>
      </c>
    </row>
    <row r="3111" spans="1:18" x14ac:dyDescent="0.25">
      <c r="A3111" s="3">
        <v>45607</v>
      </c>
      <c r="B3111" t="s">
        <v>386</v>
      </c>
      <c r="C3111" t="s">
        <v>19</v>
      </c>
      <c r="D3111" t="s">
        <v>20</v>
      </c>
      <c r="E3111" t="s">
        <v>21</v>
      </c>
      <c r="F3111" t="s">
        <v>27</v>
      </c>
      <c r="G3111" t="s">
        <v>115</v>
      </c>
      <c r="H3111" t="s">
        <v>115</v>
      </c>
      <c r="I3111">
        <v>0.11</v>
      </c>
      <c r="J3111">
        <f t="shared" si="144"/>
        <v>49.5</v>
      </c>
      <c r="K3111">
        <v>2</v>
      </c>
      <c r="L3111">
        <f t="shared" si="145"/>
        <v>47.5</v>
      </c>
      <c r="M3111" s="4">
        <f t="shared" si="146"/>
        <v>9.5000000000000001E-2</v>
      </c>
      <c r="N3111">
        <v>500</v>
      </c>
      <c r="O3111">
        <v>450</v>
      </c>
      <c r="P3111" t="s">
        <v>25</v>
      </c>
      <c r="Q3111" t="s">
        <v>26</v>
      </c>
      <c r="R3111" t="str">
        <f>IF(COUNTIF(Sheet2!B:B, A3111) &gt; 0, "Yes", "No")</f>
        <v>No</v>
      </c>
    </row>
    <row r="3112" spans="1:18" x14ac:dyDescent="0.25">
      <c r="A3112" s="3">
        <v>45607</v>
      </c>
      <c r="B3112" t="s">
        <v>386</v>
      </c>
      <c r="C3112" t="s">
        <v>19</v>
      </c>
      <c r="D3112" t="s">
        <v>20</v>
      </c>
      <c r="E3112" t="s">
        <v>21</v>
      </c>
      <c r="F3112" t="s">
        <v>30</v>
      </c>
      <c r="G3112" t="s">
        <v>55</v>
      </c>
      <c r="H3112" t="s">
        <v>183</v>
      </c>
      <c r="I3112">
        <v>0.09</v>
      </c>
      <c r="J3112">
        <f t="shared" si="144"/>
        <v>40.5</v>
      </c>
      <c r="K3112">
        <v>1</v>
      </c>
      <c r="L3112">
        <f t="shared" si="145"/>
        <v>39.5</v>
      </c>
      <c r="M3112" s="4">
        <f t="shared" si="146"/>
        <v>7.9000000000000001E-2</v>
      </c>
      <c r="N3112">
        <v>500</v>
      </c>
      <c r="O3112">
        <v>450</v>
      </c>
      <c r="P3112" t="s">
        <v>25</v>
      </c>
      <c r="Q3112" t="s">
        <v>26</v>
      </c>
      <c r="R3112" t="str">
        <f>IF(COUNTIF(Sheet2!B:B, A3112) &gt; 0, "Yes", "No")</f>
        <v>No</v>
      </c>
    </row>
    <row r="3113" spans="1:18" x14ac:dyDescent="0.25">
      <c r="A3113" s="3">
        <v>45607</v>
      </c>
      <c r="B3113" t="s">
        <v>386</v>
      </c>
      <c r="C3113" t="s">
        <v>19</v>
      </c>
      <c r="D3113" t="s">
        <v>33</v>
      </c>
      <c r="E3113" t="s">
        <v>21</v>
      </c>
      <c r="F3113" t="s">
        <v>34</v>
      </c>
      <c r="G3113" t="s">
        <v>57</v>
      </c>
      <c r="H3113" t="s">
        <v>576</v>
      </c>
      <c r="I3113">
        <v>0.15</v>
      </c>
      <c r="J3113">
        <f t="shared" si="144"/>
        <v>45</v>
      </c>
      <c r="K3113">
        <v>2</v>
      </c>
      <c r="L3113">
        <f t="shared" si="145"/>
        <v>43</v>
      </c>
      <c r="M3113" s="4">
        <f t="shared" si="146"/>
        <v>0.12285714285714286</v>
      </c>
      <c r="N3113">
        <v>350</v>
      </c>
      <c r="O3113">
        <v>300</v>
      </c>
      <c r="P3113" t="s">
        <v>25</v>
      </c>
      <c r="Q3113" t="s">
        <v>26</v>
      </c>
      <c r="R3113" t="str">
        <f>IF(COUNTIF(Sheet2!B:B, A3113) &gt; 0, "Yes", "No")</f>
        <v>No</v>
      </c>
    </row>
    <row r="3114" spans="1:18" x14ac:dyDescent="0.25">
      <c r="A3114" s="3">
        <v>45607</v>
      </c>
      <c r="B3114" t="s">
        <v>386</v>
      </c>
      <c r="C3114" t="s">
        <v>19</v>
      </c>
      <c r="D3114" t="s">
        <v>20</v>
      </c>
      <c r="E3114" t="s">
        <v>21</v>
      </c>
      <c r="F3114" t="s">
        <v>37</v>
      </c>
      <c r="G3114" t="s">
        <v>117</v>
      </c>
      <c r="H3114" t="s">
        <v>118</v>
      </c>
      <c r="I3114">
        <v>0.03</v>
      </c>
      <c r="J3114">
        <f t="shared" si="144"/>
        <v>13.5</v>
      </c>
      <c r="K3114">
        <v>2</v>
      </c>
      <c r="L3114">
        <f t="shared" si="145"/>
        <v>11.5</v>
      </c>
      <c r="M3114" s="4">
        <f t="shared" si="146"/>
        <v>2.3E-2</v>
      </c>
      <c r="N3114">
        <v>500</v>
      </c>
      <c r="O3114">
        <v>450</v>
      </c>
      <c r="P3114" t="s">
        <v>25</v>
      </c>
      <c r="Q3114" t="s">
        <v>26</v>
      </c>
      <c r="R3114" t="str">
        <f>IF(COUNTIF(Sheet2!B:B, A3114) &gt; 0, "Yes", "No")</f>
        <v>No</v>
      </c>
    </row>
    <row r="3115" spans="1:18" x14ac:dyDescent="0.25">
      <c r="A3115" s="3">
        <v>45607</v>
      </c>
      <c r="B3115" t="s">
        <v>386</v>
      </c>
      <c r="C3115" t="s">
        <v>19</v>
      </c>
      <c r="D3115" t="s">
        <v>20</v>
      </c>
      <c r="E3115" t="s">
        <v>21</v>
      </c>
      <c r="F3115" t="s">
        <v>40</v>
      </c>
      <c r="G3115" t="s">
        <v>164</v>
      </c>
      <c r="H3115" t="s">
        <v>467</v>
      </c>
      <c r="I3115">
        <v>4.4999999999999998E-2</v>
      </c>
      <c r="J3115">
        <f t="shared" si="144"/>
        <v>20.25</v>
      </c>
      <c r="K3115">
        <v>1</v>
      </c>
      <c r="L3115">
        <f t="shared" si="145"/>
        <v>19.25</v>
      </c>
      <c r="M3115" s="4">
        <f t="shared" si="146"/>
        <v>3.85E-2</v>
      </c>
      <c r="N3115">
        <v>500</v>
      </c>
      <c r="O3115">
        <v>450</v>
      </c>
      <c r="P3115" t="s">
        <v>25</v>
      </c>
      <c r="Q3115" t="s">
        <v>26</v>
      </c>
      <c r="R3115" t="str">
        <f>IF(COUNTIF(Sheet2!B:B, A3115) &gt; 0, "Yes", "No")</f>
        <v>No</v>
      </c>
    </row>
    <row r="3116" spans="1:18" x14ac:dyDescent="0.25">
      <c r="A3116" s="3">
        <v>45607</v>
      </c>
      <c r="B3116" t="s">
        <v>386</v>
      </c>
      <c r="C3116" t="s">
        <v>19</v>
      </c>
      <c r="D3116" t="s">
        <v>20</v>
      </c>
      <c r="E3116" t="s">
        <v>21</v>
      </c>
      <c r="F3116" t="s">
        <v>43</v>
      </c>
      <c r="G3116" t="s">
        <v>44</v>
      </c>
      <c r="H3116" t="s">
        <v>429</v>
      </c>
      <c r="I3116">
        <v>0.11</v>
      </c>
      <c r="J3116">
        <f t="shared" si="144"/>
        <v>49.5</v>
      </c>
      <c r="K3116">
        <v>2</v>
      </c>
      <c r="L3116">
        <f t="shared" si="145"/>
        <v>47.5</v>
      </c>
      <c r="M3116" s="4">
        <f t="shared" si="146"/>
        <v>9.5000000000000001E-2</v>
      </c>
      <c r="N3116">
        <v>500</v>
      </c>
      <c r="O3116">
        <v>450</v>
      </c>
      <c r="P3116" t="s">
        <v>25</v>
      </c>
      <c r="Q3116" t="s">
        <v>26</v>
      </c>
      <c r="R3116" t="str">
        <f>IF(COUNTIF(Sheet2!B:B, A3116) &gt; 0, "Yes", "No")</f>
        <v>No</v>
      </c>
    </row>
    <row r="3117" spans="1:18" x14ac:dyDescent="0.25">
      <c r="A3117" s="3">
        <v>45607</v>
      </c>
      <c r="B3117" t="s">
        <v>386</v>
      </c>
      <c r="C3117" t="s">
        <v>19</v>
      </c>
      <c r="D3117" t="s">
        <v>20</v>
      </c>
      <c r="E3117" t="s">
        <v>21</v>
      </c>
      <c r="F3117" t="s">
        <v>46</v>
      </c>
      <c r="G3117" t="s">
        <v>47</v>
      </c>
      <c r="H3117" t="s">
        <v>555</v>
      </c>
      <c r="I3117">
        <v>8.5000000000000006E-2</v>
      </c>
      <c r="J3117">
        <f t="shared" si="144"/>
        <v>38.25</v>
      </c>
      <c r="K3117">
        <v>1</v>
      </c>
      <c r="L3117">
        <f t="shared" si="145"/>
        <v>37.25</v>
      </c>
      <c r="M3117" s="4">
        <f t="shared" si="146"/>
        <v>7.4499999999999997E-2</v>
      </c>
      <c r="N3117">
        <v>500</v>
      </c>
      <c r="O3117">
        <v>450</v>
      </c>
      <c r="P3117" t="s">
        <v>25</v>
      </c>
      <c r="Q3117" t="s">
        <v>26</v>
      </c>
      <c r="R3117" t="str">
        <f>IF(COUNTIF(Sheet2!B:B, A3117) &gt; 0, "Yes", "No")</f>
        <v>No</v>
      </c>
    </row>
    <row r="3118" spans="1:18" x14ac:dyDescent="0.25">
      <c r="A3118" s="3">
        <v>45607</v>
      </c>
      <c r="B3118" t="s">
        <v>386</v>
      </c>
      <c r="C3118" t="s">
        <v>19</v>
      </c>
      <c r="D3118" t="s">
        <v>20</v>
      </c>
      <c r="E3118" t="s">
        <v>21</v>
      </c>
      <c r="F3118" t="s">
        <v>49</v>
      </c>
      <c r="G3118" t="s">
        <v>50</v>
      </c>
      <c r="H3118" t="s">
        <v>49</v>
      </c>
      <c r="I3118">
        <v>0.09</v>
      </c>
      <c r="J3118">
        <f t="shared" si="144"/>
        <v>40.5</v>
      </c>
      <c r="K3118">
        <v>1</v>
      </c>
      <c r="L3118">
        <f t="shared" si="145"/>
        <v>39.5</v>
      </c>
      <c r="M3118" s="4">
        <f t="shared" si="146"/>
        <v>7.9000000000000001E-2</v>
      </c>
      <c r="N3118">
        <v>500</v>
      </c>
      <c r="O3118">
        <v>450</v>
      </c>
      <c r="P3118" t="s">
        <v>25</v>
      </c>
      <c r="Q3118" t="s">
        <v>26</v>
      </c>
      <c r="R3118" t="str">
        <f>IF(COUNTIF(Sheet2!B:B, A3118) &gt; 0, "Yes", "No")</f>
        <v>No</v>
      </c>
    </row>
    <row r="3119" spans="1:18" x14ac:dyDescent="0.25">
      <c r="A3119" s="3">
        <v>45608</v>
      </c>
      <c r="B3119" t="s">
        <v>386</v>
      </c>
      <c r="C3119" t="s">
        <v>105</v>
      </c>
      <c r="D3119" t="s">
        <v>20</v>
      </c>
      <c r="E3119" t="s">
        <v>67</v>
      </c>
      <c r="F3119" t="s">
        <v>22</v>
      </c>
      <c r="G3119" t="s">
        <v>94</v>
      </c>
      <c r="H3119" t="s">
        <v>458</v>
      </c>
      <c r="I3119">
        <v>8.5000000000000006E-2</v>
      </c>
      <c r="J3119">
        <f t="shared" si="144"/>
        <v>38.25</v>
      </c>
      <c r="K3119">
        <v>1</v>
      </c>
      <c r="L3119">
        <f t="shared" si="145"/>
        <v>37.25</v>
      </c>
      <c r="M3119" s="4">
        <f t="shared" si="146"/>
        <v>7.4499999999999997E-2</v>
      </c>
      <c r="N3119">
        <v>500</v>
      </c>
      <c r="O3119">
        <v>450</v>
      </c>
      <c r="P3119" t="s">
        <v>25</v>
      </c>
      <c r="Q3119" t="s">
        <v>26</v>
      </c>
      <c r="R3119" t="str">
        <f>IF(COUNTIF(Sheet2!B:B, A3119) &gt; 0, "Yes", "No")</f>
        <v>No</v>
      </c>
    </row>
    <row r="3120" spans="1:18" x14ac:dyDescent="0.25">
      <c r="A3120" s="3">
        <v>45608</v>
      </c>
      <c r="B3120" t="s">
        <v>386</v>
      </c>
      <c r="C3120" t="s">
        <v>105</v>
      </c>
      <c r="D3120" t="s">
        <v>20</v>
      </c>
      <c r="E3120" t="s">
        <v>67</v>
      </c>
      <c r="F3120" t="s">
        <v>27</v>
      </c>
      <c r="G3120" t="s">
        <v>304</v>
      </c>
      <c r="H3120" t="s">
        <v>419</v>
      </c>
      <c r="I3120">
        <v>0.12</v>
      </c>
      <c r="J3120">
        <f t="shared" si="144"/>
        <v>54</v>
      </c>
      <c r="K3120">
        <v>1</v>
      </c>
      <c r="L3120">
        <f t="shared" si="145"/>
        <v>53</v>
      </c>
      <c r="M3120" s="4">
        <f t="shared" si="146"/>
        <v>0.106</v>
      </c>
      <c r="N3120">
        <v>500</v>
      </c>
      <c r="O3120">
        <v>450</v>
      </c>
      <c r="P3120" t="s">
        <v>25</v>
      </c>
      <c r="Q3120" t="s">
        <v>26</v>
      </c>
      <c r="R3120" t="str">
        <f>IF(COUNTIF(Sheet2!B:B, A3120) &gt; 0, "Yes", "No")</f>
        <v>No</v>
      </c>
    </row>
    <row r="3121" spans="1:18" x14ac:dyDescent="0.25">
      <c r="A3121" s="3">
        <v>45608</v>
      </c>
      <c r="B3121" t="s">
        <v>386</v>
      </c>
      <c r="C3121" t="s">
        <v>105</v>
      </c>
      <c r="D3121" t="s">
        <v>20</v>
      </c>
      <c r="E3121" t="s">
        <v>67</v>
      </c>
      <c r="F3121" t="s">
        <v>30</v>
      </c>
      <c r="G3121" t="s">
        <v>31</v>
      </c>
      <c r="H3121" t="s">
        <v>31</v>
      </c>
      <c r="I3121">
        <v>0.09</v>
      </c>
      <c r="J3121">
        <f t="shared" si="144"/>
        <v>40.5</v>
      </c>
      <c r="K3121">
        <v>1</v>
      </c>
      <c r="L3121">
        <f t="shared" si="145"/>
        <v>39.5</v>
      </c>
      <c r="M3121" s="4">
        <f t="shared" si="146"/>
        <v>7.9000000000000001E-2</v>
      </c>
      <c r="N3121">
        <v>500</v>
      </c>
      <c r="O3121">
        <v>450</v>
      </c>
      <c r="P3121" t="s">
        <v>25</v>
      </c>
      <c r="Q3121" t="s">
        <v>26</v>
      </c>
      <c r="R3121" t="str">
        <f>IF(COUNTIF(Sheet2!B:B, A3121) &gt; 0, "Yes", "No")</f>
        <v>No</v>
      </c>
    </row>
    <row r="3122" spans="1:18" x14ac:dyDescent="0.25">
      <c r="A3122" s="3">
        <v>45608</v>
      </c>
      <c r="B3122" t="s">
        <v>386</v>
      </c>
      <c r="C3122" t="s">
        <v>105</v>
      </c>
      <c r="D3122" t="s">
        <v>20</v>
      </c>
      <c r="E3122" t="s">
        <v>67</v>
      </c>
      <c r="F3122" t="s">
        <v>37</v>
      </c>
      <c r="G3122" t="s">
        <v>87</v>
      </c>
      <c r="H3122" t="s">
        <v>136</v>
      </c>
      <c r="I3122">
        <v>3.5000000000000003E-2</v>
      </c>
      <c r="J3122">
        <f t="shared" si="144"/>
        <v>15.750000000000002</v>
      </c>
      <c r="K3122">
        <v>2</v>
      </c>
      <c r="L3122">
        <f t="shared" si="145"/>
        <v>13.750000000000002</v>
      </c>
      <c r="M3122" s="4">
        <f t="shared" si="146"/>
        <v>2.7500000000000004E-2</v>
      </c>
      <c r="N3122">
        <v>500</v>
      </c>
      <c r="O3122">
        <v>450</v>
      </c>
      <c r="P3122" t="s">
        <v>25</v>
      </c>
      <c r="Q3122" t="s">
        <v>26</v>
      </c>
      <c r="R3122" t="str">
        <f>IF(COUNTIF(Sheet2!B:B, A3122) &gt; 0, "Yes", "No")</f>
        <v>No</v>
      </c>
    </row>
    <row r="3123" spans="1:18" x14ac:dyDescent="0.25">
      <c r="A3123" s="3">
        <v>45608</v>
      </c>
      <c r="B3123" t="s">
        <v>386</v>
      </c>
      <c r="C3123" t="s">
        <v>105</v>
      </c>
      <c r="D3123" t="s">
        <v>20</v>
      </c>
      <c r="E3123" t="s">
        <v>67</v>
      </c>
      <c r="F3123" t="s">
        <v>40</v>
      </c>
      <c r="G3123" t="s">
        <v>164</v>
      </c>
      <c r="H3123" t="s">
        <v>202</v>
      </c>
      <c r="I3123">
        <v>0.05</v>
      </c>
      <c r="J3123">
        <f t="shared" si="144"/>
        <v>22.5</v>
      </c>
      <c r="K3123">
        <v>2</v>
      </c>
      <c r="L3123">
        <f t="shared" si="145"/>
        <v>20.5</v>
      </c>
      <c r="M3123" s="4">
        <f t="shared" si="146"/>
        <v>4.1000000000000002E-2</v>
      </c>
      <c r="N3123">
        <v>500</v>
      </c>
      <c r="O3123">
        <v>450</v>
      </c>
      <c r="P3123" t="s">
        <v>25</v>
      </c>
      <c r="Q3123" t="s">
        <v>26</v>
      </c>
      <c r="R3123" t="str">
        <f>IF(COUNTIF(Sheet2!B:B, A3123) &gt; 0, "Yes", "No")</f>
        <v>No</v>
      </c>
    </row>
    <row r="3124" spans="1:18" x14ac:dyDescent="0.25">
      <c r="A3124" s="3">
        <v>45608</v>
      </c>
      <c r="B3124" t="s">
        <v>386</v>
      </c>
      <c r="C3124" t="s">
        <v>105</v>
      </c>
      <c r="D3124" t="s">
        <v>20</v>
      </c>
      <c r="E3124" t="s">
        <v>67</v>
      </c>
      <c r="F3124" t="s">
        <v>43</v>
      </c>
      <c r="G3124" t="s">
        <v>90</v>
      </c>
      <c r="H3124" t="s">
        <v>705</v>
      </c>
      <c r="I3124">
        <v>0.11</v>
      </c>
      <c r="J3124">
        <f t="shared" si="144"/>
        <v>49.5</v>
      </c>
      <c r="K3124">
        <v>2</v>
      </c>
      <c r="L3124">
        <f t="shared" si="145"/>
        <v>47.5</v>
      </c>
      <c r="M3124" s="4">
        <f t="shared" si="146"/>
        <v>9.5000000000000001E-2</v>
      </c>
      <c r="N3124">
        <v>500</v>
      </c>
      <c r="O3124">
        <v>450</v>
      </c>
      <c r="P3124" t="s">
        <v>25</v>
      </c>
      <c r="Q3124" t="s">
        <v>26</v>
      </c>
      <c r="R3124" t="str">
        <f>IF(COUNTIF(Sheet2!B:B, A3124) &gt; 0, "Yes", "No")</f>
        <v>No</v>
      </c>
    </row>
    <row r="3125" spans="1:18" x14ac:dyDescent="0.25">
      <c r="A3125" s="3">
        <v>45608</v>
      </c>
      <c r="B3125" t="s">
        <v>386</v>
      </c>
      <c r="C3125" t="s">
        <v>105</v>
      </c>
      <c r="D3125" t="s">
        <v>20</v>
      </c>
      <c r="E3125" t="s">
        <v>67</v>
      </c>
      <c r="F3125" t="s">
        <v>46</v>
      </c>
      <c r="G3125" t="s">
        <v>103</v>
      </c>
      <c r="H3125" t="s">
        <v>309</v>
      </c>
      <c r="I3125">
        <v>0.09</v>
      </c>
      <c r="J3125">
        <f t="shared" si="144"/>
        <v>40.5</v>
      </c>
      <c r="K3125">
        <v>0</v>
      </c>
      <c r="L3125">
        <f t="shared" si="145"/>
        <v>40.5</v>
      </c>
      <c r="M3125" s="4">
        <f t="shared" si="146"/>
        <v>8.1000000000000003E-2</v>
      </c>
      <c r="N3125">
        <v>500</v>
      </c>
      <c r="O3125">
        <v>450</v>
      </c>
      <c r="P3125" t="s">
        <v>25</v>
      </c>
      <c r="Q3125" t="s">
        <v>26</v>
      </c>
      <c r="R3125" t="str">
        <f>IF(COUNTIF(Sheet2!B:B, A3125) &gt; 0, "Yes", "No")</f>
        <v>No</v>
      </c>
    </row>
    <row r="3126" spans="1:18" x14ac:dyDescent="0.25">
      <c r="A3126" s="3">
        <v>45608</v>
      </c>
      <c r="B3126" t="s">
        <v>386</v>
      </c>
      <c r="C3126" t="s">
        <v>105</v>
      </c>
      <c r="D3126" t="s">
        <v>20</v>
      </c>
      <c r="E3126" t="s">
        <v>67</v>
      </c>
      <c r="F3126" t="s">
        <v>49</v>
      </c>
      <c r="G3126" t="s">
        <v>50</v>
      </c>
      <c r="H3126" t="s">
        <v>49</v>
      </c>
      <c r="I3126">
        <v>0.09</v>
      </c>
      <c r="J3126">
        <f t="shared" si="144"/>
        <v>40.5</v>
      </c>
      <c r="K3126">
        <v>2</v>
      </c>
      <c r="L3126">
        <f t="shared" si="145"/>
        <v>38.5</v>
      </c>
      <c r="M3126" s="4">
        <f t="shared" si="146"/>
        <v>7.6999999999999999E-2</v>
      </c>
      <c r="N3126">
        <v>500</v>
      </c>
      <c r="O3126">
        <v>450</v>
      </c>
      <c r="P3126" t="s">
        <v>25</v>
      </c>
      <c r="Q3126" t="s">
        <v>26</v>
      </c>
      <c r="R3126" t="str">
        <f>IF(COUNTIF(Sheet2!B:B, A3126) &gt; 0, "Yes", "No")</f>
        <v>No</v>
      </c>
    </row>
    <row r="3127" spans="1:18" x14ac:dyDescent="0.25">
      <c r="A3127" s="3">
        <v>45609</v>
      </c>
      <c r="B3127" t="s">
        <v>386</v>
      </c>
      <c r="C3127" t="s">
        <v>51</v>
      </c>
      <c r="D3127" t="s">
        <v>20</v>
      </c>
      <c r="E3127" t="s">
        <v>21</v>
      </c>
      <c r="F3127" t="s">
        <v>22</v>
      </c>
      <c r="G3127" t="s">
        <v>122</v>
      </c>
      <c r="H3127" t="s">
        <v>132</v>
      </c>
      <c r="I3127">
        <v>8.5000000000000006E-2</v>
      </c>
      <c r="J3127">
        <f t="shared" si="144"/>
        <v>42.5</v>
      </c>
      <c r="K3127">
        <v>2</v>
      </c>
      <c r="L3127">
        <f t="shared" si="145"/>
        <v>40.5</v>
      </c>
      <c r="M3127" s="4">
        <f t="shared" si="146"/>
        <v>7.3636363636363639E-2</v>
      </c>
      <c r="N3127">
        <v>550</v>
      </c>
      <c r="O3127">
        <v>500</v>
      </c>
      <c r="P3127" t="s">
        <v>25</v>
      </c>
      <c r="Q3127" t="s">
        <v>26</v>
      </c>
      <c r="R3127" t="str">
        <f>IF(COUNTIF(Sheet2!B:B, A3127) &gt; 0, "Yes", "No")</f>
        <v>No</v>
      </c>
    </row>
    <row r="3128" spans="1:18" x14ac:dyDescent="0.25">
      <c r="A3128" s="3">
        <v>45609</v>
      </c>
      <c r="B3128" t="s">
        <v>386</v>
      </c>
      <c r="C3128" t="s">
        <v>51</v>
      </c>
      <c r="D3128" t="s">
        <v>20</v>
      </c>
      <c r="E3128" t="s">
        <v>21</v>
      </c>
      <c r="F3128" t="s">
        <v>27</v>
      </c>
      <c r="G3128" t="s">
        <v>28</v>
      </c>
      <c r="H3128" t="s">
        <v>210</v>
      </c>
      <c r="I3128">
        <v>0.11</v>
      </c>
      <c r="J3128">
        <f t="shared" si="144"/>
        <v>55</v>
      </c>
      <c r="K3128">
        <v>2</v>
      </c>
      <c r="L3128">
        <f t="shared" si="145"/>
        <v>53</v>
      </c>
      <c r="M3128" s="4">
        <f t="shared" si="146"/>
        <v>9.636363636363636E-2</v>
      </c>
      <c r="N3128">
        <v>550</v>
      </c>
      <c r="O3128">
        <v>500</v>
      </c>
      <c r="P3128" t="s">
        <v>25</v>
      </c>
      <c r="Q3128" t="s">
        <v>26</v>
      </c>
      <c r="R3128" t="str">
        <f>IF(COUNTIF(Sheet2!B:B, A3128) &gt; 0, "Yes", "No")</f>
        <v>No</v>
      </c>
    </row>
    <row r="3129" spans="1:18" x14ac:dyDescent="0.25">
      <c r="A3129" s="3">
        <v>45609</v>
      </c>
      <c r="B3129" t="s">
        <v>386</v>
      </c>
      <c r="C3129" t="s">
        <v>51</v>
      </c>
      <c r="D3129" t="s">
        <v>20</v>
      </c>
      <c r="E3129" t="s">
        <v>21</v>
      </c>
      <c r="F3129" t="s">
        <v>30</v>
      </c>
      <c r="G3129" t="s">
        <v>55</v>
      </c>
      <c r="H3129" t="s">
        <v>134</v>
      </c>
      <c r="I3129">
        <v>0.09</v>
      </c>
      <c r="J3129">
        <f t="shared" si="144"/>
        <v>45</v>
      </c>
      <c r="K3129">
        <v>2</v>
      </c>
      <c r="L3129">
        <f t="shared" si="145"/>
        <v>43</v>
      </c>
      <c r="M3129" s="4">
        <f t="shared" si="146"/>
        <v>7.8181818181818186E-2</v>
      </c>
      <c r="N3129">
        <v>550</v>
      </c>
      <c r="O3129">
        <v>500</v>
      </c>
      <c r="P3129" t="s">
        <v>25</v>
      </c>
      <c r="Q3129" t="s">
        <v>26</v>
      </c>
      <c r="R3129" t="str">
        <f>IF(COUNTIF(Sheet2!B:B, A3129) &gt; 0, "Yes", "No")</f>
        <v>No</v>
      </c>
    </row>
    <row r="3130" spans="1:18" x14ac:dyDescent="0.25">
      <c r="A3130" s="3">
        <v>45609</v>
      </c>
      <c r="B3130" t="s">
        <v>386</v>
      </c>
      <c r="C3130" t="s">
        <v>51</v>
      </c>
      <c r="D3130" t="s">
        <v>33</v>
      </c>
      <c r="E3130" t="s">
        <v>21</v>
      </c>
      <c r="F3130" t="s">
        <v>34</v>
      </c>
      <c r="G3130" t="s">
        <v>35</v>
      </c>
      <c r="H3130" t="s">
        <v>542</v>
      </c>
      <c r="I3130">
        <v>0.15</v>
      </c>
      <c r="J3130">
        <f t="shared" si="144"/>
        <v>49.5</v>
      </c>
      <c r="K3130">
        <v>0</v>
      </c>
      <c r="L3130">
        <f t="shared" si="145"/>
        <v>49.5</v>
      </c>
      <c r="M3130" s="4">
        <f t="shared" si="146"/>
        <v>0.12857142857142856</v>
      </c>
      <c r="N3130">
        <v>385</v>
      </c>
      <c r="O3130">
        <v>330</v>
      </c>
      <c r="P3130" t="s">
        <v>25</v>
      </c>
      <c r="Q3130" t="s">
        <v>26</v>
      </c>
      <c r="R3130" t="str">
        <f>IF(COUNTIF(Sheet2!B:B, A3130) &gt; 0, "Yes", "No")</f>
        <v>No</v>
      </c>
    </row>
    <row r="3131" spans="1:18" x14ac:dyDescent="0.25">
      <c r="A3131" s="3">
        <v>45609</v>
      </c>
      <c r="B3131" t="s">
        <v>386</v>
      </c>
      <c r="C3131" t="s">
        <v>51</v>
      </c>
      <c r="D3131" t="s">
        <v>20</v>
      </c>
      <c r="E3131" t="s">
        <v>21</v>
      </c>
      <c r="F3131" t="s">
        <v>37</v>
      </c>
      <c r="G3131" t="s">
        <v>38</v>
      </c>
      <c r="H3131" t="s">
        <v>39</v>
      </c>
      <c r="I3131">
        <v>0.03</v>
      </c>
      <c r="J3131">
        <f t="shared" si="144"/>
        <v>15</v>
      </c>
      <c r="K3131">
        <v>1.5</v>
      </c>
      <c r="L3131">
        <f t="shared" si="145"/>
        <v>13.5</v>
      </c>
      <c r="M3131" s="4">
        <f t="shared" si="146"/>
        <v>2.4545454545454544E-2</v>
      </c>
      <c r="N3131">
        <v>550</v>
      </c>
      <c r="O3131">
        <v>500</v>
      </c>
      <c r="P3131" t="s">
        <v>25</v>
      </c>
      <c r="Q3131" t="s">
        <v>26</v>
      </c>
      <c r="R3131" t="str">
        <f>IF(COUNTIF(Sheet2!B:B, A3131) &gt; 0, "Yes", "No")</f>
        <v>No</v>
      </c>
    </row>
    <row r="3132" spans="1:18" x14ac:dyDescent="0.25">
      <c r="A3132" s="3">
        <v>45609</v>
      </c>
      <c r="B3132" t="s">
        <v>386</v>
      </c>
      <c r="C3132" t="s">
        <v>51</v>
      </c>
      <c r="D3132" t="s">
        <v>20</v>
      </c>
      <c r="E3132" t="s">
        <v>21</v>
      </c>
      <c r="F3132" t="s">
        <v>40</v>
      </c>
      <c r="G3132" t="s">
        <v>61</v>
      </c>
      <c r="H3132" t="s">
        <v>62</v>
      </c>
      <c r="I3132">
        <v>4.4999999999999998E-2</v>
      </c>
      <c r="J3132">
        <f t="shared" si="144"/>
        <v>22.5</v>
      </c>
      <c r="K3132">
        <v>2</v>
      </c>
      <c r="L3132">
        <f t="shared" si="145"/>
        <v>20.5</v>
      </c>
      <c r="M3132" s="4">
        <f t="shared" si="146"/>
        <v>3.727272727272727E-2</v>
      </c>
      <c r="N3132">
        <v>550</v>
      </c>
      <c r="O3132">
        <v>500</v>
      </c>
      <c r="P3132" t="s">
        <v>25</v>
      </c>
      <c r="Q3132" t="s">
        <v>26</v>
      </c>
      <c r="R3132" t="str">
        <f>IF(COUNTIF(Sheet2!B:B, A3132) &gt; 0, "Yes", "No")</f>
        <v>No</v>
      </c>
    </row>
    <row r="3133" spans="1:18" x14ac:dyDescent="0.25">
      <c r="A3133" s="3">
        <v>45609</v>
      </c>
      <c r="B3133" t="s">
        <v>386</v>
      </c>
      <c r="C3133" t="s">
        <v>51</v>
      </c>
      <c r="D3133" t="s">
        <v>20</v>
      </c>
      <c r="E3133" t="s">
        <v>21</v>
      </c>
      <c r="F3133" t="s">
        <v>43</v>
      </c>
      <c r="G3133" t="s">
        <v>288</v>
      </c>
      <c r="H3133" t="s">
        <v>289</v>
      </c>
      <c r="I3133">
        <v>0.11</v>
      </c>
      <c r="J3133">
        <f t="shared" si="144"/>
        <v>55</v>
      </c>
      <c r="K3133">
        <v>2</v>
      </c>
      <c r="L3133">
        <f t="shared" si="145"/>
        <v>53</v>
      </c>
      <c r="M3133" s="4">
        <f t="shared" si="146"/>
        <v>9.636363636363636E-2</v>
      </c>
      <c r="N3133">
        <v>550</v>
      </c>
      <c r="O3133">
        <v>500</v>
      </c>
      <c r="P3133" t="s">
        <v>25</v>
      </c>
      <c r="Q3133" t="s">
        <v>26</v>
      </c>
      <c r="R3133" t="str">
        <f>IF(COUNTIF(Sheet2!B:B, A3133) &gt; 0, "Yes", "No")</f>
        <v>No</v>
      </c>
    </row>
    <row r="3134" spans="1:18" x14ac:dyDescent="0.25">
      <c r="A3134" s="3">
        <v>45609</v>
      </c>
      <c r="B3134" t="s">
        <v>386</v>
      </c>
      <c r="C3134" t="s">
        <v>51</v>
      </c>
      <c r="D3134" t="s">
        <v>20</v>
      </c>
      <c r="E3134" t="s">
        <v>21</v>
      </c>
      <c r="F3134" t="s">
        <v>46</v>
      </c>
      <c r="G3134" t="s">
        <v>130</v>
      </c>
      <c r="H3134" t="s">
        <v>367</v>
      </c>
      <c r="I3134">
        <v>8.5000000000000006E-2</v>
      </c>
      <c r="J3134">
        <f t="shared" si="144"/>
        <v>42.5</v>
      </c>
      <c r="K3134">
        <v>0</v>
      </c>
      <c r="L3134">
        <f t="shared" si="145"/>
        <v>42.5</v>
      </c>
      <c r="M3134" s="4">
        <f t="shared" si="146"/>
        <v>7.7272727272727271E-2</v>
      </c>
      <c r="N3134">
        <v>550</v>
      </c>
      <c r="O3134">
        <v>500</v>
      </c>
      <c r="P3134" t="s">
        <v>25</v>
      </c>
      <c r="Q3134" t="s">
        <v>26</v>
      </c>
      <c r="R3134" t="str">
        <f>IF(COUNTIF(Sheet2!B:B, A3134) &gt; 0, "Yes", "No")</f>
        <v>No</v>
      </c>
    </row>
    <row r="3135" spans="1:18" x14ac:dyDescent="0.25">
      <c r="A3135" s="3">
        <v>45609</v>
      </c>
      <c r="B3135" t="s">
        <v>386</v>
      </c>
      <c r="C3135" t="s">
        <v>51</v>
      </c>
      <c r="D3135" t="s">
        <v>20</v>
      </c>
      <c r="E3135" t="s">
        <v>21</v>
      </c>
      <c r="F3135" t="s">
        <v>49</v>
      </c>
      <c r="G3135" t="s">
        <v>50</v>
      </c>
      <c r="H3135" t="s">
        <v>49</v>
      </c>
      <c r="I3135">
        <v>0.09</v>
      </c>
      <c r="J3135">
        <f t="shared" si="144"/>
        <v>45</v>
      </c>
      <c r="K3135">
        <v>2</v>
      </c>
      <c r="L3135">
        <f t="shared" si="145"/>
        <v>43</v>
      </c>
      <c r="M3135" s="4">
        <f t="shared" si="146"/>
        <v>7.8181818181818186E-2</v>
      </c>
      <c r="N3135">
        <v>550</v>
      </c>
      <c r="O3135">
        <v>500</v>
      </c>
      <c r="P3135" t="s">
        <v>25</v>
      </c>
      <c r="Q3135" t="s">
        <v>26</v>
      </c>
      <c r="R3135" t="str">
        <f>IF(COUNTIF(Sheet2!B:B, A3135) &gt; 0, "Yes", "No")</f>
        <v>No</v>
      </c>
    </row>
    <row r="3136" spans="1:18" x14ac:dyDescent="0.25">
      <c r="A3136" s="3">
        <v>45610</v>
      </c>
      <c r="B3136" t="s">
        <v>386</v>
      </c>
      <c r="C3136" t="s">
        <v>66</v>
      </c>
      <c r="D3136" t="s">
        <v>20</v>
      </c>
      <c r="E3136" t="s">
        <v>67</v>
      </c>
      <c r="F3136" t="s">
        <v>22</v>
      </c>
      <c r="G3136" t="s">
        <v>94</v>
      </c>
      <c r="H3136" t="s">
        <v>95</v>
      </c>
      <c r="I3136">
        <v>8.5000000000000006E-2</v>
      </c>
      <c r="J3136">
        <f t="shared" si="144"/>
        <v>38.25</v>
      </c>
      <c r="K3136">
        <v>0</v>
      </c>
      <c r="L3136">
        <f t="shared" si="145"/>
        <v>38.25</v>
      </c>
      <c r="M3136" s="4">
        <f t="shared" si="146"/>
        <v>7.6499999999999999E-2</v>
      </c>
      <c r="N3136">
        <v>500</v>
      </c>
      <c r="O3136">
        <v>450</v>
      </c>
      <c r="P3136" t="s">
        <v>25</v>
      </c>
      <c r="Q3136" t="s">
        <v>26</v>
      </c>
      <c r="R3136" t="str">
        <f>IF(COUNTIF(Sheet2!B:B, A3136) &gt; 0, "Yes", "No")</f>
        <v>No</v>
      </c>
    </row>
    <row r="3137" spans="1:18" x14ac:dyDescent="0.25">
      <c r="A3137" s="3">
        <v>45610</v>
      </c>
      <c r="B3137" t="s">
        <v>386</v>
      </c>
      <c r="C3137" t="s">
        <v>66</v>
      </c>
      <c r="D3137" t="s">
        <v>20</v>
      </c>
      <c r="E3137" t="s">
        <v>67</v>
      </c>
      <c r="F3137" t="s">
        <v>27</v>
      </c>
      <c r="G3137" t="s">
        <v>28</v>
      </c>
      <c r="H3137" t="s">
        <v>182</v>
      </c>
      <c r="I3137">
        <v>0.11</v>
      </c>
      <c r="J3137">
        <f t="shared" si="144"/>
        <v>49.5</v>
      </c>
      <c r="K3137">
        <v>2</v>
      </c>
      <c r="L3137">
        <f t="shared" si="145"/>
        <v>47.5</v>
      </c>
      <c r="M3137" s="4">
        <f t="shared" si="146"/>
        <v>9.5000000000000001E-2</v>
      </c>
      <c r="N3137">
        <v>500</v>
      </c>
      <c r="O3137">
        <v>450</v>
      </c>
      <c r="P3137" t="s">
        <v>25</v>
      </c>
      <c r="Q3137" t="s">
        <v>26</v>
      </c>
      <c r="R3137" t="str">
        <f>IF(COUNTIF(Sheet2!B:B, A3137) &gt; 0, "Yes", "No")</f>
        <v>No</v>
      </c>
    </row>
    <row r="3138" spans="1:18" x14ac:dyDescent="0.25">
      <c r="A3138" s="3">
        <v>45610</v>
      </c>
      <c r="B3138" t="s">
        <v>386</v>
      </c>
      <c r="C3138" t="s">
        <v>66</v>
      </c>
      <c r="D3138" t="s">
        <v>20</v>
      </c>
      <c r="E3138" t="s">
        <v>67</v>
      </c>
      <c r="F3138" t="s">
        <v>30</v>
      </c>
      <c r="G3138" t="s">
        <v>55</v>
      </c>
      <c r="H3138" t="s">
        <v>56</v>
      </c>
      <c r="I3138">
        <v>0.09</v>
      </c>
      <c r="J3138">
        <f t="shared" si="144"/>
        <v>40.5</v>
      </c>
      <c r="K3138">
        <v>1</v>
      </c>
      <c r="L3138">
        <f t="shared" si="145"/>
        <v>39.5</v>
      </c>
      <c r="M3138" s="4">
        <f t="shared" si="146"/>
        <v>7.9000000000000001E-2</v>
      </c>
      <c r="N3138">
        <v>500</v>
      </c>
      <c r="O3138">
        <v>450</v>
      </c>
      <c r="P3138" t="s">
        <v>25</v>
      </c>
      <c r="Q3138" t="s">
        <v>26</v>
      </c>
      <c r="R3138" t="str">
        <f>IF(COUNTIF(Sheet2!B:B, A3138) &gt; 0, "Yes", "No")</f>
        <v>No</v>
      </c>
    </row>
    <row r="3139" spans="1:18" x14ac:dyDescent="0.25">
      <c r="A3139" s="3">
        <v>45610</v>
      </c>
      <c r="B3139" t="s">
        <v>386</v>
      </c>
      <c r="C3139" t="s">
        <v>66</v>
      </c>
      <c r="D3139" t="s">
        <v>20</v>
      </c>
      <c r="E3139" t="s">
        <v>67</v>
      </c>
      <c r="F3139" t="s">
        <v>37</v>
      </c>
      <c r="G3139" t="s">
        <v>108</v>
      </c>
      <c r="H3139" t="s">
        <v>109</v>
      </c>
      <c r="I3139">
        <v>3.5000000000000003E-2</v>
      </c>
      <c r="J3139">
        <f t="shared" ref="J3139:J3202" si="147">I3139*O3139</f>
        <v>15.750000000000002</v>
      </c>
      <c r="K3139">
        <v>1</v>
      </c>
      <c r="L3139">
        <f t="shared" ref="L3139:L3202" si="148">J3139-K3139</f>
        <v>14.750000000000002</v>
      </c>
      <c r="M3139" s="4">
        <f t="shared" ref="M3139:M3202" si="149">((I3139*O3139)-K3139)/N3139</f>
        <v>2.9500000000000002E-2</v>
      </c>
      <c r="N3139">
        <v>500</v>
      </c>
      <c r="O3139">
        <v>450</v>
      </c>
      <c r="P3139" t="s">
        <v>25</v>
      </c>
      <c r="Q3139" t="s">
        <v>26</v>
      </c>
      <c r="R3139" t="str">
        <f>IF(COUNTIF(Sheet2!B:B, A3139) &gt; 0, "Yes", "No")</f>
        <v>No</v>
      </c>
    </row>
    <row r="3140" spans="1:18" x14ac:dyDescent="0.25">
      <c r="A3140" s="3">
        <v>45610</v>
      </c>
      <c r="B3140" t="s">
        <v>386</v>
      </c>
      <c r="C3140" t="s">
        <v>66</v>
      </c>
      <c r="D3140" t="s">
        <v>20</v>
      </c>
      <c r="E3140" t="s">
        <v>67</v>
      </c>
      <c r="F3140" t="s">
        <v>40</v>
      </c>
      <c r="G3140" t="s">
        <v>41</v>
      </c>
      <c r="H3140" t="s">
        <v>534</v>
      </c>
      <c r="I3140">
        <v>0.05</v>
      </c>
      <c r="J3140">
        <f t="shared" si="147"/>
        <v>22.5</v>
      </c>
      <c r="K3140">
        <v>2</v>
      </c>
      <c r="L3140">
        <f t="shared" si="148"/>
        <v>20.5</v>
      </c>
      <c r="M3140" s="4">
        <f t="shared" si="149"/>
        <v>4.1000000000000002E-2</v>
      </c>
      <c r="N3140">
        <v>500</v>
      </c>
      <c r="O3140">
        <v>450</v>
      </c>
      <c r="P3140" t="s">
        <v>25</v>
      </c>
      <c r="Q3140" t="s">
        <v>26</v>
      </c>
      <c r="R3140" t="str">
        <f>IF(COUNTIF(Sheet2!B:B, A3140) &gt; 0, "Yes", "No")</f>
        <v>No</v>
      </c>
    </row>
    <row r="3141" spans="1:18" x14ac:dyDescent="0.25">
      <c r="A3141" s="3">
        <v>45610</v>
      </c>
      <c r="B3141" t="s">
        <v>386</v>
      </c>
      <c r="C3141" t="s">
        <v>66</v>
      </c>
      <c r="D3141" t="s">
        <v>20</v>
      </c>
      <c r="E3141" t="s">
        <v>67</v>
      </c>
      <c r="F3141" t="s">
        <v>43</v>
      </c>
      <c r="G3141" t="s">
        <v>159</v>
      </c>
      <c r="H3141" t="s">
        <v>160</v>
      </c>
      <c r="I3141">
        <v>0.11</v>
      </c>
      <c r="J3141">
        <f t="shared" si="147"/>
        <v>49.5</v>
      </c>
      <c r="K3141">
        <v>2</v>
      </c>
      <c r="L3141">
        <f t="shared" si="148"/>
        <v>47.5</v>
      </c>
      <c r="M3141" s="4">
        <f t="shared" si="149"/>
        <v>9.5000000000000001E-2</v>
      </c>
      <c r="N3141">
        <v>500</v>
      </c>
      <c r="O3141">
        <v>450</v>
      </c>
      <c r="P3141" t="s">
        <v>25</v>
      </c>
      <c r="Q3141" t="s">
        <v>26</v>
      </c>
      <c r="R3141" t="str">
        <f>IF(COUNTIF(Sheet2!B:B, A3141) &gt; 0, "Yes", "No")</f>
        <v>No</v>
      </c>
    </row>
    <row r="3142" spans="1:18" x14ac:dyDescent="0.25">
      <c r="A3142" s="3">
        <v>45610</v>
      </c>
      <c r="B3142" t="s">
        <v>386</v>
      </c>
      <c r="C3142" t="s">
        <v>66</v>
      </c>
      <c r="D3142" t="s">
        <v>20</v>
      </c>
      <c r="E3142" t="s">
        <v>67</v>
      </c>
      <c r="F3142" t="s">
        <v>46</v>
      </c>
      <c r="G3142" t="s">
        <v>92</v>
      </c>
      <c r="H3142" t="s">
        <v>259</v>
      </c>
      <c r="I3142">
        <v>8.5000000000000006E-2</v>
      </c>
      <c r="J3142">
        <f t="shared" si="147"/>
        <v>38.25</v>
      </c>
      <c r="K3142">
        <v>1</v>
      </c>
      <c r="L3142">
        <f t="shared" si="148"/>
        <v>37.25</v>
      </c>
      <c r="M3142" s="4">
        <f t="shared" si="149"/>
        <v>7.4499999999999997E-2</v>
      </c>
      <c r="N3142">
        <v>500</v>
      </c>
      <c r="O3142">
        <v>450</v>
      </c>
      <c r="P3142" t="s">
        <v>25</v>
      </c>
      <c r="Q3142" t="s">
        <v>26</v>
      </c>
      <c r="R3142" t="str">
        <f>IF(COUNTIF(Sheet2!B:B, A3142) &gt; 0, "Yes", "No")</f>
        <v>No</v>
      </c>
    </row>
    <row r="3143" spans="1:18" x14ac:dyDescent="0.25">
      <c r="A3143" s="3">
        <v>45610</v>
      </c>
      <c r="B3143" t="s">
        <v>386</v>
      </c>
      <c r="C3143" t="s">
        <v>66</v>
      </c>
      <c r="D3143" t="s">
        <v>20</v>
      </c>
      <c r="E3143" t="s">
        <v>67</v>
      </c>
      <c r="F3143" t="s">
        <v>49</v>
      </c>
      <c r="G3143" t="s">
        <v>50</v>
      </c>
      <c r="H3143" t="s">
        <v>49</v>
      </c>
      <c r="I3143">
        <v>0.09</v>
      </c>
      <c r="J3143">
        <f t="shared" si="147"/>
        <v>40.5</v>
      </c>
      <c r="K3143">
        <v>1</v>
      </c>
      <c r="L3143">
        <f t="shared" si="148"/>
        <v>39.5</v>
      </c>
      <c r="M3143" s="4">
        <f t="shared" si="149"/>
        <v>7.9000000000000001E-2</v>
      </c>
      <c r="N3143">
        <v>500</v>
      </c>
      <c r="O3143">
        <v>450</v>
      </c>
      <c r="P3143" t="s">
        <v>25</v>
      </c>
      <c r="Q3143" t="s">
        <v>26</v>
      </c>
      <c r="R3143" t="str">
        <f>IF(COUNTIF(Sheet2!B:B, A3143) &gt; 0, "Yes", "No")</f>
        <v>No</v>
      </c>
    </row>
    <row r="3144" spans="1:18" x14ac:dyDescent="0.25">
      <c r="A3144" s="3">
        <v>45611</v>
      </c>
      <c r="B3144" t="s">
        <v>386</v>
      </c>
      <c r="C3144" t="s">
        <v>79</v>
      </c>
      <c r="D3144" t="s">
        <v>20</v>
      </c>
      <c r="E3144" t="s">
        <v>21</v>
      </c>
      <c r="F3144" t="s">
        <v>22</v>
      </c>
      <c r="G3144" t="s">
        <v>52</v>
      </c>
      <c r="H3144" t="s">
        <v>746</v>
      </c>
      <c r="I3144" s="5">
        <v>0.06</v>
      </c>
      <c r="J3144">
        <f t="shared" si="147"/>
        <v>27</v>
      </c>
      <c r="K3144">
        <v>2</v>
      </c>
      <c r="L3144">
        <f t="shared" si="148"/>
        <v>25</v>
      </c>
      <c r="M3144" s="4">
        <f t="shared" si="149"/>
        <v>0.05</v>
      </c>
      <c r="N3144">
        <v>500</v>
      </c>
      <c r="O3144">
        <v>450</v>
      </c>
      <c r="P3144" t="s">
        <v>25</v>
      </c>
      <c r="Q3144" t="s">
        <v>26</v>
      </c>
      <c r="R3144" t="str">
        <f>IF(COUNTIF(Sheet2!B:B, A3144) &gt; 0, "Yes", "No")</f>
        <v>Yes</v>
      </c>
    </row>
    <row r="3145" spans="1:18" x14ac:dyDescent="0.25">
      <c r="A3145" s="3">
        <v>45611</v>
      </c>
      <c r="B3145" t="s">
        <v>386</v>
      </c>
      <c r="C3145" t="s">
        <v>79</v>
      </c>
      <c r="D3145" t="s">
        <v>20</v>
      </c>
      <c r="E3145" t="s">
        <v>21</v>
      </c>
      <c r="F3145" t="s">
        <v>27</v>
      </c>
      <c r="G3145" t="s">
        <v>81</v>
      </c>
      <c r="H3145" t="s">
        <v>747</v>
      </c>
      <c r="I3145" s="5">
        <v>0.1</v>
      </c>
      <c r="J3145">
        <f t="shared" si="147"/>
        <v>45</v>
      </c>
      <c r="K3145">
        <v>4</v>
      </c>
      <c r="L3145">
        <f t="shared" si="148"/>
        <v>41</v>
      </c>
      <c r="M3145" s="4">
        <f t="shared" si="149"/>
        <v>8.2000000000000003E-2</v>
      </c>
      <c r="N3145">
        <v>500</v>
      </c>
      <c r="O3145">
        <v>450</v>
      </c>
      <c r="P3145" t="s">
        <v>25</v>
      </c>
      <c r="Q3145" t="s">
        <v>26</v>
      </c>
      <c r="R3145" t="str">
        <f>IF(COUNTIF(Sheet2!B:B, A3145) &gt; 0, "Yes", "No")</f>
        <v>Yes</v>
      </c>
    </row>
    <row r="3146" spans="1:18" x14ac:dyDescent="0.25">
      <c r="A3146" s="3">
        <v>45611</v>
      </c>
      <c r="B3146" t="s">
        <v>386</v>
      </c>
      <c r="C3146" t="s">
        <v>79</v>
      </c>
      <c r="D3146" t="s">
        <v>20</v>
      </c>
      <c r="E3146" t="s">
        <v>21</v>
      </c>
      <c r="F3146" t="s">
        <v>30</v>
      </c>
      <c r="G3146" t="s">
        <v>31</v>
      </c>
      <c r="H3146" t="s">
        <v>70</v>
      </c>
      <c r="I3146" s="5">
        <v>0.06</v>
      </c>
      <c r="J3146">
        <f t="shared" si="147"/>
        <v>27</v>
      </c>
      <c r="K3146">
        <v>1</v>
      </c>
      <c r="L3146">
        <f t="shared" si="148"/>
        <v>26</v>
      </c>
      <c r="M3146" s="4">
        <f t="shared" si="149"/>
        <v>5.1999999999999998E-2</v>
      </c>
      <c r="N3146">
        <v>500</v>
      </c>
      <c r="O3146">
        <v>450</v>
      </c>
      <c r="P3146" t="s">
        <v>25</v>
      </c>
      <c r="Q3146" t="s">
        <v>26</v>
      </c>
      <c r="R3146" t="str">
        <f>IF(COUNTIF(Sheet2!B:B, A3146) &gt; 0, "Yes", "No")</f>
        <v>Yes</v>
      </c>
    </row>
    <row r="3147" spans="1:18" x14ac:dyDescent="0.25">
      <c r="A3147" s="3">
        <v>45611</v>
      </c>
      <c r="B3147" t="s">
        <v>386</v>
      </c>
      <c r="C3147" t="s">
        <v>79</v>
      </c>
      <c r="D3147" t="s">
        <v>33</v>
      </c>
      <c r="E3147" t="s">
        <v>21</v>
      </c>
      <c r="F3147" t="s">
        <v>84</v>
      </c>
      <c r="G3147" t="s">
        <v>85</v>
      </c>
      <c r="H3147" t="s">
        <v>363</v>
      </c>
      <c r="I3147" s="5">
        <v>0.3</v>
      </c>
      <c r="J3147">
        <f t="shared" si="147"/>
        <v>93</v>
      </c>
      <c r="K3147">
        <v>0</v>
      </c>
      <c r="L3147">
        <f t="shared" si="148"/>
        <v>93</v>
      </c>
      <c r="M3147" s="4">
        <f t="shared" si="149"/>
        <v>0.26571428571428574</v>
      </c>
      <c r="N3147">
        <v>350</v>
      </c>
      <c r="O3147">
        <v>310</v>
      </c>
      <c r="P3147" t="s">
        <v>25</v>
      </c>
      <c r="Q3147" t="s">
        <v>26</v>
      </c>
      <c r="R3147" t="str">
        <f>IF(COUNTIF(Sheet2!B:B, A3147) &gt; 0, "Yes", "No")</f>
        <v>Yes</v>
      </c>
    </row>
    <row r="3148" spans="1:18" x14ac:dyDescent="0.25">
      <c r="A3148" s="3">
        <v>45611</v>
      </c>
      <c r="B3148" t="s">
        <v>386</v>
      </c>
      <c r="C3148" t="s">
        <v>79</v>
      </c>
      <c r="D3148" t="s">
        <v>20</v>
      </c>
      <c r="E3148" t="s">
        <v>21</v>
      </c>
      <c r="F3148" t="s">
        <v>37</v>
      </c>
      <c r="G3148" t="s">
        <v>71</v>
      </c>
      <c r="H3148" t="s">
        <v>151</v>
      </c>
      <c r="I3148" s="5">
        <v>2.5000000000000001E-2</v>
      </c>
      <c r="J3148">
        <f t="shared" si="147"/>
        <v>11.25</v>
      </c>
      <c r="K3148">
        <v>2</v>
      </c>
      <c r="L3148">
        <f t="shared" si="148"/>
        <v>9.25</v>
      </c>
      <c r="M3148" s="4">
        <f t="shared" si="149"/>
        <v>1.8499999999999999E-2</v>
      </c>
      <c r="N3148">
        <v>500</v>
      </c>
      <c r="O3148">
        <v>450</v>
      </c>
      <c r="P3148" t="s">
        <v>25</v>
      </c>
      <c r="Q3148" t="s">
        <v>26</v>
      </c>
      <c r="R3148" t="str">
        <f>IF(COUNTIF(Sheet2!B:B, A3148) &gt; 0, "Yes", "No")</f>
        <v>Yes</v>
      </c>
    </row>
    <row r="3149" spans="1:18" x14ac:dyDescent="0.25">
      <c r="A3149" s="3">
        <v>45611</v>
      </c>
      <c r="B3149" t="s">
        <v>386</v>
      </c>
      <c r="C3149" t="s">
        <v>79</v>
      </c>
      <c r="D3149" t="s">
        <v>20</v>
      </c>
      <c r="E3149" t="s">
        <v>21</v>
      </c>
      <c r="F3149" t="s">
        <v>40</v>
      </c>
      <c r="G3149" t="s">
        <v>164</v>
      </c>
      <c r="H3149" t="s">
        <v>193</v>
      </c>
      <c r="I3149" s="5">
        <v>0.04</v>
      </c>
      <c r="J3149">
        <f t="shared" si="147"/>
        <v>18</v>
      </c>
      <c r="K3149">
        <v>2</v>
      </c>
      <c r="L3149">
        <f t="shared" si="148"/>
        <v>16</v>
      </c>
      <c r="M3149" s="4">
        <f t="shared" si="149"/>
        <v>3.2000000000000001E-2</v>
      </c>
      <c r="N3149">
        <v>500</v>
      </c>
      <c r="O3149">
        <v>450</v>
      </c>
      <c r="P3149" t="s">
        <v>25</v>
      </c>
      <c r="Q3149" t="s">
        <v>26</v>
      </c>
      <c r="R3149" t="str">
        <f>IF(COUNTIF(Sheet2!B:B, A3149) &gt; 0, "Yes", "No")</f>
        <v>Yes</v>
      </c>
    </row>
    <row r="3150" spans="1:18" x14ac:dyDescent="0.25">
      <c r="A3150" s="3">
        <v>45611</v>
      </c>
      <c r="B3150" t="s">
        <v>386</v>
      </c>
      <c r="C3150" t="s">
        <v>79</v>
      </c>
      <c r="D3150" t="s">
        <v>20</v>
      </c>
      <c r="E3150" t="s">
        <v>21</v>
      </c>
      <c r="F3150" t="s">
        <v>43</v>
      </c>
      <c r="G3150" t="s">
        <v>90</v>
      </c>
      <c r="H3150" t="s">
        <v>748</v>
      </c>
      <c r="I3150" s="5">
        <v>7.0000000000000007E-2</v>
      </c>
      <c r="J3150">
        <f t="shared" si="147"/>
        <v>31.500000000000004</v>
      </c>
      <c r="K3150">
        <v>3</v>
      </c>
      <c r="L3150">
        <f t="shared" si="148"/>
        <v>28.500000000000004</v>
      </c>
      <c r="M3150" s="4">
        <f t="shared" si="149"/>
        <v>5.7000000000000009E-2</v>
      </c>
      <c r="N3150">
        <v>500</v>
      </c>
      <c r="O3150">
        <v>450</v>
      </c>
      <c r="P3150" t="s">
        <v>25</v>
      </c>
      <c r="Q3150" t="s">
        <v>26</v>
      </c>
      <c r="R3150" t="str">
        <f>IF(COUNTIF(Sheet2!B:B, A3150) &gt; 0, "Yes", "No")</f>
        <v>Yes</v>
      </c>
    </row>
    <row r="3151" spans="1:18" x14ac:dyDescent="0.25">
      <c r="A3151" s="3">
        <v>45611</v>
      </c>
      <c r="B3151" t="s">
        <v>386</v>
      </c>
      <c r="C3151" t="s">
        <v>79</v>
      </c>
      <c r="D3151" t="s">
        <v>20</v>
      </c>
      <c r="E3151" t="s">
        <v>21</v>
      </c>
      <c r="F3151" t="s">
        <v>46</v>
      </c>
      <c r="G3151" t="s">
        <v>47</v>
      </c>
      <c r="H3151" t="s">
        <v>518</v>
      </c>
      <c r="I3151" s="5">
        <v>5.5E-2</v>
      </c>
      <c r="J3151">
        <f t="shared" si="147"/>
        <v>24.75</v>
      </c>
      <c r="K3151">
        <v>3</v>
      </c>
      <c r="L3151">
        <f t="shared" si="148"/>
        <v>21.75</v>
      </c>
      <c r="M3151" s="4">
        <f t="shared" si="149"/>
        <v>4.3499999999999997E-2</v>
      </c>
      <c r="N3151">
        <v>500</v>
      </c>
      <c r="O3151">
        <v>450</v>
      </c>
      <c r="P3151" t="s">
        <v>25</v>
      </c>
      <c r="Q3151" t="s">
        <v>26</v>
      </c>
      <c r="R3151" t="str">
        <f>IF(COUNTIF(Sheet2!B:B, A3151) &gt; 0, "Yes", "No")</f>
        <v>Yes</v>
      </c>
    </row>
    <row r="3152" spans="1:18" x14ac:dyDescent="0.25">
      <c r="A3152" s="3">
        <v>45611</v>
      </c>
      <c r="B3152" t="s">
        <v>386</v>
      </c>
      <c r="C3152" t="s">
        <v>79</v>
      </c>
      <c r="D3152" t="s">
        <v>20</v>
      </c>
      <c r="E3152" t="s">
        <v>21</v>
      </c>
      <c r="F3152" t="s">
        <v>49</v>
      </c>
      <c r="G3152" t="s">
        <v>50</v>
      </c>
      <c r="H3152" t="s">
        <v>49</v>
      </c>
      <c r="I3152" s="5">
        <v>0.04</v>
      </c>
      <c r="J3152">
        <f t="shared" si="147"/>
        <v>18</v>
      </c>
      <c r="K3152">
        <v>3</v>
      </c>
      <c r="L3152">
        <f t="shared" si="148"/>
        <v>15</v>
      </c>
      <c r="M3152" s="4">
        <f t="shared" si="149"/>
        <v>0.03</v>
      </c>
      <c r="N3152">
        <v>500</v>
      </c>
      <c r="O3152">
        <v>450</v>
      </c>
      <c r="P3152" t="s">
        <v>25</v>
      </c>
      <c r="Q3152" t="s">
        <v>26</v>
      </c>
      <c r="R3152" t="str">
        <f>IF(COUNTIF(Sheet2!B:B, A3152) &gt; 0, "Yes", "No")</f>
        <v>Yes</v>
      </c>
    </row>
    <row r="3153" spans="1:18" x14ac:dyDescent="0.25">
      <c r="A3153" s="3">
        <v>45614</v>
      </c>
      <c r="B3153" t="s">
        <v>386</v>
      </c>
      <c r="C3153" t="s">
        <v>19</v>
      </c>
      <c r="D3153" t="s">
        <v>20</v>
      </c>
      <c r="E3153" t="s">
        <v>21</v>
      </c>
      <c r="F3153" t="s">
        <v>22</v>
      </c>
      <c r="G3153" t="s">
        <v>52</v>
      </c>
      <c r="H3153" t="s">
        <v>53</v>
      </c>
      <c r="I3153">
        <v>8.5000000000000006E-2</v>
      </c>
      <c r="J3153">
        <f t="shared" si="147"/>
        <v>42.5</v>
      </c>
      <c r="K3153">
        <v>2</v>
      </c>
      <c r="L3153">
        <f t="shared" si="148"/>
        <v>40.5</v>
      </c>
      <c r="M3153" s="4">
        <f t="shared" si="149"/>
        <v>7.3636363636363639E-2</v>
      </c>
      <c r="N3153">
        <v>550</v>
      </c>
      <c r="O3153">
        <v>500</v>
      </c>
      <c r="P3153" t="s">
        <v>25</v>
      </c>
      <c r="Q3153" t="s">
        <v>26</v>
      </c>
      <c r="R3153" t="str">
        <f>IF(COUNTIF(Sheet2!B:B, A3153) &gt; 0, "Yes", "No")</f>
        <v>No</v>
      </c>
    </row>
    <row r="3154" spans="1:18" x14ac:dyDescent="0.25">
      <c r="A3154" s="3">
        <v>45614</v>
      </c>
      <c r="B3154" t="s">
        <v>386</v>
      </c>
      <c r="C3154" t="s">
        <v>19</v>
      </c>
      <c r="D3154" t="s">
        <v>20</v>
      </c>
      <c r="E3154" t="s">
        <v>21</v>
      </c>
      <c r="F3154" t="s">
        <v>27</v>
      </c>
      <c r="G3154" t="s">
        <v>190</v>
      </c>
      <c r="H3154" t="s">
        <v>573</v>
      </c>
      <c r="I3154">
        <v>0.11</v>
      </c>
      <c r="J3154">
        <f t="shared" si="147"/>
        <v>55</v>
      </c>
      <c r="K3154">
        <v>2</v>
      </c>
      <c r="L3154">
        <f t="shared" si="148"/>
        <v>53</v>
      </c>
      <c r="M3154" s="4">
        <f t="shared" si="149"/>
        <v>9.636363636363636E-2</v>
      </c>
      <c r="N3154">
        <v>550</v>
      </c>
      <c r="O3154">
        <v>500</v>
      </c>
      <c r="P3154" t="s">
        <v>25</v>
      </c>
      <c r="Q3154" t="s">
        <v>26</v>
      </c>
      <c r="R3154" t="str">
        <f>IF(COUNTIF(Sheet2!B:B, A3154) &gt; 0, "Yes", "No")</f>
        <v>No</v>
      </c>
    </row>
    <row r="3155" spans="1:18" x14ac:dyDescent="0.25">
      <c r="A3155" s="3">
        <v>45614</v>
      </c>
      <c r="B3155" t="s">
        <v>386</v>
      </c>
      <c r="C3155" t="s">
        <v>19</v>
      </c>
      <c r="D3155" t="s">
        <v>20</v>
      </c>
      <c r="E3155" t="s">
        <v>21</v>
      </c>
      <c r="F3155" t="s">
        <v>30</v>
      </c>
      <c r="G3155" t="s">
        <v>55</v>
      </c>
      <c r="H3155" t="s">
        <v>125</v>
      </c>
      <c r="I3155">
        <v>0.09</v>
      </c>
      <c r="J3155">
        <f t="shared" si="147"/>
        <v>45</v>
      </c>
      <c r="K3155">
        <v>1</v>
      </c>
      <c r="L3155">
        <f t="shared" si="148"/>
        <v>44</v>
      </c>
      <c r="M3155" s="4">
        <f t="shared" si="149"/>
        <v>0.08</v>
      </c>
      <c r="N3155">
        <v>550</v>
      </c>
      <c r="O3155">
        <v>500</v>
      </c>
      <c r="P3155" t="s">
        <v>25</v>
      </c>
      <c r="Q3155" t="s">
        <v>26</v>
      </c>
      <c r="R3155" t="str">
        <f>IF(COUNTIF(Sheet2!B:B, A3155) &gt; 0, "Yes", "No")</f>
        <v>No</v>
      </c>
    </row>
    <row r="3156" spans="1:18" x14ac:dyDescent="0.25">
      <c r="A3156" s="3">
        <v>45614</v>
      </c>
      <c r="B3156" t="s">
        <v>386</v>
      </c>
      <c r="C3156" t="s">
        <v>19</v>
      </c>
      <c r="D3156" t="s">
        <v>33</v>
      </c>
      <c r="E3156" t="s">
        <v>21</v>
      </c>
      <c r="F3156" t="s">
        <v>34</v>
      </c>
      <c r="G3156" t="s">
        <v>35</v>
      </c>
      <c r="H3156" t="s">
        <v>749</v>
      </c>
      <c r="I3156">
        <v>0.15</v>
      </c>
      <c r="J3156">
        <f t="shared" si="147"/>
        <v>45</v>
      </c>
      <c r="K3156">
        <v>0</v>
      </c>
      <c r="L3156">
        <f t="shared" si="148"/>
        <v>45</v>
      </c>
      <c r="M3156" s="4">
        <f t="shared" si="149"/>
        <v>0.11688311688311688</v>
      </c>
      <c r="N3156">
        <v>385</v>
      </c>
      <c r="O3156">
        <v>300</v>
      </c>
      <c r="P3156" t="s">
        <v>25</v>
      </c>
      <c r="Q3156" t="s">
        <v>26</v>
      </c>
      <c r="R3156" t="str">
        <f>IF(COUNTIF(Sheet2!B:B, A3156) &gt; 0, "Yes", "No")</f>
        <v>No</v>
      </c>
    </row>
    <row r="3157" spans="1:18" x14ac:dyDescent="0.25">
      <c r="A3157" s="3">
        <v>45614</v>
      </c>
      <c r="B3157" t="s">
        <v>386</v>
      </c>
      <c r="C3157" t="s">
        <v>19</v>
      </c>
      <c r="D3157" t="s">
        <v>20</v>
      </c>
      <c r="E3157" t="s">
        <v>21</v>
      </c>
      <c r="F3157" t="s">
        <v>37</v>
      </c>
      <c r="G3157" t="s">
        <v>117</v>
      </c>
      <c r="H3157" t="s">
        <v>421</v>
      </c>
      <c r="I3157">
        <v>0.03</v>
      </c>
      <c r="J3157">
        <f t="shared" si="147"/>
        <v>15</v>
      </c>
      <c r="K3157">
        <v>1</v>
      </c>
      <c r="L3157">
        <f t="shared" si="148"/>
        <v>14</v>
      </c>
      <c r="M3157" s="4">
        <f t="shared" si="149"/>
        <v>2.5454545454545455E-2</v>
      </c>
      <c r="N3157">
        <v>550</v>
      </c>
      <c r="O3157">
        <v>500</v>
      </c>
      <c r="P3157" t="s">
        <v>25</v>
      </c>
      <c r="Q3157" t="s">
        <v>26</v>
      </c>
      <c r="R3157" t="str">
        <f>IF(COUNTIF(Sheet2!B:B, A3157) &gt; 0, "Yes", "No")</f>
        <v>No</v>
      </c>
    </row>
    <row r="3158" spans="1:18" x14ac:dyDescent="0.25">
      <c r="A3158" s="3">
        <v>45614</v>
      </c>
      <c r="B3158" t="s">
        <v>386</v>
      </c>
      <c r="C3158" t="s">
        <v>19</v>
      </c>
      <c r="D3158" t="s">
        <v>20</v>
      </c>
      <c r="E3158" t="s">
        <v>21</v>
      </c>
      <c r="F3158" t="s">
        <v>40</v>
      </c>
      <c r="G3158" t="s">
        <v>137</v>
      </c>
      <c r="H3158" t="s">
        <v>690</v>
      </c>
      <c r="I3158">
        <v>4.4999999999999998E-2</v>
      </c>
      <c r="J3158">
        <f t="shared" si="147"/>
        <v>22.5</v>
      </c>
      <c r="K3158">
        <v>1</v>
      </c>
      <c r="L3158">
        <f t="shared" si="148"/>
        <v>21.5</v>
      </c>
      <c r="M3158" s="4">
        <f t="shared" si="149"/>
        <v>3.9090909090909093E-2</v>
      </c>
      <c r="N3158">
        <v>550</v>
      </c>
      <c r="O3158">
        <v>500</v>
      </c>
      <c r="P3158" t="s">
        <v>25</v>
      </c>
      <c r="Q3158" t="s">
        <v>26</v>
      </c>
      <c r="R3158" t="str">
        <f>IF(COUNTIF(Sheet2!B:B, A3158) &gt; 0, "Yes", "No")</f>
        <v>No</v>
      </c>
    </row>
    <row r="3159" spans="1:18" x14ac:dyDescent="0.25">
      <c r="A3159" s="3">
        <v>45614</v>
      </c>
      <c r="B3159" t="s">
        <v>386</v>
      </c>
      <c r="C3159" t="s">
        <v>19</v>
      </c>
      <c r="D3159" t="s">
        <v>20</v>
      </c>
      <c r="E3159" t="s">
        <v>21</v>
      </c>
      <c r="F3159" t="s">
        <v>43</v>
      </c>
      <c r="G3159" t="s">
        <v>359</v>
      </c>
      <c r="H3159" t="s">
        <v>360</v>
      </c>
      <c r="I3159">
        <v>0.11</v>
      </c>
      <c r="J3159">
        <f t="shared" si="147"/>
        <v>55</v>
      </c>
      <c r="K3159">
        <v>0.6</v>
      </c>
      <c r="L3159">
        <f t="shared" si="148"/>
        <v>54.4</v>
      </c>
      <c r="M3159" s="4">
        <f t="shared" si="149"/>
        <v>9.8909090909090905E-2</v>
      </c>
      <c r="N3159">
        <v>550</v>
      </c>
      <c r="O3159">
        <v>500</v>
      </c>
      <c r="P3159" t="s">
        <v>25</v>
      </c>
      <c r="Q3159" t="s">
        <v>26</v>
      </c>
      <c r="R3159" t="str">
        <f>IF(COUNTIF(Sheet2!B:B, A3159) &gt; 0, "Yes", "No")</f>
        <v>No</v>
      </c>
    </row>
    <row r="3160" spans="1:18" x14ac:dyDescent="0.25">
      <c r="A3160" s="3">
        <v>45614</v>
      </c>
      <c r="B3160" t="s">
        <v>386</v>
      </c>
      <c r="C3160" t="s">
        <v>19</v>
      </c>
      <c r="D3160" t="s">
        <v>20</v>
      </c>
      <c r="E3160" t="s">
        <v>21</v>
      </c>
      <c r="F3160" t="s">
        <v>46</v>
      </c>
      <c r="G3160" t="s">
        <v>47</v>
      </c>
      <c r="H3160" t="s">
        <v>141</v>
      </c>
      <c r="I3160">
        <v>8.5000000000000006E-2</v>
      </c>
      <c r="J3160">
        <f t="shared" si="147"/>
        <v>42.5</v>
      </c>
      <c r="K3160">
        <v>1.5</v>
      </c>
      <c r="L3160">
        <f t="shared" si="148"/>
        <v>41</v>
      </c>
      <c r="M3160" s="4">
        <f t="shared" si="149"/>
        <v>7.454545454545454E-2</v>
      </c>
      <c r="N3160">
        <v>550</v>
      </c>
      <c r="O3160">
        <v>500</v>
      </c>
      <c r="P3160" t="s">
        <v>25</v>
      </c>
      <c r="Q3160" t="s">
        <v>26</v>
      </c>
      <c r="R3160" t="str">
        <f>IF(COUNTIF(Sheet2!B:B, A3160) &gt; 0, "Yes", "No")</f>
        <v>No</v>
      </c>
    </row>
    <row r="3161" spans="1:18" x14ac:dyDescent="0.25">
      <c r="A3161" s="3">
        <v>45614</v>
      </c>
      <c r="B3161" t="s">
        <v>386</v>
      </c>
      <c r="C3161" t="s">
        <v>19</v>
      </c>
      <c r="D3161" t="s">
        <v>20</v>
      </c>
      <c r="E3161" t="s">
        <v>21</v>
      </c>
      <c r="F3161" t="s">
        <v>49</v>
      </c>
      <c r="G3161" t="s">
        <v>50</v>
      </c>
      <c r="H3161" t="s">
        <v>49</v>
      </c>
      <c r="I3161">
        <v>0.09</v>
      </c>
      <c r="J3161">
        <f t="shared" si="147"/>
        <v>45</v>
      </c>
      <c r="K3161">
        <v>0</v>
      </c>
      <c r="L3161">
        <f t="shared" si="148"/>
        <v>45</v>
      </c>
      <c r="M3161" s="4">
        <f t="shared" si="149"/>
        <v>8.1818181818181818E-2</v>
      </c>
      <c r="N3161">
        <v>550</v>
      </c>
      <c r="O3161">
        <v>500</v>
      </c>
      <c r="P3161" t="s">
        <v>25</v>
      </c>
      <c r="Q3161" t="s">
        <v>26</v>
      </c>
      <c r="R3161" t="str">
        <f>IF(COUNTIF(Sheet2!B:B, A3161) &gt; 0, "Yes", "No")</f>
        <v>No</v>
      </c>
    </row>
    <row r="3162" spans="1:18" x14ac:dyDescent="0.25">
      <c r="A3162" s="3">
        <v>45615</v>
      </c>
      <c r="B3162" t="s">
        <v>386</v>
      </c>
      <c r="C3162" t="s">
        <v>105</v>
      </c>
      <c r="D3162" t="s">
        <v>20</v>
      </c>
      <c r="E3162" t="s">
        <v>67</v>
      </c>
      <c r="F3162" t="s">
        <v>22</v>
      </c>
      <c r="G3162" t="s">
        <v>94</v>
      </c>
      <c r="H3162" t="s">
        <v>143</v>
      </c>
      <c r="I3162">
        <v>8.5000000000000006E-2</v>
      </c>
      <c r="J3162">
        <f t="shared" si="147"/>
        <v>38.25</v>
      </c>
      <c r="K3162">
        <v>0</v>
      </c>
      <c r="L3162">
        <f t="shared" si="148"/>
        <v>38.25</v>
      </c>
      <c r="M3162" s="4">
        <f t="shared" si="149"/>
        <v>7.355769230769231E-2</v>
      </c>
      <c r="N3162">
        <v>520</v>
      </c>
      <c r="O3162">
        <v>450</v>
      </c>
      <c r="P3162" t="s">
        <v>25</v>
      </c>
      <c r="Q3162" t="s">
        <v>26</v>
      </c>
      <c r="R3162" t="str">
        <f>IF(COUNTIF(Sheet2!B:B, A3162) &gt; 0, "Yes", "No")</f>
        <v>No</v>
      </c>
    </row>
    <row r="3163" spans="1:18" x14ac:dyDescent="0.25">
      <c r="A3163" s="3">
        <v>45615</v>
      </c>
      <c r="B3163" t="s">
        <v>386</v>
      </c>
      <c r="C3163" t="s">
        <v>105</v>
      </c>
      <c r="D3163" t="s">
        <v>20</v>
      </c>
      <c r="E3163" t="s">
        <v>67</v>
      </c>
      <c r="F3163" t="s">
        <v>27</v>
      </c>
      <c r="G3163" t="s">
        <v>235</v>
      </c>
      <c r="H3163" t="s">
        <v>581</v>
      </c>
      <c r="I3163">
        <v>0.12</v>
      </c>
      <c r="J3163">
        <f t="shared" si="147"/>
        <v>54</v>
      </c>
      <c r="K3163">
        <v>0</v>
      </c>
      <c r="L3163">
        <f t="shared" si="148"/>
        <v>54</v>
      </c>
      <c r="M3163" s="4">
        <f t="shared" si="149"/>
        <v>0.10384615384615385</v>
      </c>
      <c r="N3163">
        <v>520</v>
      </c>
      <c r="O3163">
        <v>450</v>
      </c>
      <c r="P3163" t="s">
        <v>25</v>
      </c>
      <c r="Q3163" t="s">
        <v>26</v>
      </c>
      <c r="R3163" t="str">
        <f>IF(COUNTIF(Sheet2!B:B, A3163) &gt; 0, "Yes", "No")</f>
        <v>No</v>
      </c>
    </row>
    <row r="3164" spans="1:18" x14ac:dyDescent="0.25">
      <c r="A3164" s="3">
        <v>45615</v>
      </c>
      <c r="B3164" t="s">
        <v>386</v>
      </c>
      <c r="C3164" t="s">
        <v>105</v>
      </c>
      <c r="D3164" t="s">
        <v>20</v>
      </c>
      <c r="E3164" t="s">
        <v>67</v>
      </c>
      <c r="F3164" t="s">
        <v>30</v>
      </c>
      <c r="G3164" t="s">
        <v>31</v>
      </c>
      <c r="H3164" t="s">
        <v>31</v>
      </c>
      <c r="I3164">
        <v>0.09</v>
      </c>
      <c r="J3164">
        <f t="shared" si="147"/>
        <v>40.5</v>
      </c>
      <c r="K3164">
        <v>0</v>
      </c>
      <c r="L3164">
        <f t="shared" si="148"/>
        <v>40.5</v>
      </c>
      <c r="M3164" s="4">
        <f t="shared" si="149"/>
        <v>7.7884615384615385E-2</v>
      </c>
      <c r="N3164">
        <v>520</v>
      </c>
      <c r="O3164">
        <v>450</v>
      </c>
      <c r="P3164" t="s">
        <v>25</v>
      </c>
      <c r="Q3164" t="s">
        <v>26</v>
      </c>
      <c r="R3164" t="str">
        <f>IF(COUNTIF(Sheet2!B:B, A3164) &gt; 0, "Yes", "No")</f>
        <v>No</v>
      </c>
    </row>
    <row r="3165" spans="1:18" x14ac:dyDescent="0.25">
      <c r="A3165" s="3">
        <v>45615</v>
      </c>
      <c r="B3165" t="s">
        <v>386</v>
      </c>
      <c r="C3165" t="s">
        <v>105</v>
      </c>
      <c r="D3165" t="s">
        <v>20</v>
      </c>
      <c r="E3165" t="s">
        <v>67</v>
      </c>
      <c r="F3165" t="s">
        <v>37</v>
      </c>
      <c r="G3165" t="s">
        <v>59</v>
      </c>
      <c r="H3165" t="s">
        <v>60</v>
      </c>
      <c r="I3165">
        <v>3.5000000000000003E-2</v>
      </c>
      <c r="J3165">
        <f t="shared" si="147"/>
        <v>15.750000000000002</v>
      </c>
      <c r="K3165">
        <v>3</v>
      </c>
      <c r="L3165">
        <f t="shared" si="148"/>
        <v>12.750000000000002</v>
      </c>
      <c r="M3165" s="4">
        <f t="shared" si="149"/>
        <v>2.4519230769230772E-2</v>
      </c>
      <c r="N3165">
        <v>520</v>
      </c>
      <c r="O3165">
        <v>450</v>
      </c>
      <c r="P3165" t="s">
        <v>25</v>
      </c>
      <c r="Q3165" t="s">
        <v>26</v>
      </c>
      <c r="R3165" t="str">
        <f>IF(COUNTIF(Sheet2!B:B, A3165) &gt; 0, "Yes", "No")</f>
        <v>No</v>
      </c>
    </row>
    <row r="3166" spans="1:18" x14ac:dyDescent="0.25">
      <c r="A3166" s="3">
        <v>45615</v>
      </c>
      <c r="B3166" t="s">
        <v>386</v>
      </c>
      <c r="C3166" t="s">
        <v>105</v>
      </c>
      <c r="D3166" t="s">
        <v>20</v>
      </c>
      <c r="E3166" t="s">
        <v>67</v>
      </c>
      <c r="F3166" t="s">
        <v>40</v>
      </c>
      <c r="G3166" t="s">
        <v>137</v>
      </c>
      <c r="H3166" t="s">
        <v>138</v>
      </c>
      <c r="I3166">
        <v>0.05</v>
      </c>
      <c r="J3166">
        <f t="shared" si="147"/>
        <v>22.5</v>
      </c>
      <c r="K3166">
        <v>2</v>
      </c>
      <c r="L3166">
        <f t="shared" si="148"/>
        <v>20.5</v>
      </c>
      <c r="M3166" s="4">
        <f t="shared" si="149"/>
        <v>3.9423076923076922E-2</v>
      </c>
      <c r="N3166">
        <v>520</v>
      </c>
      <c r="O3166">
        <v>450</v>
      </c>
      <c r="P3166" t="s">
        <v>25</v>
      </c>
      <c r="Q3166" t="s">
        <v>26</v>
      </c>
      <c r="R3166" t="str">
        <f>IF(COUNTIF(Sheet2!B:B, A3166) &gt; 0, "Yes", "No")</f>
        <v>No</v>
      </c>
    </row>
    <row r="3167" spans="1:18" x14ac:dyDescent="0.25">
      <c r="A3167" s="3">
        <v>45615</v>
      </c>
      <c r="B3167" t="s">
        <v>386</v>
      </c>
      <c r="C3167" t="s">
        <v>105</v>
      </c>
      <c r="D3167" t="s">
        <v>20</v>
      </c>
      <c r="E3167" t="s">
        <v>67</v>
      </c>
      <c r="F3167" t="s">
        <v>43</v>
      </c>
      <c r="G3167" t="s">
        <v>90</v>
      </c>
      <c r="H3167" t="s">
        <v>255</v>
      </c>
      <c r="I3167">
        <v>0.11</v>
      </c>
      <c r="J3167">
        <f t="shared" si="147"/>
        <v>49.5</v>
      </c>
      <c r="K3167">
        <v>3</v>
      </c>
      <c r="L3167">
        <f t="shared" si="148"/>
        <v>46.5</v>
      </c>
      <c r="M3167" s="4">
        <f t="shared" si="149"/>
        <v>8.9423076923076925E-2</v>
      </c>
      <c r="N3167">
        <v>520</v>
      </c>
      <c r="O3167">
        <v>450</v>
      </c>
      <c r="P3167" t="s">
        <v>25</v>
      </c>
      <c r="Q3167" t="s">
        <v>26</v>
      </c>
      <c r="R3167" t="str">
        <f>IF(COUNTIF(Sheet2!B:B, A3167) &gt; 0, "Yes", "No")</f>
        <v>No</v>
      </c>
    </row>
    <row r="3168" spans="1:18" x14ac:dyDescent="0.25">
      <c r="A3168" s="3">
        <v>45615</v>
      </c>
      <c r="B3168" t="s">
        <v>386</v>
      </c>
      <c r="C3168" t="s">
        <v>105</v>
      </c>
      <c r="D3168" t="s">
        <v>20</v>
      </c>
      <c r="E3168" t="s">
        <v>67</v>
      </c>
      <c r="F3168" t="s">
        <v>46</v>
      </c>
      <c r="G3168" t="s">
        <v>92</v>
      </c>
      <c r="H3168" t="s">
        <v>750</v>
      </c>
      <c r="I3168">
        <v>8.5000000000000006E-2</v>
      </c>
      <c r="J3168">
        <f t="shared" si="147"/>
        <v>38.25</v>
      </c>
      <c r="K3168">
        <v>0</v>
      </c>
      <c r="L3168">
        <f t="shared" si="148"/>
        <v>38.25</v>
      </c>
      <c r="M3168" s="4">
        <f t="shared" si="149"/>
        <v>7.355769230769231E-2</v>
      </c>
      <c r="N3168">
        <v>520</v>
      </c>
      <c r="O3168">
        <v>450</v>
      </c>
      <c r="P3168" t="s">
        <v>25</v>
      </c>
      <c r="Q3168" t="s">
        <v>26</v>
      </c>
      <c r="R3168" t="str">
        <f>IF(COUNTIF(Sheet2!B:B, A3168) &gt; 0, "Yes", "No")</f>
        <v>No</v>
      </c>
    </row>
    <row r="3169" spans="1:18" x14ac:dyDescent="0.25">
      <c r="A3169" s="3">
        <v>45615</v>
      </c>
      <c r="B3169" t="s">
        <v>386</v>
      </c>
      <c r="C3169" t="s">
        <v>105</v>
      </c>
      <c r="D3169" t="s">
        <v>20</v>
      </c>
      <c r="E3169" t="s">
        <v>67</v>
      </c>
      <c r="F3169" t="s">
        <v>49</v>
      </c>
      <c r="G3169" t="s">
        <v>50</v>
      </c>
      <c r="H3169" t="s">
        <v>49</v>
      </c>
      <c r="I3169">
        <v>0.09</v>
      </c>
      <c r="J3169">
        <f t="shared" si="147"/>
        <v>40.5</v>
      </c>
      <c r="K3169">
        <v>0</v>
      </c>
      <c r="L3169">
        <f t="shared" si="148"/>
        <v>40.5</v>
      </c>
      <c r="M3169" s="4">
        <f t="shared" si="149"/>
        <v>7.7884615384615385E-2</v>
      </c>
      <c r="N3169">
        <v>520</v>
      </c>
      <c r="O3169">
        <v>450</v>
      </c>
      <c r="P3169" t="s">
        <v>25</v>
      </c>
      <c r="Q3169" t="s">
        <v>26</v>
      </c>
      <c r="R3169" t="str">
        <f>IF(COUNTIF(Sheet2!B:B, A3169) &gt; 0, "Yes", "No")</f>
        <v>No</v>
      </c>
    </row>
    <row r="3170" spans="1:18" x14ac:dyDescent="0.25">
      <c r="A3170" s="3">
        <v>45616</v>
      </c>
      <c r="B3170" t="s">
        <v>386</v>
      </c>
      <c r="C3170" t="s">
        <v>51</v>
      </c>
      <c r="D3170" t="s">
        <v>20</v>
      </c>
      <c r="E3170" t="s">
        <v>21</v>
      </c>
      <c r="F3170" t="s">
        <v>22</v>
      </c>
      <c r="G3170" t="s">
        <v>23</v>
      </c>
      <c r="H3170" t="s">
        <v>106</v>
      </c>
      <c r="I3170">
        <v>8.5000000000000006E-2</v>
      </c>
      <c r="J3170">
        <f t="shared" si="147"/>
        <v>45.900000000000006</v>
      </c>
      <c r="K3170">
        <v>3</v>
      </c>
      <c r="L3170">
        <f t="shared" si="148"/>
        <v>42.900000000000006</v>
      </c>
      <c r="M3170" s="4">
        <f t="shared" si="149"/>
        <v>7.1500000000000008E-2</v>
      </c>
      <c r="N3170">
        <v>600</v>
      </c>
      <c r="O3170">
        <v>540</v>
      </c>
      <c r="P3170" t="s">
        <v>25</v>
      </c>
      <c r="Q3170" t="s">
        <v>26</v>
      </c>
      <c r="R3170" t="str">
        <f>IF(COUNTIF(Sheet2!B:B, A3170) &gt; 0, "Yes", "No")</f>
        <v>No</v>
      </c>
    </row>
    <row r="3171" spans="1:18" x14ac:dyDescent="0.25">
      <c r="A3171" s="3">
        <v>45616</v>
      </c>
      <c r="B3171" t="s">
        <v>386</v>
      </c>
      <c r="C3171" t="s">
        <v>51</v>
      </c>
      <c r="D3171" t="s">
        <v>20</v>
      </c>
      <c r="E3171" t="s">
        <v>21</v>
      </c>
      <c r="F3171" t="s">
        <v>27</v>
      </c>
      <c r="G3171" t="s">
        <v>144</v>
      </c>
      <c r="H3171" t="s">
        <v>751</v>
      </c>
      <c r="I3171">
        <v>0.11</v>
      </c>
      <c r="J3171">
        <f t="shared" si="147"/>
        <v>59.4</v>
      </c>
      <c r="K3171">
        <v>3</v>
      </c>
      <c r="L3171">
        <f t="shared" si="148"/>
        <v>56.4</v>
      </c>
      <c r="M3171" s="4">
        <f t="shared" si="149"/>
        <v>9.4E-2</v>
      </c>
      <c r="N3171">
        <v>600</v>
      </c>
      <c r="O3171">
        <v>540</v>
      </c>
      <c r="P3171" t="s">
        <v>25</v>
      </c>
      <c r="Q3171" t="s">
        <v>26</v>
      </c>
      <c r="R3171" t="str">
        <f>IF(COUNTIF(Sheet2!B:B, A3171) &gt; 0, "Yes", "No")</f>
        <v>No</v>
      </c>
    </row>
    <row r="3172" spans="1:18" x14ac:dyDescent="0.25">
      <c r="A3172" s="3">
        <v>45616</v>
      </c>
      <c r="B3172" t="s">
        <v>386</v>
      </c>
      <c r="C3172" t="s">
        <v>51</v>
      </c>
      <c r="D3172" t="s">
        <v>20</v>
      </c>
      <c r="E3172" t="s">
        <v>21</v>
      </c>
      <c r="F3172" t="s">
        <v>30</v>
      </c>
      <c r="G3172" t="s">
        <v>55</v>
      </c>
      <c r="H3172" t="s">
        <v>183</v>
      </c>
      <c r="I3172">
        <v>0.09</v>
      </c>
      <c r="J3172">
        <f t="shared" si="147"/>
        <v>48.6</v>
      </c>
      <c r="K3172">
        <v>1</v>
      </c>
      <c r="L3172">
        <f t="shared" si="148"/>
        <v>47.6</v>
      </c>
      <c r="M3172" s="4">
        <f t="shared" si="149"/>
        <v>7.9333333333333339E-2</v>
      </c>
      <c r="N3172">
        <v>600</v>
      </c>
      <c r="O3172">
        <v>540</v>
      </c>
      <c r="P3172" t="s">
        <v>25</v>
      </c>
      <c r="Q3172" t="s">
        <v>26</v>
      </c>
      <c r="R3172" t="str">
        <f>IF(COUNTIF(Sheet2!B:B, A3172) &gt; 0, "Yes", "No")</f>
        <v>No</v>
      </c>
    </row>
    <row r="3173" spans="1:18" x14ac:dyDescent="0.25">
      <c r="A3173" s="3">
        <v>45616</v>
      </c>
      <c r="B3173" t="s">
        <v>386</v>
      </c>
      <c r="C3173" t="s">
        <v>51</v>
      </c>
      <c r="D3173" t="s">
        <v>33</v>
      </c>
      <c r="E3173" t="s">
        <v>21</v>
      </c>
      <c r="F3173" t="s">
        <v>34</v>
      </c>
      <c r="G3173" t="s">
        <v>35</v>
      </c>
      <c r="H3173" t="s">
        <v>241</v>
      </c>
      <c r="I3173">
        <v>0.15</v>
      </c>
      <c r="J3173">
        <f t="shared" si="147"/>
        <v>51</v>
      </c>
      <c r="K3173">
        <v>0</v>
      </c>
      <c r="L3173">
        <f t="shared" si="148"/>
        <v>51</v>
      </c>
      <c r="M3173" s="4">
        <f t="shared" si="149"/>
        <v>0.12142857142857143</v>
      </c>
      <c r="N3173">
        <v>420</v>
      </c>
      <c r="O3173">
        <v>340</v>
      </c>
      <c r="P3173" t="s">
        <v>25</v>
      </c>
      <c r="Q3173" t="s">
        <v>26</v>
      </c>
      <c r="R3173" t="str">
        <f>IF(COUNTIF(Sheet2!B:B, A3173) &gt; 0, "Yes", "No")</f>
        <v>No</v>
      </c>
    </row>
    <row r="3174" spans="1:18" x14ac:dyDescent="0.25">
      <c r="A3174" s="3">
        <v>45616</v>
      </c>
      <c r="B3174" t="s">
        <v>386</v>
      </c>
      <c r="C3174" t="s">
        <v>51</v>
      </c>
      <c r="D3174" t="s">
        <v>20</v>
      </c>
      <c r="E3174" t="s">
        <v>21</v>
      </c>
      <c r="F3174" t="s">
        <v>37</v>
      </c>
      <c r="G3174" t="s">
        <v>38</v>
      </c>
      <c r="H3174" t="s">
        <v>39</v>
      </c>
      <c r="I3174">
        <v>0.03</v>
      </c>
      <c r="J3174">
        <f t="shared" si="147"/>
        <v>16.2</v>
      </c>
      <c r="K3174">
        <v>2</v>
      </c>
      <c r="L3174">
        <f t="shared" si="148"/>
        <v>14.2</v>
      </c>
      <c r="M3174" s="4">
        <f t="shared" si="149"/>
        <v>2.3666666666666666E-2</v>
      </c>
      <c r="N3174">
        <v>600</v>
      </c>
      <c r="O3174">
        <v>540</v>
      </c>
      <c r="P3174" t="s">
        <v>25</v>
      </c>
      <c r="Q3174" t="s">
        <v>26</v>
      </c>
      <c r="R3174" t="str">
        <f>IF(COUNTIF(Sheet2!B:B, A3174) &gt; 0, "Yes", "No")</f>
        <v>No</v>
      </c>
    </row>
    <row r="3175" spans="1:18" x14ac:dyDescent="0.25">
      <c r="A3175" s="3">
        <v>45616</v>
      </c>
      <c r="B3175" t="s">
        <v>386</v>
      </c>
      <c r="C3175" t="s">
        <v>51</v>
      </c>
      <c r="D3175" t="s">
        <v>20</v>
      </c>
      <c r="E3175" t="s">
        <v>21</v>
      </c>
      <c r="F3175" t="s">
        <v>40</v>
      </c>
      <c r="G3175" t="s">
        <v>127</v>
      </c>
      <c r="H3175" t="s">
        <v>358</v>
      </c>
      <c r="I3175">
        <v>4.4999999999999998E-2</v>
      </c>
      <c r="J3175">
        <f t="shared" si="147"/>
        <v>24.3</v>
      </c>
      <c r="K3175">
        <v>3</v>
      </c>
      <c r="L3175">
        <f t="shared" si="148"/>
        <v>21.3</v>
      </c>
      <c r="M3175" s="4">
        <f t="shared" si="149"/>
        <v>3.5500000000000004E-2</v>
      </c>
      <c r="N3175">
        <v>600</v>
      </c>
      <c r="O3175">
        <v>540</v>
      </c>
      <c r="P3175" t="s">
        <v>25</v>
      </c>
      <c r="Q3175" t="s">
        <v>26</v>
      </c>
      <c r="R3175" t="str">
        <f>IF(COUNTIF(Sheet2!B:B, A3175) &gt; 0, "Yes", "No")</f>
        <v>No</v>
      </c>
    </row>
    <row r="3176" spans="1:18" x14ac:dyDescent="0.25">
      <c r="A3176" s="3">
        <v>45616</v>
      </c>
      <c r="B3176" t="s">
        <v>386</v>
      </c>
      <c r="C3176" t="s">
        <v>51</v>
      </c>
      <c r="D3176" t="s">
        <v>20</v>
      </c>
      <c r="E3176" t="s">
        <v>21</v>
      </c>
      <c r="F3176" t="s">
        <v>43</v>
      </c>
      <c r="G3176" t="s">
        <v>44</v>
      </c>
      <c r="H3176" t="s">
        <v>752</v>
      </c>
      <c r="I3176">
        <v>0.11</v>
      </c>
      <c r="J3176">
        <f t="shared" si="147"/>
        <v>59.4</v>
      </c>
      <c r="K3176">
        <v>3</v>
      </c>
      <c r="L3176">
        <f t="shared" si="148"/>
        <v>56.4</v>
      </c>
      <c r="M3176" s="4">
        <f t="shared" si="149"/>
        <v>9.4E-2</v>
      </c>
      <c r="N3176">
        <v>600</v>
      </c>
      <c r="O3176">
        <v>540</v>
      </c>
      <c r="P3176" t="s">
        <v>25</v>
      </c>
      <c r="Q3176" t="s">
        <v>26</v>
      </c>
      <c r="R3176" t="str">
        <f>IF(COUNTIF(Sheet2!B:B, A3176) &gt; 0, "Yes", "No")</f>
        <v>No</v>
      </c>
    </row>
    <row r="3177" spans="1:18" x14ac:dyDescent="0.25">
      <c r="A3177" s="3">
        <v>45616</v>
      </c>
      <c r="B3177" t="s">
        <v>386</v>
      </c>
      <c r="C3177" t="s">
        <v>51</v>
      </c>
      <c r="D3177" t="s">
        <v>20</v>
      </c>
      <c r="E3177" t="s">
        <v>21</v>
      </c>
      <c r="F3177" t="s">
        <v>46</v>
      </c>
      <c r="G3177" t="s">
        <v>47</v>
      </c>
      <c r="H3177" t="s">
        <v>228</v>
      </c>
      <c r="I3177">
        <v>8.5000000000000006E-2</v>
      </c>
      <c r="J3177">
        <f t="shared" si="147"/>
        <v>45.900000000000006</v>
      </c>
      <c r="K3177">
        <v>2</v>
      </c>
      <c r="L3177">
        <f t="shared" si="148"/>
        <v>43.900000000000006</v>
      </c>
      <c r="M3177" s="4">
        <f t="shared" si="149"/>
        <v>7.3166666666666672E-2</v>
      </c>
      <c r="N3177">
        <v>600</v>
      </c>
      <c r="O3177">
        <v>540</v>
      </c>
      <c r="P3177" t="s">
        <v>25</v>
      </c>
      <c r="Q3177" t="s">
        <v>26</v>
      </c>
      <c r="R3177" t="str">
        <f>IF(COUNTIF(Sheet2!B:B, A3177) &gt; 0, "Yes", "No")</f>
        <v>No</v>
      </c>
    </row>
    <row r="3178" spans="1:18" x14ac:dyDescent="0.25">
      <c r="A3178" s="3">
        <v>45616</v>
      </c>
      <c r="B3178" t="s">
        <v>386</v>
      </c>
      <c r="C3178" t="s">
        <v>51</v>
      </c>
      <c r="D3178" t="s">
        <v>20</v>
      </c>
      <c r="E3178" t="s">
        <v>21</v>
      </c>
      <c r="F3178" t="s">
        <v>49</v>
      </c>
      <c r="G3178" t="s">
        <v>50</v>
      </c>
      <c r="H3178" t="s">
        <v>49</v>
      </c>
      <c r="I3178">
        <v>0.09</v>
      </c>
      <c r="J3178">
        <f t="shared" si="147"/>
        <v>48.6</v>
      </c>
      <c r="K3178">
        <v>3</v>
      </c>
      <c r="L3178">
        <f t="shared" si="148"/>
        <v>45.6</v>
      </c>
      <c r="M3178" s="4">
        <f t="shared" si="149"/>
        <v>7.5999999999999998E-2</v>
      </c>
      <c r="N3178">
        <v>600</v>
      </c>
      <c r="O3178">
        <v>540</v>
      </c>
      <c r="P3178" t="s">
        <v>25</v>
      </c>
      <c r="Q3178" t="s">
        <v>26</v>
      </c>
      <c r="R3178" t="str">
        <f>IF(COUNTIF(Sheet2!B:B, A3178) &gt; 0, "Yes", "No")</f>
        <v>No</v>
      </c>
    </row>
    <row r="3179" spans="1:18" x14ac:dyDescent="0.25">
      <c r="A3179" s="3">
        <v>45617</v>
      </c>
      <c r="B3179" t="s">
        <v>386</v>
      </c>
      <c r="C3179" t="s">
        <v>66</v>
      </c>
      <c r="D3179" t="s">
        <v>20</v>
      </c>
      <c r="E3179" t="s">
        <v>67</v>
      </c>
      <c r="F3179" t="s">
        <v>22</v>
      </c>
      <c r="G3179" t="s">
        <v>52</v>
      </c>
      <c r="H3179" t="s">
        <v>246</v>
      </c>
      <c r="I3179">
        <v>8.5000000000000006E-2</v>
      </c>
      <c r="J3179">
        <f t="shared" si="147"/>
        <v>42.5</v>
      </c>
      <c r="K3179">
        <v>3</v>
      </c>
      <c r="L3179">
        <f t="shared" si="148"/>
        <v>39.5</v>
      </c>
      <c r="M3179" s="4">
        <f t="shared" si="149"/>
        <v>7.1818181818181823E-2</v>
      </c>
      <c r="N3179">
        <v>550</v>
      </c>
      <c r="O3179">
        <v>500</v>
      </c>
      <c r="P3179" t="s">
        <v>25</v>
      </c>
      <c r="Q3179" t="s">
        <v>26</v>
      </c>
      <c r="R3179" t="str">
        <f>IF(COUNTIF(Sheet2!B:B, A3179) &gt; 0, "Yes", "No")</f>
        <v>No</v>
      </c>
    </row>
    <row r="3180" spans="1:18" x14ac:dyDescent="0.25">
      <c r="A3180" s="3">
        <v>45617</v>
      </c>
      <c r="B3180" t="s">
        <v>386</v>
      </c>
      <c r="C3180" t="s">
        <v>66</v>
      </c>
      <c r="D3180" t="s">
        <v>20</v>
      </c>
      <c r="E3180" t="s">
        <v>67</v>
      </c>
      <c r="F3180" t="s">
        <v>27</v>
      </c>
      <c r="G3180" t="s">
        <v>304</v>
      </c>
      <c r="H3180" t="s">
        <v>601</v>
      </c>
      <c r="I3180">
        <v>0.12</v>
      </c>
      <c r="J3180">
        <f t="shared" si="147"/>
        <v>60</v>
      </c>
      <c r="K3180">
        <v>2.5</v>
      </c>
      <c r="L3180">
        <f t="shared" si="148"/>
        <v>57.5</v>
      </c>
      <c r="M3180" s="4">
        <f t="shared" si="149"/>
        <v>0.10454545454545454</v>
      </c>
      <c r="N3180">
        <v>550</v>
      </c>
      <c r="O3180">
        <v>500</v>
      </c>
      <c r="P3180" t="s">
        <v>25</v>
      </c>
      <c r="Q3180" t="s">
        <v>26</v>
      </c>
      <c r="R3180" t="str">
        <f>IF(COUNTIF(Sheet2!B:B, A3180) &gt; 0, "Yes", "No")</f>
        <v>No</v>
      </c>
    </row>
    <row r="3181" spans="1:18" x14ac:dyDescent="0.25">
      <c r="A3181" s="3">
        <v>45617</v>
      </c>
      <c r="B3181" t="s">
        <v>386</v>
      </c>
      <c r="C3181" t="s">
        <v>66</v>
      </c>
      <c r="D3181" t="s">
        <v>20</v>
      </c>
      <c r="E3181" t="s">
        <v>67</v>
      </c>
      <c r="F3181" t="s">
        <v>30</v>
      </c>
      <c r="G3181" t="s">
        <v>55</v>
      </c>
      <c r="H3181" t="s">
        <v>134</v>
      </c>
      <c r="I3181">
        <v>0.09</v>
      </c>
      <c r="J3181">
        <f t="shared" si="147"/>
        <v>45</v>
      </c>
      <c r="K3181">
        <v>1</v>
      </c>
      <c r="L3181">
        <f t="shared" si="148"/>
        <v>44</v>
      </c>
      <c r="M3181" s="4">
        <f t="shared" si="149"/>
        <v>0.08</v>
      </c>
      <c r="N3181">
        <v>550</v>
      </c>
      <c r="O3181">
        <v>500</v>
      </c>
      <c r="P3181" t="s">
        <v>25</v>
      </c>
      <c r="Q3181" t="s">
        <v>26</v>
      </c>
      <c r="R3181" t="str">
        <f>IF(COUNTIF(Sheet2!B:B, A3181) &gt; 0, "Yes", "No")</f>
        <v>No</v>
      </c>
    </row>
    <row r="3182" spans="1:18" x14ac:dyDescent="0.25">
      <c r="A3182" s="3">
        <v>45617</v>
      </c>
      <c r="B3182" t="s">
        <v>386</v>
      </c>
      <c r="C3182" t="s">
        <v>66</v>
      </c>
      <c r="D3182" t="s">
        <v>20</v>
      </c>
      <c r="E3182" t="s">
        <v>67</v>
      </c>
      <c r="F3182" t="s">
        <v>37</v>
      </c>
      <c r="G3182" t="s">
        <v>108</v>
      </c>
      <c r="H3182" t="s">
        <v>109</v>
      </c>
      <c r="I3182">
        <v>3.5000000000000003E-2</v>
      </c>
      <c r="J3182">
        <f t="shared" si="147"/>
        <v>17.5</v>
      </c>
      <c r="K3182">
        <v>3</v>
      </c>
      <c r="L3182">
        <f t="shared" si="148"/>
        <v>14.5</v>
      </c>
      <c r="M3182" s="4">
        <f t="shared" si="149"/>
        <v>2.6363636363636363E-2</v>
      </c>
      <c r="N3182">
        <v>550</v>
      </c>
      <c r="O3182">
        <v>500</v>
      </c>
      <c r="P3182" t="s">
        <v>25</v>
      </c>
      <c r="Q3182" t="s">
        <v>26</v>
      </c>
      <c r="R3182" t="str">
        <f>IF(COUNTIF(Sheet2!B:B, A3182) &gt; 0, "Yes", "No")</f>
        <v>No</v>
      </c>
    </row>
    <row r="3183" spans="1:18" x14ac:dyDescent="0.25">
      <c r="A3183" s="3">
        <v>45617</v>
      </c>
      <c r="B3183" t="s">
        <v>386</v>
      </c>
      <c r="C3183" t="s">
        <v>66</v>
      </c>
      <c r="D3183" t="s">
        <v>20</v>
      </c>
      <c r="E3183" t="s">
        <v>67</v>
      </c>
      <c r="F3183" t="s">
        <v>40</v>
      </c>
      <c r="G3183" t="s">
        <v>137</v>
      </c>
      <c r="H3183" t="s">
        <v>753</v>
      </c>
      <c r="I3183">
        <v>0.05</v>
      </c>
      <c r="J3183">
        <f t="shared" si="147"/>
        <v>25</v>
      </c>
      <c r="K3183">
        <v>3</v>
      </c>
      <c r="L3183">
        <f t="shared" si="148"/>
        <v>22</v>
      </c>
      <c r="M3183" s="4">
        <f t="shared" si="149"/>
        <v>0.04</v>
      </c>
      <c r="N3183">
        <v>550</v>
      </c>
      <c r="O3183">
        <v>500</v>
      </c>
      <c r="P3183" t="s">
        <v>25</v>
      </c>
      <c r="Q3183" t="s">
        <v>26</v>
      </c>
      <c r="R3183" t="str">
        <f>IF(COUNTIF(Sheet2!B:B, A3183) &gt; 0, "Yes", "No")</f>
        <v>No</v>
      </c>
    </row>
    <row r="3184" spans="1:18" x14ac:dyDescent="0.25">
      <c r="A3184" s="3">
        <v>45617</v>
      </c>
      <c r="B3184" t="s">
        <v>386</v>
      </c>
      <c r="C3184" t="s">
        <v>66</v>
      </c>
      <c r="D3184" t="s">
        <v>20</v>
      </c>
      <c r="E3184" t="s">
        <v>67</v>
      </c>
      <c r="F3184" t="s">
        <v>43</v>
      </c>
      <c r="G3184" t="s">
        <v>90</v>
      </c>
      <c r="H3184" t="s">
        <v>754</v>
      </c>
      <c r="I3184">
        <v>0.11</v>
      </c>
      <c r="J3184">
        <f t="shared" si="147"/>
        <v>55</v>
      </c>
      <c r="K3184">
        <v>3</v>
      </c>
      <c r="L3184">
        <f t="shared" si="148"/>
        <v>52</v>
      </c>
      <c r="M3184" s="4">
        <f t="shared" si="149"/>
        <v>9.4545454545454544E-2</v>
      </c>
      <c r="N3184">
        <v>550</v>
      </c>
      <c r="O3184">
        <v>500</v>
      </c>
      <c r="P3184" t="s">
        <v>25</v>
      </c>
      <c r="Q3184" t="s">
        <v>26</v>
      </c>
      <c r="R3184" t="str">
        <f>IF(COUNTIF(Sheet2!B:B, A3184) &gt; 0, "Yes", "No")</f>
        <v>No</v>
      </c>
    </row>
    <row r="3185" spans="1:18" x14ac:dyDescent="0.25">
      <c r="A3185" s="3">
        <v>45617</v>
      </c>
      <c r="B3185" t="s">
        <v>386</v>
      </c>
      <c r="C3185" t="s">
        <v>66</v>
      </c>
      <c r="D3185" t="s">
        <v>20</v>
      </c>
      <c r="E3185" t="s">
        <v>67</v>
      </c>
      <c r="F3185" t="s">
        <v>46</v>
      </c>
      <c r="G3185" t="s">
        <v>130</v>
      </c>
      <c r="H3185" t="s">
        <v>593</v>
      </c>
      <c r="I3185">
        <v>8.5000000000000006E-2</v>
      </c>
      <c r="J3185">
        <f t="shared" si="147"/>
        <v>42.5</v>
      </c>
      <c r="K3185">
        <v>3</v>
      </c>
      <c r="L3185">
        <f t="shared" si="148"/>
        <v>39.5</v>
      </c>
      <c r="M3185" s="4">
        <f t="shared" si="149"/>
        <v>7.1818181818181823E-2</v>
      </c>
      <c r="N3185">
        <v>550</v>
      </c>
      <c r="O3185">
        <v>500</v>
      </c>
      <c r="P3185" t="s">
        <v>25</v>
      </c>
      <c r="Q3185" t="s">
        <v>26</v>
      </c>
      <c r="R3185" t="str">
        <f>IF(COUNTIF(Sheet2!B:B, A3185) &gt; 0, "Yes", "No")</f>
        <v>No</v>
      </c>
    </row>
    <row r="3186" spans="1:18" x14ac:dyDescent="0.25">
      <c r="A3186" s="3">
        <v>45617</v>
      </c>
      <c r="B3186" t="s">
        <v>386</v>
      </c>
      <c r="C3186" t="s">
        <v>66</v>
      </c>
      <c r="D3186" t="s">
        <v>20</v>
      </c>
      <c r="E3186" t="s">
        <v>67</v>
      </c>
      <c r="F3186" t="s">
        <v>49</v>
      </c>
      <c r="G3186" t="s">
        <v>50</v>
      </c>
      <c r="H3186" t="s">
        <v>49</v>
      </c>
      <c r="I3186">
        <v>0.09</v>
      </c>
      <c r="J3186">
        <f t="shared" si="147"/>
        <v>45</v>
      </c>
      <c r="K3186">
        <v>4</v>
      </c>
      <c r="L3186">
        <f t="shared" si="148"/>
        <v>41</v>
      </c>
      <c r="M3186" s="4">
        <f t="shared" si="149"/>
        <v>7.454545454545454E-2</v>
      </c>
      <c r="N3186">
        <v>550</v>
      </c>
      <c r="O3186">
        <v>500</v>
      </c>
      <c r="P3186" t="s">
        <v>25</v>
      </c>
      <c r="Q3186" t="s">
        <v>26</v>
      </c>
      <c r="R3186" t="str">
        <f>IF(COUNTIF(Sheet2!B:B, A3186) &gt; 0, "Yes", "No")</f>
        <v>No</v>
      </c>
    </row>
    <row r="3187" spans="1:18" x14ac:dyDescent="0.25">
      <c r="A3187" s="3">
        <v>45618</v>
      </c>
      <c r="B3187" t="s">
        <v>386</v>
      </c>
      <c r="C3187" t="s">
        <v>79</v>
      </c>
      <c r="D3187" t="s">
        <v>20</v>
      </c>
      <c r="E3187" t="s">
        <v>21</v>
      </c>
      <c r="F3187" t="s">
        <v>22</v>
      </c>
      <c r="G3187" t="s">
        <v>94</v>
      </c>
      <c r="H3187" t="s">
        <v>95</v>
      </c>
      <c r="I3187" s="5">
        <v>0.06</v>
      </c>
      <c r="J3187">
        <f t="shared" si="147"/>
        <v>28.799999999999997</v>
      </c>
      <c r="K3187">
        <v>5</v>
      </c>
      <c r="L3187">
        <f t="shared" si="148"/>
        <v>23.799999999999997</v>
      </c>
      <c r="M3187" s="4">
        <f t="shared" si="149"/>
        <v>4.3272727272727268E-2</v>
      </c>
      <c r="N3187">
        <v>550</v>
      </c>
      <c r="O3187">
        <v>480</v>
      </c>
      <c r="P3187" t="s">
        <v>25</v>
      </c>
      <c r="Q3187" t="s">
        <v>26</v>
      </c>
      <c r="R3187" t="str">
        <f>IF(COUNTIF(Sheet2!B:B, A3187) &gt; 0, "Yes", "No")</f>
        <v>Yes</v>
      </c>
    </row>
    <row r="3188" spans="1:18" x14ac:dyDescent="0.25">
      <c r="A3188" s="3">
        <v>45618</v>
      </c>
      <c r="B3188" t="s">
        <v>386</v>
      </c>
      <c r="C3188" t="s">
        <v>79</v>
      </c>
      <c r="D3188" t="s">
        <v>20</v>
      </c>
      <c r="E3188" t="s">
        <v>21</v>
      </c>
      <c r="F3188" t="s">
        <v>27</v>
      </c>
      <c r="G3188" t="s">
        <v>81</v>
      </c>
      <c r="H3188" t="s">
        <v>362</v>
      </c>
      <c r="I3188" s="5">
        <v>0.1</v>
      </c>
      <c r="J3188">
        <f t="shared" si="147"/>
        <v>48</v>
      </c>
      <c r="K3188">
        <v>5</v>
      </c>
      <c r="L3188">
        <f t="shared" si="148"/>
        <v>43</v>
      </c>
      <c r="M3188" s="4">
        <f t="shared" si="149"/>
        <v>7.8181818181818186E-2</v>
      </c>
      <c r="N3188">
        <v>550</v>
      </c>
      <c r="O3188">
        <v>480</v>
      </c>
      <c r="P3188" t="s">
        <v>25</v>
      </c>
      <c r="Q3188" t="s">
        <v>26</v>
      </c>
      <c r="R3188" t="str">
        <f>IF(COUNTIF(Sheet2!B:B, A3188) &gt; 0, "Yes", "No")</f>
        <v>Yes</v>
      </c>
    </row>
    <row r="3189" spans="1:18" x14ac:dyDescent="0.25">
      <c r="A3189" s="3">
        <v>45618</v>
      </c>
      <c r="B3189" t="s">
        <v>386</v>
      </c>
      <c r="C3189" t="s">
        <v>79</v>
      </c>
      <c r="D3189" t="s">
        <v>20</v>
      </c>
      <c r="E3189" t="s">
        <v>21</v>
      </c>
      <c r="F3189" t="s">
        <v>30</v>
      </c>
      <c r="G3189" t="s">
        <v>31</v>
      </c>
      <c r="H3189" t="s">
        <v>70</v>
      </c>
      <c r="I3189" s="5">
        <v>0.06</v>
      </c>
      <c r="J3189">
        <f t="shared" si="147"/>
        <v>28.799999999999997</v>
      </c>
      <c r="K3189">
        <v>2</v>
      </c>
      <c r="L3189">
        <f t="shared" si="148"/>
        <v>26.799999999999997</v>
      </c>
      <c r="M3189" s="4">
        <f t="shared" si="149"/>
        <v>4.8727272727272723E-2</v>
      </c>
      <c r="N3189">
        <v>550</v>
      </c>
      <c r="O3189">
        <v>480</v>
      </c>
      <c r="P3189" t="s">
        <v>25</v>
      </c>
      <c r="Q3189" t="s">
        <v>26</v>
      </c>
      <c r="R3189" t="str">
        <f>IF(COUNTIF(Sheet2!B:B, A3189) &gt; 0, "Yes", "No")</f>
        <v>Yes</v>
      </c>
    </row>
    <row r="3190" spans="1:18" x14ac:dyDescent="0.25">
      <c r="A3190" s="3">
        <v>45618</v>
      </c>
      <c r="B3190" t="s">
        <v>386</v>
      </c>
      <c r="C3190" t="s">
        <v>79</v>
      </c>
      <c r="D3190" t="s">
        <v>33</v>
      </c>
      <c r="E3190" t="s">
        <v>21</v>
      </c>
      <c r="F3190" t="s">
        <v>84</v>
      </c>
      <c r="G3190" t="s">
        <v>85</v>
      </c>
      <c r="H3190" t="s">
        <v>86</v>
      </c>
      <c r="I3190" s="5">
        <v>0.3</v>
      </c>
      <c r="J3190">
        <f t="shared" si="147"/>
        <v>100.5</v>
      </c>
      <c r="K3190">
        <v>0</v>
      </c>
      <c r="L3190">
        <f t="shared" si="148"/>
        <v>100.5</v>
      </c>
      <c r="M3190" s="4">
        <f t="shared" si="149"/>
        <v>0.26103896103896101</v>
      </c>
      <c r="N3190">
        <v>385</v>
      </c>
      <c r="O3190">
        <v>335</v>
      </c>
      <c r="P3190" t="s">
        <v>25</v>
      </c>
      <c r="Q3190" t="s">
        <v>26</v>
      </c>
      <c r="R3190" t="str">
        <f>IF(COUNTIF(Sheet2!B:B, A3190) &gt; 0, "Yes", "No")</f>
        <v>Yes</v>
      </c>
    </row>
    <row r="3191" spans="1:18" x14ac:dyDescent="0.25">
      <c r="A3191" s="3">
        <v>45618</v>
      </c>
      <c r="B3191" t="s">
        <v>386</v>
      </c>
      <c r="C3191" t="s">
        <v>79</v>
      </c>
      <c r="D3191" t="s">
        <v>20</v>
      </c>
      <c r="E3191" t="s">
        <v>21</v>
      </c>
      <c r="F3191" t="s">
        <v>37</v>
      </c>
      <c r="G3191" t="s">
        <v>87</v>
      </c>
      <c r="H3191" t="s">
        <v>99</v>
      </c>
      <c r="I3191" s="5">
        <v>2.5000000000000001E-2</v>
      </c>
      <c r="J3191">
        <f t="shared" si="147"/>
        <v>12</v>
      </c>
      <c r="K3191">
        <v>3</v>
      </c>
      <c r="L3191">
        <f t="shared" si="148"/>
        <v>9</v>
      </c>
      <c r="M3191" s="4">
        <f t="shared" si="149"/>
        <v>1.6363636363636365E-2</v>
      </c>
      <c r="N3191">
        <v>550</v>
      </c>
      <c r="O3191">
        <v>480</v>
      </c>
      <c r="P3191" t="s">
        <v>25</v>
      </c>
      <c r="Q3191" t="s">
        <v>26</v>
      </c>
      <c r="R3191" t="str">
        <f>IF(COUNTIF(Sheet2!B:B, A3191) &gt; 0, "Yes", "No")</f>
        <v>Yes</v>
      </c>
    </row>
    <row r="3192" spans="1:18" x14ac:dyDescent="0.25">
      <c r="A3192" s="3">
        <v>45618</v>
      </c>
      <c r="B3192" t="s">
        <v>386</v>
      </c>
      <c r="C3192" t="s">
        <v>79</v>
      </c>
      <c r="D3192" t="s">
        <v>20</v>
      </c>
      <c r="E3192" t="s">
        <v>21</v>
      </c>
      <c r="F3192" t="s">
        <v>40</v>
      </c>
      <c r="G3192" t="s">
        <v>61</v>
      </c>
      <c r="H3192" t="s">
        <v>119</v>
      </c>
      <c r="I3192" s="5">
        <v>0.04</v>
      </c>
      <c r="J3192">
        <f t="shared" si="147"/>
        <v>19.2</v>
      </c>
      <c r="K3192">
        <v>2</v>
      </c>
      <c r="L3192">
        <f t="shared" si="148"/>
        <v>17.2</v>
      </c>
      <c r="M3192" s="4">
        <f t="shared" si="149"/>
        <v>3.1272727272727271E-2</v>
      </c>
      <c r="N3192">
        <v>550</v>
      </c>
      <c r="O3192">
        <v>480</v>
      </c>
      <c r="P3192" t="s">
        <v>25</v>
      </c>
      <c r="Q3192" t="s">
        <v>26</v>
      </c>
      <c r="R3192" t="str">
        <f>IF(COUNTIF(Sheet2!B:B, A3192) &gt; 0, "Yes", "No")</f>
        <v>Yes</v>
      </c>
    </row>
    <row r="3193" spans="1:18" x14ac:dyDescent="0.25">
      <c r="A3193" s="3">
        <v>45618</v>
      </c>
      <c r="B3193" t="s">
        <v>386</v>
      </c>
      <c r="C3193" t="s">
        <v>79</v>
      </c>
      <c r="D3193" t="s">
        <v>20</v>
      </c>
      <c r="E3193" t="s">
        <v>21</v>
      </c>
      <c r="F3193" t="s">
        <v>43</v>
      </c>
      <c r="G3193" t="s">
        <v>90</v>
      </c>
      <c r="H3193" t="s">
        <v>582</v>
      </c>
      <c r="I3193" s="5">
        <v>7.0000000000000007E-2</v>
      </c>
      <c r="J3193">
        <f t="shared" si="147"/>
        <v>33.6</v>
      </c>
      <c r="K3193">
        <v>6</v>
      </c>
      <c r="L3193">
        <f t="shared" si="148"/>
        <v>27.6</v>
      </c>
      <c r="M3193" s="4">
        <f t="shared" si="149"/>
        <v>5.0181818181818182E-2</v>
      </c>
      <c r="N3193">
        <v>550</v>
      </c>
      <c r="O3193">
        <v>480</v>
      </c>
      <c r="P3193" t="s">
        <v>25</v>
      </c>
      <c r="Q3193" t="s">
        <v>26</v>
      </c>
      <c r="R3193" t="str">
        <f>IF(COUNTIF(Sheet2!B:B, A3193) &gt; 0, "Yes", "No")</f>
        <v>Yes</v>
      </c>
    </row>
    <row r="3194" spans="1:18" x14ac:dyDescent="0.25">
      <c r="A3194" s="3">
        <v>45618</v>
      </c>
      <c r="B3194" t="s">
        <v>386</v>
      </c>
      <c r="C3194" t="s">
        <v>79</v>
      </c>
      <c r="D3194" t="s">
        <v>20</v>
      </c>
      <c r="E3194" t="s">
        <v>21</v>
      </c>
      <c r="F3194" t="s">
        <v>46</v>
      </c>
      <c r="G3194" t="s">
        <v>77</v>
      </c>
      <c r="H3194" t="s">
        <v>203</v>
      </c>
      <c r="I3194" s="5">
        <v>5.5E-2</v>
      </c>
      <c r="J3194">
        <f t="shared" si="147"/>
        <v>26.4</v>
      </c>
      <c r="K3194">
        <v>4</v>
      </c>
      <c r="L3194">
        <f t="shared" si="148"/>
        <v>22.4</v>
      </c>
      <c r="M3194" s="4">
        <f t="shared" si="149"/>
        <v>4.0727272727272723E-2</v>
      </c>
      <c r="N3194">
        <v>550</v>
      </c>
      <c r="O3194">
        <v>480</v>
      </c>
      <c r="P3194" t="s">
        <v>25</v>
      </c>
      <c r="Q3194" t="s">
        <v>26</v>
      </c>
      <c r="R3194" t="str">
        <f>IF(COUNTIF(Sheet2!B:B, A3194) &gt; 0, "Yes", "No")</f>
        <v>Yes</v>
      </c>
    </row>
    <row r="3195" spans="1:18" x14ac:dyDescent="0.25">
      <c r="A3195" s="3">
        <v>45618</v>
      </c>
      <c r="B3195" t="s">
        <v>386</v>
      </c>
      <c r="C3195" t="s">
        <v>79</v>
      </c>
      <c r="D3195" t="s">
        <v>20</v>
      </c>
      <c r="E3195" t="s">
        <v>21</v>
      </c>
      <c r="F3195" t="s">
        <v>49</v>
      </c>
      <c r="G3195" t="s">
        <v>50</v>
      </c>
      <c r="H3195" t="s">
        <v>49</v>
      </c>
      <c r="I3195" s="5">
        <v>0.04</v>
      </c>
      <c r="J3195">
        <f t="shared" si="147"/>
        <v>19.2</v>
      </c>
      <c r="K3195">
        <v>5</v>
      </c>
      <c r="L3195">
        <f t="shared" si="148"/>
        <v>14.2</v>
      </c>
      <c r="M3195" s="4">
        <f t="shared" si="149"/>
        <v>2.5818181818181817E-2</v>
      </c>
      <c r="N3195">
        <v>550</v>
      </c>
      <c r="O3195">
        <v>480</v>
      </c>
      <c r="P3195" t="s">
        <v>25</v>
      </c>
      <c r="Q3195" t="s">
        <v>26</v>
      </c>
      <c r="R3195" t="str">
        <f>IF(COUNTIF(Sheet2!B:B, A3195) &gt; 0, "Yes", "No")</f>
        <v>Yes</v>
      </c>
    </row>
    <row r="3196" spans="1:18" x14ac:dyDescent="0.25">
      <c r="A3196" s="3">
        <v>45621</v>
      </c>
      <c r="B3196" t="s">
        <v>386</v>
      </c>
      <c r="C3196" t="s">
        <v>19</v>
      </c>
      <c r="D3196" t="s">
        <v>20</v>
      </c>
      <c r="E3196" t="s">
        <v>21</v>
      </c>
      <c r="F3196" t="s">
        <v>22</v>
      </c>
      <c r="G3196" t="s">
        <v>94</v>
      </c>
      <c r="H3196" t="s">
        <v>95</v>
      </c>
      <c r="I3196">
        <v>8.5000000000000006E-2</v>
      </c>
      <c r="J3196">
        <f t="shared" si="147"/>
        <v>42.5</v>
      </c>
      <c r="K3196">
        <v>0.5</v>
      </c>
      <c r="L3196">
        <f t="shared" si="148"/>
        <v>42</v>
      </c>
      <c r="M3196" s="4">
        <f t="shared" si="149"/>
        <v>7.636363636363637E-2</v>
      </c>
      <c r="N3196">
        <v>550</v>
      </c>
      <c r="O3196">
        <v>500</v>
      </c>
      <c r="P3196" t="s">
        <v>25</v>
      </c>
      <c r="Q3196" t="s">
        <v>26</v>
      </c>
      <c r="R3196" t="str">
        <f>IF(COUNTIF(Sheet2!B:B, A3196) &gt; 0, "Yes", "No")</f>
        <v>No</v>
      </c>
    </row>
    <row r="3197" spans="1:18" x14ac:dyDescent="0.25">
      <c r="A3197" s="3">
        <v>45621</v>
      </c>
      <c r="B3197" t="s">
        <v>386</v>
      </c>
      <c r="C3197" t="s">
        <v>19</v>
      </c>
      <c r="D3197" t="s">
        <v>20</v>
      </c>
      <c r="E3197" t="s">
        <v>21</v>
      </c>
      <c r="F3197" t="s">
        <v>27</v>
      </c>
      <c r="G3197" t="s">
        <v>115</v>
      </c>
      <c r="H3197" t="s">
        <v>115</v>
      </c>
      <c r="I3197">
        <v>0.11</v>
      </c>
      <c r="J3197">
        <f t="shared" si="147"/>
        <v>55</v>
      </c>
      <c r="K3197">
        <v>2.5</v>
      </c>
      <c r="L3197">
        <f t="shared" si="148"/>
        <v>52.5</v>
      </c>
      <c r="M3197" s="4">
        <f t="shared" si="149"/>
        <v>9.5454545454545459E-2</v>
      </c>
      <c r="N3197">
        <v>550</v>
      </c>
      <c r="O3197">
        <v>500</v>
      </c>
      <c r="P3197" t="s">
        <v>25</v>
      </c>
      <c r="Q3197" t="s">
        <v>26</v>
      </c>
      <c r="R3197" t="str">
        <f>IF(COUNTIF(Sheet2!B:B, A3197) &gt; 0, "Yes", "No")</f>
        <v>No</v>
      </c>
    </row>
    <row r="3198" spans="1:18" x14ac:dyDescent="0.25">
      <c r="A3198" s="3">
        <v>45621</v>
      </c>
      <c r="B3198" t="s">
        <v>386</v>
      </c>
      <c r="C3198" t="s">
        <v>19</v>
      </c>
      <c r="D3198" t="s">
        <v>20</v>
      </c>
      <c r="E3198" t="s">
        <v>21</v>
      </c>
      <c r="F3198" t="s">
        <v>30</v>
      </c>
      <c r="G3198" t="s">
        <v>55</v>
      </c>
      <c r="H3198" t="s">
        <v>125</v>
      </c>
      <c r="I3198">
        <v>0.09</v>
      </c>
      <c r="J3198">
        <f t="shared" si="147"/>
        <v>45</v>
      </c>
      <c r="K3198">
        <v>1</v>
      </c>
      <c r="L3198">
        <f t="shared" si="148"/>
        <v>44</v>
      </c>
      <c r="M3198" s="4">
        <f t="shared" si="149"/>
        <v>0.08</v>
      </c>
      <c r="N3198">
        <v>550</v>
      </c>
      <c r="O3198">
        <v>500</v>
      </c>
      <c r="P3198" t="s">
        <v>25</v>
      </c>
      <c r="Q3198" t="s">
        <v>26</v>
      </c>
      <c r="R3198" t="str">
        <f>IF(COUNTIF(Sheet2!B:B, A3198) &gt; 0, "Yes", "No")</f>
        <v>No</v>
      </c>
    </row>
    <row r="3199" spans="1:18" x14ac:dyDescent="0.25">
      <c r="A3199" s="3">
        <v>45621</v>
      </c>
      <c r="B3199" t="s">
        <v>386</v>
      </c>
      <c r="C3199" t="s">
        <v>19</v>
      </c>
      <c r="D3199" t="s">
        <v>33</v>
      </c>
      <c r="E3199" t="s">
        <v>21</v>
      </c>
      <c r="F3199" t="s">
        <v>34</v>
      </c>
      <c r="G3199" t="s">
        <v>35</v>
      </c>
      <c r="H3199" t="s">
        <v>36</v>
      </c>
      <c r="I3199">
        <v>0.15</v>
      </c>
      <c r="J3199">
        <f t="shared" si="147"/>
        <v>45</v>
      </c>
      <c r="K3199">
        <v>0.5</v>
      </c>
      <c r="L3199">
        <f t="shared" si="148"/>
        <v>44.5</v>
      </c>
      <c r="M3199" s="4">
        <f t="shared" si="149"/>
        <v>0.11558441558441558</v>
      </c>
      <c r="N3199">
        <v>385</v>
      </c>
      <c r="O3199">
        <v>300</v>
      </c>
      <c r="P3199" t="s">
        <v>25</v>
      </c>
      <c r="Q3199" t="s">
        <v>26</v>
      </c>
      <c r="R3199" t="str">
        <f>IF(COUNTIF(Sheet2!B:B, A3199) &gt; 0, "Yes", "No")</f>
        <v>No</v>
      </c>
    </row>
    <row r="3200" spans="1:18" x14ac:dyDescent="0.25">
      <c r="A3200" s="3">
        <v>45621</v>
      </c>
      <c r="B3200" t="s">
        <v>386</v>
      </c>
      <c r="C3200" t="s">
        <v>19</v>
      </c>
      <c r="D3200" t="s">
        <v>20</v>
      </c>
      <c r="E3200" t="s">
        <v>21</v>
      </c>
      <c r="F3200" t="s">
        <v>37</v>
      </c>
      <c r="G3200" t="s">
        <v>108</v>
      </c>
      <c r="H3200" t="s">
        <v>109</v>
      </c>
      <c r="I3200">
        <v>0.03</v>
      </c>
      <c r="J3200">
        <f t="shared" si="147"/>
        <v>15</v>
      </c>
      <c r="K3200">
        <v>2</v>
      </c>
      <c r="L3200">
        <f t="shared" si="148"/>
        <v>13</v>
      </c>
      <c r="M3200" s="4">
        <f t="shared" si="149"/>
        <v>2.3636363636363636E-2</v>
      </c>
      <c r="N3200">
        <v>550</v>
      </c>
      <c r="O3200">
        <v>500</v>
      </c>
      <c r="P3200" t="s">
        <v>25</v>
      </c>
      <c r="Q3200" t="s">
        <v>26</v>
      </c>
      <c r="R3200" t="str">
        <f>IF(COUNTIF(Sheet2!B:B, A3200) &gt; 0, "Yes", "No")</f>
        <v>No</v>
      </c>
    </row>
    <row r="3201" spans="1:18" x14ac:dyDescent="0.25">
      <c r="A3201" s="3">
        <v>45621</v>
      </c>
      <c r="B3201" t="s">
        <v>386</v>
      </c>
      <c r="C3201" t="s">
        <v>19</v>
      </c>
      <c r="D3201" t="s">
        <v>20</v>
      </c>
      <c r="E3201" t="s">
        <v>21</v>
      </c>
      <c r="F3201" t="s">
        <v>40</v>
      </c>
      <c r="G3201" t="s">
        <v>364</v>
      </c>
      <c r="H3201" t="s">
        <v>391</v>
      </c>
      <c r="I3201">
        <v>4.4999999999999998E-2</v>
      </c>
      <c r="J3201">
        <f t="shared" si="147"/>
        <v>22.5</v>
      </c>
      <c r="K3201">
        <v>2</v>
      </c>
      <c r="L3201">
        <f t="shared" si="148"/>
        <v>20.5</v>
      </c>
      <c r="M3201" s="4">
        <f t="shared" si="149"/>
        <v>3.727272727272727E-2</v>
      </c>
      <c r="N3201">
        <v>550</v>
      </c>
      <c r="O3201">
        <v>500</v>
      </c>
      <c r="P3201" t="s">
        <v>25</v>
      </c>
      <c r="Q3201" t="s">
        <v>26</v>
      </c>
      <c r="R3201" t="str">
        <f>IF(COUNTIF(Sheet2!B:B, A3201) &gt; 0, "Yes", "No")</f>
        <v>No</v>
      </c>
    </row>
    <row r="3202" spans="1:18" x14ac:dyDescent="0.25">
      <c r="A3202" s="3">
        <v>45621</v>
      </c>
      <c r="B3202" t="s">
        <v>386</v>
      </c>
      <c r="C3202" t="s">
        <v>19</v>
      </c>
      <c r="D3202" t="s">
        <v>20</v>
      </c>
      <c r="E3202" t="s">
        <v>21</v>
      </c>
      <c r="F3202" t="s">
        <v>43</v>
      </c>
      <c r="G3202" t="s">
        <v>111</v>
      </c>
      <c r="H3202" t="s">
        <v>325</v>
      </c>
      <c r="I3202">
        <v>0.11</v>
      </c>
      <c r="J3202">
        <f t="shared" si="147"/>
        <v>55</v>
      </c>
      <c r="K3202">
        <v>0.8</v>
      </c>
      <c r="L3202">
        <f t="shared" si="148"/>
        <v>54.2</v>
      </c>
      <c r="M3202" s="4">
        <f t="shared" si="149"/>
        <v>9.8545454545454547E-2</v>
      </c>
      <c r="N3202">
        <v>550</v>
      </c>
      <c r="O3202">
        <v>500</v>
      </c>
      <c r="P3202" t="s">
        <v>25</v>
      </c>
      <c r="Q3202" t="s">
        <v>26</v>
      </c>
      <c r="R3202" t="str">
        <f>IF(COUNTIF(Sheet2!B:B, A3202) &gt; 0, "Yes", "No")</f>
        <v>No</v>
      </c>
    </row>
    <row r="3203" spans="1:18" x14ac:dyDescent="0.25">
      <c r="A3203" s="3">
        <v>45621</v>
      </c>
      <c r="B3203" t="s">
        <v>386</v>
      </c>
      <c r="C3203" t="s">
        <v>19</v>
      </c>
      <c r="D3203" t="s">
        <v>20</v>
      </c>
      <c r="E3203" t="s">
        <v>21</v>
      </c>
      <c r="F3203" t="s">
        <v>46</v>
      </c>
      <c r="G3203" t="s">
        <v>47</v>
      </c>
      <c r="H3203" t="s">
        <v>727</v>
      </c>
      <c r="I3203">
        <v>8.5000000000000006E-2</v>
      </c>
      <c r="J3203">
        <f t="shared" ref="J3203:J3266" si="150">I3203*O3203</f>
        <v>42.5</v>
      </c>
      <c r="K3203">
        <v>2</v>
      </c>
      <c r="L3203">
        <f t="shared" ref="L3203:L3266" si="151">J3203-K3203</f>
        <v>40.5</v>
      </c>
      <c r="M3203" s="4">
        <f t="shared" ref="M3203:M3266" si="152">((I3203*O3203)-K3203)/N3203</f>
        <v>7.3636363636363639E-2</v>
      </c>
      <c r="N3203">
        <v>550</v>
      </c>
      <c r="O3203">
        <v>500</v>
      </c>
      <c r="P3203" t="s">
        <v>25</v>
      </c>
      <c r="Q3203" t="s">
        <v>26</v>
      </c>
      <c r="R3203" t="str">
        <f>IF(COUNTIF(Sheet2!B:B, A3203) &gt; 0, "Yes", "No")</f>
        <v>No</v>
      </c>
    </row>
    <row r="3204" spans="1:18" x14ac:dyDescent="0.25">
      <c r="A3204" s="3">
        <v>45621</v>
      </c>
      <c r="B3204" t="s">
        <v>386</v>
      </c>
      <c r="C3204" t="s">
        <v>19</v>
      </c>
      <c r="D3204" t="s">
        <v>20</v>
      </c>
      <c r="E3204" t="s">
        <v>21</v>
      </c>
      <c r="F3204" t="s">
        <v>49</v>
      </c>
      <c r="G3204" t="s">
        <v>50</v>
      </c>
      <c r="H3204" t="s">
        <v>49</v>
      </c>
      <c r="I3204">
        <v>0.09</v>
      </c>
      <c r="J3204">
        <f t="shared" si="150"/>
        <v>45</v>
      </c>
      <c r="K3204">
        <v>2</v>
      </c>
      <c r="L3204">
        <f t="shared" si="151"/>
        <v>43</v>
      </c>
      <c r="M3204" s="4">
        <f t="shared" si="152"/>
        <v>7.8181818181818186E-2</v>
      </c>
      <c r="N3204">
        <v>550</v>
      </c>
      <c r="O3204">
        <v>500</v>
      </c>
      <c r="P3204" t="s">
        <v>25</v>
      </c>
      <c r="Q3204" t="s">
        <v>26</v>
      </c>
      <c r="R3204" t="str">
        <f>IF(COUNTIF(Sheet2!B:B, A3204) &gt; 0, "Yes", "No")</f>
        <v>No</v>
      </c>
    </row>
    <row r="3205" spans="1:18" x14ac:dyDescent="0.25">
      <c r="A3205" s="3">
        <v>45622</v>
      </c>
      <c r="B3205" t="s">
        <v>386</v>
      </c>
      <c r="C3205" t="s">
        <v>105</v>
      </c>
      <c r="D3205" t="s">
        <v>20</v>
      </c>
      <c r="E3205" t="s">
        <v>67</v>
      </c>
      <c r="F3205" t="s">
        <v>22</v>
      </c>
      <c r="G3205" t="s">
        <v>122</v>
      </c>
      <c r="H3205" t="s">
        <v>240</v>
      </c>
      <c r="I3205">
        <v>8.5000000000000006E-2</v>
      </c>
      <c r="J3205">
        <f t="shared" si="150"/>
        <v>42.5</v>
      </c>
      <c r="K3205">
        <v>1</v>
      </c>
      <c r="L3205">
        <f t="shared" si="151"/>
        <v>41.5</v>
      </c>
      <c r="M3205" s="4">
        <f t="shared" si="152"/>
        <v>7.5454545454545455E-2</v>
      </c>
      <c r="N3205">
        <v>550</v>
      </c>
      <c r="O3205">
        <v>500</v>
      </c>
      <c r="P3205" t="s">
        <v>25</v>
      </c>
      <c r="Q3205" t="s">
        <v>26</v>
      </c>
      <c r="R3205" t="str">
        <f>IF(COUNTIF(Sheet2!B:B, A3205) &gt; 0, "Yes", "No")</f>
        <v>No</v>
      </c>
    </row>
    <row r="3206" spans="1:18" x14ac:dyDescent="0.25">
      <c r="A3206" s="3">
        <v>45622</v>
      </c>
      <c r="B3206" t="s">
        <v>386</v>
      </c>
      <c r="C3206" t="s">
        <v>105</v>
      </c>
      <c r="D3206" t="s">
        <v>20</v>
      </c>
      <c r="E3206" t="s">
        <v>67</v>
      </c>
      <c r="F3206" t="s">
        <v>27</v>
      </c>
      <c r="G3206" t="s">
        <v>304</v>
      </c>
      <c r="H3206" t="s">
        <v>595</v>
      </c>
      <c r="I3206">
        <v>0.12</v>
      </c>
      <c r="J3206">
        <f t="shared" si="150"/>
        <v>60</v>
      </c>
      <c r="K3206">
        <v>0</v>
      </c>
      <c r="L3206">
        <f t="shared" si="151"/>
        <v>60</v>
      </c>
      <c r="M3206" s="4">
        <f t="shared" si="152"/>
        <v>0.10909090909090909</v>
      </c>
      <c r="N3206">
        <v>550</v>
      </c>
      <c r="O3206">
        <v>500</v>
      </c>
      <c r="P3206" t="s">
        <v>25</v>
      </c>
      <c r="Q3206" t="s">
        <v>26</v>
      </c>
      <c r="R3206" t="str">
        <f>IF(COUNTIF(Sheet2!B:B, A3206) &gt; 0, "Yes", "No")</f>
        <v>No</v>
      </c>
    </row>
    <row r="3207" spans="1:18" x14ac:dyDescent="0.25">
      <c r="A3207" s="3">
        <v>45622</v>
      </c>
      <c r="B3207" t="s">
        <v>386</v>
      </c>
      <c r="C3207" t="s">
        <v>105</v>
      </c>
      <c r="D3207" t="s">
        <v>20</v>
      </c>
      <c r="E3207" t="s">
        <v>67</v>
      </c>
      <c r="F3207" t="s">
        <v>30</v>
      </c>
      <c r="G3207" t="s">
        <v>31</v>
      </c>
      <c r="H3207" t="s">
        <v>31</v>
      </c>
      <c r="I3207">
        <v>0.09</v>
      </c>
      <c r="J3207">
        <f t="shared" si="150"/>
        <v>45</v>
      </c>
      <c r="K3207">
        <v>1</v>
      </c>
      <c r="L3207">
        <f t="shared" si="151"/>
        <v>44</v>
      </c>
      <c r="M3207" s="4">
        <f t="shared" si="152"/>
        <v>0.08</v>
      </c>
      <c r="N3207">
        <v>550</v>
      </c>
      <c r="O3207">
        <v>500</v>
      </c>
      <c r="P3207" t="s">
        <v>25</v>
      </c>
      <c r="Q3207" t="s">
        <v>26</v>
      </c>
      <c r="R3207" t="str">
        <f>IF(COUNTIF(Sheet2!B:B, A3207) &gt; 0, "Yes", "No")</f>
        <v>No</v>
      </c>
    </row>
    <row r="3208" spans="1:18" x14ac:dyDescent="0.25">
      <c r="A3208" s="3">
        <v>45622</v>
      </c>
      <c r="B3208" t="s">
        <v>386</v>
      </c>
      <c r="C3208" t="s">
        <v>105</v>
      </c>
      <c r="D3208" t="s">
        <v>20</v>
      </c>
      <c r="E3208" t="s">
        <v>67</v>
      </c>
      <c r="F3208" t="s">
        <v>37</v>
      </c>
      <c r="G3208" t="s">
        <v>262</v>
      </c>
      <c r="H3208" t="s">
        <v>507</v>
      </c>
      <c r="I3208">
        <v>3.5000000000000003E-2</v>
      </c>
      <c r="J3208">
        <f t="shared" si="150"/>
        <v>17.5</v>
      </c>
      <c r="K3208">
        <v>1</v>
      </c>
      <c r="L3208">
        <f t="shared" si="151"/>
        <v>16.5</v>
      </c>
      <c r="M3208" s="4">
        <f t="shared" si="152"/>
        <v>0.03</v>
      </c>
      <c r="N3208">
        <v>550</v>
      </c>
      <c r="O3208">
        <v>500</v>
      </c>
      <c r="P3208" t="s">
        <v>25</v>
      </c>
      <c r="Q3208" t="s">
        <v>26</v>
      </c>
      <c r="R3208" t="str">
        <f>IF(COUNTIF(Sheet2!B:B, A3208) &gt; 0, "Yes", "No")</f>
        <v>No</v>
      </c>
    </row>
    <row r="3209" spans="1:18" x14ac:dyDescent="0.25">
      <c r="A3209" s="3">
        <v>45622</v>
      </c>
      <c r="B3209" t="s">
        <v>386</v>
      </c>
      <c r="C3209" t="s">
        <v>105</v>
      </c>
      <c r="D3209" t="s">
        <v>20</v>
      </c>
      <c r="E3209" t="s">
        <v>67</v>
      </c>
      <c r="F3209" t="s">
        <v>40</v>
      </c>
      <c r="G3209" t="s">
        <v>164</v>
      </c>
      <c r="H3209" t="s">
        <v>202</v>
      </c>
      <c r="I3209">
        <v>0.05</v>
      </c>
      <c r="J3209">
        <f t="shared" si="150"/>
        <v>25</v>
      </c>
      <c r="K3209">
        <v>2</v>
      </c>
      <c r="L3209">
        <f t="shared" si="151"/>
        <v>23</v>
      </c>
      <c r="M3209" s="4">
        <f t="shared" si="152"/>
        <v>4.1818181818181817E-2</v>
      </c>
      <c r="N3209">
        <v>550</v>
      </c>
      <c r="O3209">
        <v>500</v>
      </c>
      <c r="P3209" t="s">
        <v>25</v>
      </c>
      <c r="Q3209" t="s">
        <v>26</v>
      </c>
      <c r="R3209" t="str">
        <f>IF(COUNTIF(Sheet2!B:B, A3209) &gt; 0, "Yes", "No")</f>
        <v>No</v>
      </c>
    </row>
    <row r="3210" spans="1:18" x14ac:dyDescent="0.25">
      <c r="A3210" s="3">
        <v>45622</v>
      </c>
      <c r="B3210" t="s">
        <v>386</v>
      </c>
      <c r="C3210" t="s">
        <v>105</v>
      </c>
      <c r="D3210" t="s">
        <v>20</v>
      </c>
      <c r="E3210" t="s">
        <v>67</v>
      </c>
      <c r="F3210" t="s">
        <v>43</v>
      </c>
      <c r="G3210" t="s">
        <v>90</v>
      </c>
      <c r="H3210" t="s">
        <v>726</v>
      </c>
      <c r="I3210">
        <v>0.11</v>
      </c>
      <c r="J3210">
        <f t="shared" si="150"/>
        <v>55</v>
      </c>
      <c r="K3210">
        <v>1</v>
      </c>
      <c r="L3210">
        <f t="shared" si="151"/>
        <v>54</v>
      </c>
      <c r="M3210" s="4">
        <f t="shared" si="152"/>
        <v>9.8181818181818176E-2</v>
      </c>
      <c r="N3210">
        <v>550</v>
      </c>
      <c r="O3210">
        <v>500</v>
      </c>
      <c r="P3210" t="s">
        <v>25</v>
      </c>
      <c r="Q3210" t="s">
        <v>26</v>
      </c>
      <c r="R3210" t="str">
        <f>IF(COUNTIF(Sheet2!B:B, A3210) &gt; 0, "Yes", "No")</f>
        <v>No</v>
      </c>
    </row>
    <row r="3211" spans="1:18" x14ac:dyDescent="0.25">
      <c r="A3211" s="3">
        <v>45622</v>
      </c>
      <c r="B3211" t="s">
        <v>386</v>
      </c>
      <c r="C3211" t="s">
        <v>105</v>
      </c>
      <c r="D3211" t="s">
        <v>20</v>
      </c>
      <c r="E3211" t="s">
        <v>67</v>
      </c>
      <c r="F3211" t="s">
        <v>46</v>
      </c>
      <c r="G3211" t="s">
        <v>103</v>
      </c>
      <c r="H3211" t="s">
        <v>610</v>
      </c>
      <c r="I3211">
        <v>0.09</v>
      </c>
      <c r="J3211">
        <f t="shared" si="150"/>
        <v>45</v>
      </c>
      <c r="K3211">
        <v>0</v>
      </c>
      <c r="L3211">
        <f t="shared" si="151"/>
        <v>45</v>
      </c>
      <c r="M3211" s="4">
        <f t="shared" si="152"/>
        <v>8.1818181818181818E-2</v>
      </c>
      <c r="N3211">
        <v>550</v>
      </c>
      <c r="O3211">
        <v>500</v>
      </c>
      <c r="P3211" t="s">
        <v>25</v>
      </c>
      <c r="Q3211" t="s">
        <v>26</v>
      </c>
      <c r="R3211" t="str">
        <f>IF(COUNTIF(Sheet2!B:B, A3211) &gt; 0, "Yes", "No")</f>
        <v>No</v>
      </c>
    </row>
    <row r="3212" spans="1:18" x14ac:dyDescent="0.25">
      <c r="A3212" s="3">
        <v>45622</v>
      </c>
      <c r="B3212" t="s">
        <v>386</v>
      </c>
      <c r="C3212" t="s">
        <v>105</v>
      </c>
      <c r="D3212" t="s">
        <v>20</v>
      </c>
      <c r="E3212" t="s">
        <v>67</v>
      </c>
      <c r="F3212" t="s">
        <v>49</v>
      </c>
      <c r="G3212" t="s">
        <v>50</v>
      </c>
      <c r="H3212" t="s">
        <v>49</v>
      </c>
      <c r="I3212">
        <v>0.09</v>
      </c>
      <c r="J3212">
        <f t="shared" si="150"/>
        <v>45</v>
      </c>
      <c r="K3212">
        <v>2</v>
      </c>
      <c r="L3212">
        <f t="shared" si="151"/>
        <v>43</v>
      </c>
      <c r="M3212" s="4">
        <f t="shared" si="152"/>
        <v>7.8181818181818186E-2</v>
      </c>
      <c r="N3212">
        <v>550</v>
      </c>
      <c r="O3212">
        <v>500</v>
      </c>
      <c r="P3212" t="s">
        <v>25</v>
      </c>
      <c r="Q3212" t="s">
        <v>26</v>
      </c>
      <c r="R3212" t="str">
        <f>IF(COUNTIF(Sheet2!B:B, A3212) &gt; 0, "Yes", "No")</f>
        <v>No</v>
      </c>
    </row>
    <row r="3213" spans="1:18" x14ac:dyDescent="0.25">
      <c r="A3213" s="3">
        <v>45623</v>
      </c>
      <c r="B3213" t="s">
        <v>386</v>
      </c>
      <c r="C3213" t="s">
        <v>51</v>
      </c>
      <c r="D3213" t="s">
        <v>20</v>
      </c>
      <c r="E3213" t="s">
        <v>21</v>
      </c>
      <c r="F3213" t="s">
        <v>22</v>
      </c>
      <c r="G3213" t="s">
        <v>94</v>
      </c>
      <c r="H3213" t="s">
        <v>730</v>
      </c>
      <c r="I3213">
        <v>8.5000000000000006E-2</v>
      </c>
      <c r="J3213">
        <f t="shared" si="150"/>
        <v>49.300000000000004</v>
      </c>
      <c r="K3213">
        <v>0</v>
      </c>
      <c r="L3213">
        <f t="shared" si="151"/>
        <v>49.300000000000004</v>
      </c>
      <c r="M3213" s="4">
        <f t="shared" si="152"/>
        <v>7.5846153846153855E-2</v>
      </c>
      <c r="N3213">
        <v>650</v>
      </c>
      <c r="O3213">
        <v>580</v>
      </c>
      <c r="P3213" t="s">
        <v>25</v>
      </c>
      <c r="Q3213" t="s">
        <v>26</v>
      </c>
      <c r="R3213" t="str">
        <f>IF(COUNTIF(Sheet2!B:B, A3213) &gt; 0, "Yes", "No")</f>
        <v>No</v>
      </c>
    </row>
    <row r="3214" spans="1:18" x14ac:dyDescent="0.25">
      <c r="A3214" s="3">
        <v>45623</v>
      </c>
      <c r="B3214" t="s">
        <v>386</v>
      </c>
      <c r="C3214" t="s">
        <v>51</v>
      </c>
      <c r="D3214" t="s">
        <v>20</v>
      </c>
      <c r="E3214" t="s">
        <v>21</v>
      </c>
      <c r="F3214" t="s">
        <v>27</v>
      </c>
      <c r="G3214" t="s">
        <v>81</v>
      </c>
      <c r="H3214" t="s">
        <v>376</v>
      </c>
      <c r="I3214">
        <v>0.1</v>
      </c>
      <c r="J3214">
        <f t="shared" si="150"/>
        <v>58</v>
      </c>
      <c r="K3214">
        <v>7</v>
      </c>
      <c r="L3214">
        <f t="shared" si="151"/>
        <v>51</v>
      </c>
      <c r="M3214" s="4">
        <f t="shared" si="152"/>
        <v>7.8461538461538458E-2</v>
      </c>
      <c r="N3214">
        <v>650</v>
      </c>
      <c r="O3214">
        <v>580</v>
      </c>
      <c r="P3214" t="s">
        <v>25</v>
      </c>
      <c r="Q3214" t="s">
        <v>26</v>
      </c>
      <c r="R3214" t="str">
        <f>IF(COUNTIF(Sheet2!B:B, A3214) &gt; 0, "Yes", "No")</f>
        <v>No</v>
      </c>
    </row>
    <row r="3215" spans="1:18" x14ac:dyDescent="0.25">
      <c r="A3215" s="3">
        <v>45623</v>
      </c>
      <c r="B3215" t="s">
        <v>386</v>
      </c>
      <c r="C3215" t="s">
        <v>51</v>
      </c>
      <c r="D3215" t="s">
        <v>20</v>
      </c>
      <c r="E3215" t="s">
        <v>21</v>
      </c>
      <c r="F3215" t="s">
        <v>30</v>
      </c>
      <c r="G3215" t="s">
        <v>55</v>
      </c>
      <c r="H3215" t="s">
        <v>183</v>
      </c>
      <c r="I3215">
        <v>0.09</v>
      </c>
      <c r="J3215">
        <f t="shared" si="150"/>
        <v>52.199999999999996</v>
      </c>
      <c r="K3215">
        <v>1</v>
      </c>
      <c r="L3215">
        <f t="shared" si="151"/>
        <v>51.199999999999996</v>
      </c>
      <c r="M3215" s="4">
        <f t="shared" si="152"/>
        <v>7.8769230769230758E-2</v>
      </c>
      <c r="N3215">
        <v>650</v>
      </c>
      <c r="O3215">
        <v>580</v>
      </c>
      <c r="P3215" t="s">
        <v>25</v>
      </c>
      <c r="Q3215" t="s">
        <v>26</v>
      </c>
      <c r="R3215" t="str">
        <f>IF(COUNTIF(Sheet2!B:B, A3215) &gt; 0, "Yes", "No")</f>
        <v>No</v>
      </c>
    </row>
    <row r="3216" spans="1:18" x14ac:dyDescent="0.25">
      <c r="A3216" s="3">
        <v>45623</v>
      </c>
      <c r="B3216" t="s">
        <v>386</v>
      </c>
      <c r="C3216" t="s">
        <v>51</v>
      </c>
      <c r="D3216" t="s">
        <v>33</v>
      </c>
      <c r="E3216" t="s">
        <v>21</v>
      </c>
      <c r="F3216" t="s">
        <v>34</v>
      </c>
      <c r="G3216" t="s">
        <v>35</v>
      </c>
      <c r="H3216" t="s">
        <v>344</v>
      </c>
      <c r="I3216">
        <v>0.15</v>
      </c>
      <c r="J3216">
        <f t="shared" si="150"/>
        <v>58.5</v>
      </c>
      <c r="K3216">
        <v>0</v>
      </c>
      <c r="L3216">
        <f t="shared" si="151"/>
        <v>58.5</v>
      </c>
      <c r="M3216" s="4">
        <f t="shared" si="152"/>
        <v>0.12857142857142856</v>
      </c>
      <c r="N3216">
        <v>455</v>
      </c>
      <c r="O3216">
        <v>390</v>
      </c>
      <c r="P3216" t="s">
        <v>25</v>
      </c>
      <c r="Q3216" t="s">
        <v>26</v>
      </c>
      <c r="R3216" t="str">
        <f>IF(COUNTIF(Sheet2!B:B, A3216) &gt; 0, "Yes", "No")</f>
        <v>No</v>
      </c>
    </row>
    <row r="3217" spans="1:18" x14ac:dyDescent="0.25">
      <c r="A3217" s="3">
        <v>45623</v>
      </c>
      <c r="B3217" t="s">
        <v>386</v>
      </c>
      <c r="C3217" t="s">
        <v>51</v>
      </c>
      <c r="D3217" t="s">
        <v>20</v>
      </c>
      <c r="E3217" t="s">
        <v>21</v>
      </c>
      <c r="F3217" t="s">
        <v>37</v>
      </c>
      <c r="G3217" t="s">
        <v>71</v>
      </c>
      <c r="H3217" t="s">
        <v>574</v>
      </c>
      <c r="I3217">
        <v>0.03</v>
      </c>
      <c r="J3217">
        <f t="shared" si="150"/>
        <v>17.399999999999999</v>
      </c>
      <c r="K3217">
        <v>2</v>
      </c>
      <c r="L3217">
        <f t="shared" si="151"/>
        <v>15.399999999999999</v>
      </c>
      <c r="M3217" s="4">
        <f t="shared" si="152"/>
        <v>2.369230769230769E-2</v>
      </c>
      <c r="N3217">
        <v>650</v>
      </c>
      <c r="O3217">
        <v>580</v>
      </c>
      <c r="P3217" t="s">
        <v>25</v>
      </c>
      <c r="Q3217" t="s">
        <v>26</v>
      </c>
      <c r="R3217" t="str">
        <f>IF(COUNTIF(Sheet2!B:B, A3217) &gt; 0, "Yes", "No")</f>
        <v>No</v>
      </c>
    </row>
    <row r="3218" spans="1:18" x14ac:dyDescent="0.25">
      <c r="A3218" s="3">
        <v>45623</v>
      </c>
      <c r="B3218" t="s">
        <v>386</v>
      </c>
      <c r="C3218" t="s">
        <v>51</v>
      </c>
      <c r="D3218" t="s">
        <v>20</v>
      </c>
      <c r="E3218" t="s">
        <v>21</v>
      </c>
      <c r="F3218" t="s">
        <v>40</v>
      </c>
      <c r="G3218" t="s">
        <v>73</v>
      </c>
      <c r="H3218" t="s">
        <v>74</v>
      </c>
      <c r="I3218">
        <v>4.4999999999999998E-2</v>
      </c>
      <c r="J3218">
        <f t="shared" si="150"/>
        <v>26.099999999999998</v>
      </c>
      <c r="K3218">
        <v>0</v>
      </c>
      <c r="L3218">
        <f t="shared" si="151"/>
        <v>26.099999999999998</v>
      </c>
      <c r="M3218" s="4">
        <f t="shared" si="152"/>
        <v>4.0153846153846151E-2</v>
      </c>
      <c r="N3218">
        <v>650</v>
      </c>
      <c r="O3218">
        <v>580</v>
      </c>
      <c r="P3218" t="s">
        <v>25</v>
      </c>
      <c r="Q3218" t="s">
        <v>26</v>
      </c>
      <c r="R3218" t="str">
        <f>IF(COUNTIF(Sheet2!B:B, A3218) &gt; 0, "Yes", "No")</f>
        <v>No</v>
      </c>
    </row>
    <row r="3219" spans="1:18" x14ac:dyDescent="0.25">
      <c r="A3219" s="3">
        <v>45623</v>
      </c>
      <c r="B3219" t="s">
        <v>386</v>
      </c>
      <c r="C3219" t="s">
        <v>51</v>
      </c>
      <c r="D3219" t="s">
        <v>20</v>
      </c>
      <c r="E3219" t="s">
        <v>21</v>
      </c>
      <c r="F3219" t="s">
        <v>43</v>
      </c>
      <c r="G3219" t="s">
        <v>44</v>
      </c>
      <c r="H3219" t="s">
        <v>371</v>
      </c>
      <c r="I3219">
        <v>0.11</v>
      </c>
      <c r="J3219">
        <f t="shared" si="150"/>
        <v>63.8</v>
      </c>
      <c r="K3219">
        <v>0</v>
      </c>
      <c r="L3219">
        <f t="shared" si="151"/>
        <v>63.8</v>
      </c>
      <c r="M3219" s="4">
        <f t="shared" si="152"/>
        <v>9.8153846153846147E-2</v>
      </c>
      <c r="N3219">
        <v>650</v>
      </c>
      <c r="O3219">
        <v>580</v>
      </c>
      <c r="P3219" t="s">
        <v>25</v>
      </c>
      <c r="Q3219" t="s">
        <v>26</v>
      </c>
      <c r="R3219" t="str">
        <f>IF(COUNTIF(Sheet2!B:B, A3219) &gt; 0, "Yes", "No")</f>
        <v>No</v>
      </c>
    </row>
    <row r="3220" spans="1:18" x14ac:dyDescent="0.25">
      <c r="A3220" s="3">
        <v>45623</v>
      </c>
      <c r="B3220" t="s">
        <v>386</v>
      </c>
      <c r="C3220" t="s">
        <v>51</v>
      </c>
      <c r="D3220" t="s">
        <v>20</v>
      </c>
      <c r="E3220" t="s">
        <v>21</v>
      </c>
      <c r="F3220" t="s">
        <v>46</v>
      </c>
      <c r="G3220" t="s">
        <v>130</v>
      </c>
      <c r="H3220" t="s">
        <v>367</v>
      </c>
      <c r="I3220">
        <v>8.5000000000000006E-2</v>
      </c>
      <c r="J3220">
        <f t="shared" si="150"/>
        <v>49.300000000000004</v>
      </c>
      <c r="K3220">
        <v>0</v>
      </c>
      <c r="L3220">
        <f t="shared" si="151"/>
        <v>49.300000000000004</v>
      </c>
      <c r="M3220" s="4">
        <f t="shared" si="152"/>
        <v>7.5846153846153855E-2</v>
      </c>
      <c r="N3220">
        <v>650</v>
      </c>
      <c r="O3220">
        <v>580</v>
      </c>
      <c r="P3220" t="s">
        <v>25</v>
      </c>
      <c r="Q3220" t="s">
        <v>26</v>
      </c>
      <c r="R3220" t="str">
        <f>IF(COUNTIF(Sheet2!B:B, A3220) &gt; 0, "Yes", "No")</f>
        <v>No</v>
      </c>
    </row>
    <row r="3221" spans="1:18" x14ac:dyDescent="0.25">
      <c r="A3221" s="3">
        <v>45623</v>
      </c>
      <c r="B3221" t="s">
        <v>386</v>
      </c>
      <c r="C3221" t="s">
        <v>51</v>
      </c>
      <c r="D3221" t="s">
        <v>20</v>
      </c>
      <c r="E3221" t="s">
        <v>21</v>
      </c>
      <c r="F3221" t="s">
        <v>49</v>
      </c>
      <c r="G3221" t="s">
        <v>50</v>
      </c>
      <c r="H3221" t="s">
        <v>49</v>
      </c>
      <c r="I3221">
        <v>0.09</v>
      </c>
      <c r="J3221">
        <f t="shared" si="150"/>
        <v>52.199999999999996</v>
      </c>
      <c r="K3221">
        <v>0</v>
      </c>
      <c r="L3221">
        <f t="shared" si="151"/>
        <v>52.199999999999996</v>
      </c>
      <c r="M3221" s="4">
        <f t="shared" si="152"/>
        <v>8.0307692307692302E-2</v>
      </c>
      <c r="N3221">
        <v>650</v>
      </c>
      <c r="O3221">
        <v>580</v>
      </c>
      <c r="P3221" t="s">
        <v>25</v>
      </c>
      <c r="Q3221" t="s">
        <v>26</v>
      </c>
      <c r="R3221" t="str">
        <f>IF(COUNTIF(Sheet2!B:B, A3221) &gt; 0, "Yes", "No")</f>
        <v>No</v>
      </c>
    </row>
    <row r="3222" spans="1:18" x14ac:dyDescent="0.25">
      <c r="A3222" s="3">
        <v>45624</v>
      </c>
      <c r="B3222" t="s">
        <v>386</v>
      </c>
      <c r="C3222" t="s">
        <v>66</v>
      </c>
      <c r="D3222" t="s">
        <v>20</v>
      </c>
      <c r="E3222" t="s">
        <v>67</v>
      </c>
      <c r="F3222" t="s">
        <v>22</v>
      </c>
      <c r="G3222" t="s">
        <v>23</v>
      </c>
      <c r="H3222" t="s">
        <v>80</v>
      </c>
      <c r="I3222">
        <v>8.5000000000000006E-2</v>
      </c>
      <c r="J3222">
        <f t="shared" si="150"/>
        <v>42.5</v>
      </c>
      <c r="K3222">
        <v>1</v>
      </c>
      <c r="L3222">
        <f t="shared" si="151"/>
        <v>41.5</v>
      </c>
      <c r="M3222" s="4">
        <f t="shared" si="152"/>
        <v>7.1551724137931039E-2</v>
      </c>
      <c r="N3222">
        <v>580</v>
      </c>
      <c r="O3222">
        <v>500</v>
      </c>
      <c r="P3222" t="s">
        <v>25</v>
      </c>
      <c r="Q3222" t="s">
        <v>26</v>
      </c>
      <c r="R3222" t="str">
        <f>IF(COUNTIF(Sheet2!B:B, A3222) &gt; 0, "Yes", "No")</f>
        <v>No</v>
      </c>
    </row>
    <row r="3223" spans="1:18" x14ac:dyDescent="0.25">
      <c r="A3223" s="3">
        <v>45624</v>
      </c>
      <c r="B3223" t="s">
        <v>386</v>
      </c>
      <c r="C3223" t="s">
        <v>66</v>
      </c>
      <c r="D3223" t="s">
        <v>20</v>
      </c>
      <c r="E3223" t="s">
        <v>67</v>
      </c>
      <c r="F3223" t="s">
        <v>27</v>
      </c>
      <c r="G3223" t="s">
        <v>780</v>
      </c>
      <c r="H3223" t="s">
        <v>149</v>
      </c>
      <c r="I3223">
        <v>0.11</v>
      </c>
      <c r="J3223">
        <f t="shared" si="150"/>
        <v>55</v>
      </c>
      <c r="K3223">
        <v>3</v>
      </c>
      <c r="L3223">
        <f t="shared" si="151"/>
        <v>52</v>
      </c>
      <c r="M3223" s="4">
        <f t="shared" si="152"/>
        <v>8.9655172413793102E-2</v>
      </c>
      <c r="N3223">
        <v>580</v>
      </c>
      <c r="O3223">
        <v>500</v>
      </c>
      <c r="P3223" t="s">
        <v>25</v>
      </c>
      <c r="Q3223" t="s">
        <v>26</v>
      </c>
      <c r="R3223" t="str">
        <f>IF(COUNTIF(Sheet2!B:B, A3223) &gt; 0, "Yes", "No")</f>
        <v>No</v>
      </c>
    </row>
    <row r="3224" spans="1:18" x14ac:dyDescent="0.25">
      <c r="A3224" s="3">
        <v>45624</v>
      </c>
      <c r="B3224" t="s">
        <v>386</v>
      </c>
      <c r="C3224" t="s">
        <v>66</v>
      </c>
      <c r="D3224" t="s">
        <v>20</v>
      </c>
      <c r="E3224" t="s">
        <v>67</v>
      </c>
      <c r="F3224" t="s">
        <v>30</v>
      </c>
      <c r="G3224" t="s">
        <v>55</v>
      </c>
      <c r="H3224" t="s">
        <v>134</v>
      </c>
      <c r="I3224">
        <v>0.09</v>
      </c>
      <c r="J3224">
        <f t="shared" si="150"/>
        <v>45</v>
      </c>
      <c r="K3224">
        <v>1</v>
      </c>
      <c r="L3224">
        <f t="shared" si="151"/>
        <v>44</v>
      </c>
      <c r="M3224" s="4">
        <f t="shared" si="152"/>
        <v>7.586206896551724E-2</v>
      </c>
      <c r="N3224">
        <v>580</v>
      </c>
      <c r="O3224">
        <v>500</v>
      </c>
      <c r="P3224" t="s">
        <v>25</v>
      </c>
      <c r="Q3224" t="s">
        <v>26</v>
      </c>
      <c r="R3224" t="str">
        <f>IF(COUNTIF(Sheet2!B:B, A3224) &gt; 0, "Yes", "No")</f>
        <v>No</v>
      </c>
    </row>
    <row r="3225" spans="1:18" x14ac:dyDescent="0.25">
      <c r="A3225" s="3">
        <v>45624</v>
      </c>
      <c r="B3225" t="s">
        <v>386</v>
      </c>
      <c r="C3225" t="s">
        <v>66</v>
      </c>
      <c r="D3225" t="s">
        <v>20</v>
      </c>
      <c r="E3225" t="s">
        <v>67</v>
      </c>
      <c r="F3225" t="s">
        <v>37</v>
      </c>
      <c r="G3225" t="s">
        <v>87</v>
      </c>
      <c r="H3225" t="s">
        <v>136</v>
      </c>
      <c r="I3225">
        <v>3.5000000000000003E-2</v>
      </c>
      <c r="J3225">
        <f t="shared" si="150"/>
        <v>17.5</v>
      </c>
      <c r="K3225">
        <v>2</v>
      </c>
      <c r="L3225">
        <f t="shared" si="151"/>
        <v>15.5</v>
      </c>
      <c r="M3225" s="4">
        <f t="shared" si="152"/>
        <v>2.6724137931034484E-2</v>
      </c>
      <c r="N3225">
        <v>580</v>
      </c>
      <c r="O3225">
        <v>500</v>
      </c>
      <c r="P3225" t="s">
        <v>25</v>
      </c>
      <c r="Q3225" t="s">
        <v>26</v>
      </c>
      <c r="R3225" t="str">
        <f>IF(COUNTIF(Sheet2!B:B, A3225) &gt; 0, "Yes", "No")</f>
        <v>No</v>
      </c>
    </row>
    <row r="3226" spans="1:18" x14ac:dyDescent="0.25">
      <c r="A3226" s="3">
        <v>45624</v>
      </c>
      <c r="B3226" t="s">
        <v>386</v>
      </c>
      <c r="C3226" t="s">
        <v>66</v>
      </c>
      <c r="D3226" t="s">
        <v>20</v>
      </c>
      <c r="E3226" t="s">
        <v>67</v>
      </c>
      <c r="F3226" t="s">
        <v>40</v>
      </c>
      <c r="G3226" t="s">
        <v>41</v>
      </c>
      <c r="H3226" t="s">
        <v>755</v>
      </c>
      <c r="I3226">
        <v>0.05</v>
      </c>
      <c r="J3226">
        <f t="shared" si="150"/>
        <v>25</v>
      </c>
      <c r="K3226">
        <v>2</v>
      </c>
      <c r="L3226">
        <f t="shared" si="151"/>
        <v>23</v>
      </c>
      <c r="M3226" s="4">
        <f t="shared" si="152"/>
        <v>3.9655172413793106E-2</v>
      </c>
      <c r="N3226">
        <v>580</v>
      </c>
      <c r="O3226">
        <v>500</v>
      </c>
      <c r="P3226" t="s">
        <v>25</v>
      </c>
      <c r="Q3226" t="s">
        <v>26</v>
      </c>
      <c r="R3226" t="str">
        <f>IF(COUNTIF(Sheet2!B:B, A3226) &gt; 0, "Yes", "No")</f>
        <v>No</v>
      </c>
    </row>
    <row r="3227" spans="1:18" x14ac:dyDescent="0.25">
      <c r="A3227" s="3">
        <v>45624</v>
      </c>
      <c r="B3227" t="s">
        <v>386</v>
      </c>
      <c r="C3227" t="s">
        <v>66</v>
      </c>
      <c r="D3227" t="s">
        <v>20</v>
      </c>
      <c r="E3227" t="s">
        <v>67</v>
      </c>
      <c r="F3227" t="s">
        <v>43</v>
      </c>
      <c r="G3227" t="s">
        <v>252</v>
      </c>
      <c r="H3227" t="s">
        <v>253</v>
      </c>
      <c r="I3227">
        <v>0.11</v>
      </c>
      <c r="J3227">
        <f t="shared" si="150"/>
        <v>55</v>
      </c>
      <c r="K3227">
        <v>2</v>
      </c>
      <c r="L3227">
        <f t="shared" si="151"/>
        <v>53</v>
      </c>
      <c r="M3227" s="4">
        <f t="shared" si="152"/>
        <v>9.1379310344827588E-2</v>
      </c>
      <c r="N3227">
        <v>580</v>
      </c>
      <c r="O3227">
        <v>500</v>
      </c>
      <c r="P3227" t="s">
        <v>25</v>
      </c>
      <c r="Q3227" t="s">
        <v>26</v>
      </c>
      <c r="R3227" t="str">
        <f>IF(COUNTIF(Sheet2!B:B, A3227) &gt; 0, "Yes", "No")</f>
        <v>No</v>
      </c>
    </row>
    <row r="3228" spans="1:18" x14ac:dyDescent="0.25">
      <c r="A3228" s="3">
        <v>45624</v>
      </c>
      <c r="B3228" t="s">
        <v>386</v>
      </c>
      <c r="C3228" t="s">
        <v>66</v>
      </c>
      <c r="D3228" t="s">
        <v>20</v>
      </c>
      <c r="E3228" t="s">
        <v>67</v>
      </c>
      <c r="F3228" t="s">
        <v>46</v>
      </c>
      <c r="G3228" t="s">
        <v>47</v>
      </c>
      <c r="H3228" t="s">
        <v>48</v>
      </c>
      <c r="I3228">
        <v>8.5000000000000006E-2</v>
      </c>
      <c r="J3228">
        <f t="shared" si="150"/>
        <v>42.5</v>
      </c>
      <c r="K3228">
        <v>1</v>
      </c>
      <c r="L3228">
        <f t="shared" si="151"/>
        <v>41.5</v>
      </c>
      <c r="M3228" s="4">
        <f t="shared" si="152"/>
        <v>7.1551724137931039E-2</v>
      </c>
      <c r="N3228">
        <v>580</v>
      </c>
      <c r="O3228">
        <v>500</v>
      </c>
      <c r="P3228" t="s">
        <v>25</v>
      </c>
      <c r="Q3228" t="s">
        <v>26</v>
      </c>
      <c r="R3228" t="str">
        <f>IF(COUNTIF(Sheet2!B:B, A3228) &gt; 0, "Yes", "No")</f>
        <v>No</v>
      </c>
    </row>
    <row r="3229" spans="1:18" x14ac:dyDescent="0.25">
      <c r="A3229" s="3">
        <v>45624</v>
      </c>
      <c r="B3229" t="s">
        <v>386</v>
      </c>
      <c r="C3229" t="s">
        <v>66</v>
      </c>
      <c r="D3229" t="s">
        <v>20</v>
      </c>
      <c r="E3229" t="s">
        <v>67</v>
      </c>
      <c r="F3229" t="s">
        <v>49</v>
      </c>
      <c r="G3229" t="s">
        <v>50</v>
      </c>
      <c r="H3229" t="s">
        <v>49</v>
      </c>
      <c r="I3229">
        <v>0.09</v>
      </c>
      <c r="J3229">
        <f t="shared" si="150"/>
        <v>45</v>
      </c>
      <c r="K3229">
        <v>2</v>
      </c>
      <c r="L3229">
        <f t="shared" si="151"/>
        <v>43</v>
      </c>
      <c r="M3229" s="4">
        <f t="shared" si="152"/>
        <v>7.4137931034482754E-2</v>
      </c>
      <c r="N3229">
        <v>580</v>
      </c>
      <c r="O3229">
        <v>500</v>
      </c>
      <c r="P3229" t="s">
        <v>25</v>
      </c>
      <c r="Q3229" t="s">
        <v>26</v>
      </c>
      <c r="R3229" t="str">
        <f>IF(COUNTIF(Sheet2!B:B, A3229) &gt; 0, "Yes", "No")</f>
        <v>No</v>
      </c>
    </row>
    <row r="3230" spans="1:18" x14ac:dyDescent="0.25">
      <c r="A3230" s="3">
        <v>45625</v>
      </c>
      <c r="B3230" t="s">
        <v>386</v>
      </c>
      <c r="C3230" t="s">
        <v>79</v>
      </c>
      <c r="D3230" t="s">
        <v>20</v>
      </c>
      <c r="E3230" t="s">
        <v>21</v>
      </c>
      <c r="F3230" t="s">
        <v>22</v>
      </c>
      <c r="G3230" t="s">
        <v>52</v>
      </c>
      <c r="H3230" t="s">
        <v>621</v>
      </c>
      <c r="I3230" s="5">
        <v>0.06</v>
      </c>
      <c r="J3230">
        <f t="shared" si="150"/>
        <v>28.799999999999997</v>
      </c>
      <c r="K3230">
        <v>1</v>
      </c>
      <c r="L3230">
        <f t="shared" si="151"/>
        <v>27.799999999999997</v>
      </c>
      <c r="M3230" s="4">
        <f t="shared" si="152"/>
        <v>5.0545454545454539E-2</v>
      </c>
      <c r="N3230">
        <v>550</v>
      </c>
      <c r="O3230">
        <v>480</v>
      </c>
      <c r="P3230" t="s">
        <v>25</v>
      </c>
      <c r="Q3230" t="s">
        <v>26</v>
      </c>
      <c r="R3230" t="str">
        <f>IF(COUNTIF(Sheet2!B:B, A3230) &gt; 0, "Yes", "No")</f>
        <v>Yes</v>
      </c>
    </row>
    <row r="3231" spans="1:18" x14ac:dyDescent="0.25">
      <c r="A3231" s="3">
        <v>45625</v>
      </c>
      <c r="B3231" t="s">
        <v>386</v>
      </c>
      <c r="C3231" t="s">
        <v>79</v>
      </c>
      <c r="D3231" t="s">
        <v>20</v>
      </c>
      <c r="E3231" t="s">
        <v>21</v>
      </c>
      <c r="F3231" t="s">
        <v>27</v>
      </c>
      <c r="G3231" t="s">
        <v>81</v>
      </c>
      <c r="H3231" t="s">
        <v>643</v>
      </c>
      <c r="I3231" s="5">
        <v>0.1</v>
      </c>
      <c r="J3231">
        <f t="shared" si="150"/>
        <v>48</v>
      </c>
      <c r="K3231">
        <v>3</v>
      </c>
      <c r="L3231">
        <f t="shared" si="151"/>
        <v>45</v>
      </c>
      <c r="M3231" s="4">
        <f t="shared" si="152"/>
        <v>8.1818181818181818E-2</v>
      </c>
      <c r="N3231">
        <v>550</v>
      </c>
      <c r="O3231">
        <v>480</v>
      </c>
      <c r="P3231" t="s">
        <v>25</v>
      </c>
      <c r="Q3231" t="s">
        <v>26</v>
      </c>
      <c r="R3231" t="str">
        <f>IF(COUNTIF(Sheet2!B:B, A3231) &gt; 0, "Yes", "No")</f>
        <v>Yes</v>
      </c>
    </row>
    <row r="3232" spans="1:18" x14ac:dyDescent="0.25">
      <c r="A3232" s="3">
        <v>45625</v>
      </c>
      <c r="B3232" t="s">
        <v>386</v>
      </c>
      <c r="C3232" t="s">
        <v>79</v>
      </c>
      <c r="D3232" t="s">
        <v>20</v>
      </c>
      <c r="E3232" t="s">
        <v>21</v>
      </c>
      <c r="F3232" t="s">
        <v>30</v>
      </c>
      <c r="G3232" t="s">
        <v>31</v>
      </c>
      <c r="H3232" t="s">
        <v>70</v>
      </c>
      <c r="I3232" s="5">
        <v>0.06</v>
      </c>
      <c r="J3232">
        <f t="shared" si="150"/>
        <v>28.799999999999997</v>
      </c>
      <c r="K3232">
        <v>2</v>
      </c>
      <c r="L3232">
        <f t="shared" si="151"/>
        <v>26.799999999999997</v>
      </c>
      <c r="M3232" s="4">
        <f t="shared" si="152"/>
        <v>4.8727272727272723E-2</v>
      </c>
      <c r="N3232">
        <v>550</v>
      </c>
      <c r="O3232">
        <v>480</v>
      </c>
      <c r="P3232" t="s">
        <v>25</v>
      </c>
      <c r="Q3232" t="s">
        <v>26</v>
      </c>
      <c r="R3232" t="str">
        <f>IF(COUNTIF(Sheet2!B:B, A3232) &gt; 0, "Yes", "No")</f>
        <v>Yes</v>
      </c>
    </row>
    <row r="3233" spans="1:18" x14ac:dyDescent="0.25">
      <c r="A3233" s="3">
        <v>45625</v>
      </c>
      <c r="B3233" t="s">
        <v>386</v>
      </c>
      <c r="C3233" t="s">
        <v>79</v>
      </c>
      <c r="D3233" t="s">
        <v>33</v>
      </c>
      <c r="E3233" t="s">
        <v>21</v>
      </c>
      <c r="F3233" t="s">
        <v>84</v>
      </c>
      <c r="G3233" t="s">
        <v>85</v>
      </c>
      <c r="H3233" t="s">
        <v>135</v>
      </c>
      <c r="I3233" s="5">
        <v>0.3</v>
      </c>
      <c r="J3233">
        <f t="shared" si="150"/>
        <v>99</v>
      </c>
      <c r="K3233">
        <v>0</v>
      </c>
      <c r="L3233">
        <f t="shared" si="151"/>
        <v>99</v>
      </c>
      <c r="M3233" s="4">
        <f t="shared" si="152"/>
        <v>0.25714285714285712</v>
      </c>
      <c r="N3233">
        <v>385</v>
      </c>
      <c r="O3233">
        <v>330</v>
      </c>
      <c r="P3233" t="s">
        <v>25</v>
      </c>
      <c r="Q3233" t="s">
        <v>26</v>
      </c>
      <c r="R3233" t="str">
        <f>IF(COUNTIF(Sheet2!B:B, A3233) &gt; 0, "Yes", "No")</f>
        <v>Yes</v>
      </c>
    </row>
    <row r="3234" spans="1:18" x14ac:dyDescent="0.25">
      <c r="A3234" s="3">
        <v>45625</v>
      </c>
      <c r="B3234" t="s">
        <v>386</v>
      </c>
      <c r="C3234" t="s">
        <v>79</v>
      </c>
      <c r="D3234" t="s">
        <v>20</v>
      </c>
      <c r="E3234" t="s">
        <v>21</v>
      </c>
      <c r="F3234" t="s">
        <v>37</v>
      </c>
      <c r="G3234" t="s">
        <v>38</v>
      </c>
      <c r="H3234" t="s">
        <v>697</v>
      </c>
      <c r="I3234" s="5">
        <v>2.5000000000000001E-2</v>
      </c>
      <c r="J3234">
        <f t="shared" si="150"/>
        <v>12</v>
      </c>
      <c r="K3234">
        <v>2</v>
      </c>
      <c r="L3234">
        <f t="shared" si="151"/>
        <v>10</v>
      </c>
      <c r="M3234" s="4">
        <f t="shared" si="152"/>
        <v>1.8181818181818181E-2</v>
      </c>
      <c r="N3234">
        <v>550</v>
      </c>
      <c r="O3234">
        <v>480</v>
      </c>
      <c r="P3234" t="s">
        <v>25</v>
      </c>
      <c r="Q3234" t="s">
        <v>26</v>
      </c>
      <c r="R3234" t="str">
        <f>IF(COUNTIF(Sheet2!B:B, A3234) &gt; 0, "Yes", "No")</f>
        <v>Yes</v>
      </c>
    </row>
    <row r="3235" spans="1:18" x14ac:dyDescent="0.25">
      <c r="A3235" s="3">
        <v>45625</v>
      </c>
      <c r="B3235" t="s">
        <v>386</v>
      </c>
      <c r="C3235" t="s">
        <v>79</v>
      </c>
      <c r="D3235" t="s">
        <v>20</v>
      </c>
      <c r="E3235" t="s">
        <v>21</v>
      </c>
      <c r="F3235" t="s">
        <v>40</v>
      </c>
      <c r="G3235" t="s">
        <v>137</v>
      </c>
      <c r="H3235" t="s">
        <v>756</v>
      </c>
      <c r="I3235" s="5">
        <v>0.04</v>
      </c>
      <c r="J3235">
        <f t="shared" si="150"/>
        <v>19.2</v>
      </c>
      <c r="K3235">
        <v>2</v>
      </c>
      <c r="L3235">
        <f t="shared" si="151"/>
        <v>17.2</v>
      </c>
      <c r="M3235" s="4">
        <f t="shared" si="152"/>
        <v>3.1272727272727271E-2</v>
      </c>
      <c r="N3235">
        <v>550</v>
      </c>
      <c r="O3235">
        <v>480</v>
      </c>
      <c r="P3235" t="s">
        <v>25</v>
      </c>
      <c r="Q3235" t="s">
        <v>26</v>
      </c>
      <c r="R3235" t="str">
        <f>IF(COUNTIF(Sheet2!B:B, A3235) &gt; 0, "Yes", "No")</f>
        <v>Yes</v>
      </c>
    </row>
    <row r="3236" spans="1:18" x14ac:dyDescent="0.25">
      <c r="A3236" s="3">
        <v>45625</v>
      </c>
      <c r="B3236" t="s">
        <v>386</v>
      </c>
      <c r="C3236" t="s">
        <v>79</v>
      </c>
      <c r="D3236" t="s">
        <v>20</v>
      </c>
      <c r="E3236" t="s">
        <v>21</v>
      </c>
      <c r="F3236" t="s">
        <v>43</v>
      </c>
      <c r="G3236" t="s">
        <v>90</v>
      </c>
      <c r="H3236" t="s">
        <v>188</v>
      </c>
      <c r="I3236" s="5">
        <v>7.0000000000000007E-2</v>
      </c>
      <c r="J3236">
        <f t="shared" si="150"/>
        <v>33.6</v>
      </c>
      <c r="K3236">
        <v>2</v>
      </c>
      <c r="L3236">
        <f t="shared" si="151"/>
        <v>31.6</v>
      </c>
      <c r="M3236" s="4">
        <f t="shared" si="152"/>
        <v>5.745454545454546E-2</v>
      </c>
      <c r="N3236">
        <v>550</v>
      </c>
      <c r="O3236">
        <v>480</v>
      </c>
      <c r="P3236" t="s">
        <v>25</v>
      </c>
      <c r="Q3236" t="s">
        <v>26</v>
      </c>
      <c r="R3236" t="str">
        <f>IF(COUNTIF(Sheet2!B:B, A3236) &gt; 0, "Yes", "No")</f>
        <v>Yes</v>
      </c>
    </row>
    <row r="3237" spans="1:18" x14ac:dyDescent="0.25">
      <c r="A3237" s="3">
        <v>45625</v>
      </c>
      <c r="B3237" t="s">
        <v>386</v>
      </c>
      <c r="C3237" t="s">
        <v>79</v>
      </c>
      <c r="D3237" t="s">
        <v>20</v>
      </c>
      <c r="E3237" t="s">
        <v>21</v>
      </c>
      <c r="F3237" t="s">
        <v>46</v>
      </c>
      <c r="G3237" t="s">
        <v>92</v>
      </c>
      <c r="H3237" t="s">
        <v>374</v>
      </c>
      <c r="I3237" s="5">
        <v>0.06</v>
      </c>
      <c r="J3237">
        <f t="shared" si="150"/>
        <v>28.799999999999997</v>
      </c>
      <c r="K3237">
        <v>2</v>
      </c>
      <c r="L3237">
        <f t="shared" si="151"/>
        <v>26.799999999999997</v>
      </c>
      <c r="M3237" s="4">
        <f t="shared" si="152"/>
        <v>4.8727272727272723E-2</v>
      </c>
      <c r="N3237">
        <v>550</v>
      </c>
      <c r="O3237">
        <v>480</v>
      </c>
      <c r="P3237" t="s">
        <v>25</v>
      </c>
      <c r="Q3237" t="s">
        <v>26</v>
      </c>
      <c r="R3237" t="str">
        <f>IF(COUNTIF(Sheet2!B:B, A3237) &gt; 0, "Yes", "No")</f>
        <v>Yes</v>
      </c>
    </row>
    <row r="3238" spans="1:18" x14ac:dyDescent="0.25">
      <c r="A3238" s="3">
        <v>45625</v>
      </c>
      <c r="B3238" t="s">
        <v>386</v>
      </c>
      <c r="C3238" t="s">
        <v>79</v>
      </c>
      <c r="D3238" t="s">
        <v>20</v>
      </c>
      <c r="E3238" t="s">
        <v>21</v>
      </c>
      <c r="F3238" t="s">
        <v>49</v>
      </c>
      <c r="G3238" t="s">
        <v>50</v>
      </c>
      <c r="H3238" t="s">
        <v>49</v>
      </c>
      <c r="I3238" s="5">
        <v>0.04</v>
      </c>
      <c r="J3238">
        <f t="shared" si="150"/>
        <v>19.2</v>
      </c>
      <c r="K3238">
        <v>2</v>
      </c>
      <c r="L3238">
        <f t="shared" si="151"/>
        <v>17.2</v>
      </c>
      <c r="M3238" s="4">
        <f t="shared" si="152"/>
        <v>3.1272727272727271E-2</v>
      </c>
      <c r="N3238">
        <v>550</v>
      </c>
      <c r="O3238">
        <v>480</v>
      </c>
      <c r="P3238" t="s">
        <v>25</v>
      </c>
      <c r="Q3238" t="s">
        <v>26</v>
      </c>
      <c r="R3238" t="str">
        <f>IF(COUNTIF(Sheet2!B:B, A3238) &gt; 0, "Yes", "No")</f>
        <v>Yes</v>
      </c>
    </row>
    <row r="3239" spans="1:18" x14ac:dyDescent="0.25">
      <c r="A3239" s="3">
        <v>45628</v>
      </c>
      <c r="B3239" t="s">
        <v>405</v>
      </c>
      <c r="C3239" t="s">
        <v>19</v>
      </c>
      <c r="D3239" t="s">
        <v>20</v>
      </c>
      <c r="E3239" t="s">
        <v>21</v>
      </c>
      <c r="F3239" t="s">
        <v>22</v>
      </c>
      <c r="G3239" t="s">
        <v>23</v>
      </c>
      <c r="H3239" t="s">
        <v>196</v>
      </c>
      <c r="I3239">
        <v>8.5000000000000006E-2</v>
      </c>
      <c r="J3239">
        <f t="shared" si="150"/>
        <v>45.900000000000006</v>
      </c>
      <c r="K3239">
        <v>7</v>
      </c>
      <c r="L3239">
        <f t="shared" si="151"/>
        <v>38.900000000000006</v>
      </c>
      <c r="M3239" s="4">
        <f t="shared" si="152"/>
        <v>6.483333333333334E-2</v>
      </c>
      <c r="N3239">
        <v>600</v>
      </c>
      <c r="O3239">
        <v>540</v>
      </c>
      <c r="P3239" t="s">
        <v>25</v>
      </c>
      <c r="Q3239" t="s">
        <v>26</v>
      </c>
      <c r="R3239" t="str">
        <f>IF(COUNTIF(Sheet2!B:B, A3239) &gt; 0, "Yes", "No")</f>
        <v>No</v>
      </c>
    </row>
    <row r="3240" spans="1:18" x14ac:dyDescent="0.25">
      <c r="A3240" s="3">
        <v>45628</v>
      </c>
      <c r="B3240" t="s">
        <v>405</v>
      </c>
      <c r="C3240" t="s">
        <v>19</v>
      </c>
      <c r="D3240" t="s">
        <v>20</v>
      </c>
      <c r="E3240" t="s">
        <v>21</v>
      </c>
      <c r="F3240" t="s">
        <v>27</v>
      </c>
      <c r="G3240" t="s">
        <v>190</v>
      </c>
      <c r="H3240" t="s">
        <v>384</v>
      </c>
      <c r="I3240">
        <v>0.11</v>
      </c>
      <c r="J3240">
        <f t="shared" si="150"/>
        <v>59.4</v>
      </c>
      <c r="K3240">
        <v>12</v>
      </c>
      <c r="L3240">
        <f t="shared" si="151"/>
        <v>47.4</v>
      </c>
      <c r="M3240" s="4">
        <f t="shared" si="152"/>
        <v>7.9000000000000001E-2</v>
      </c>
      <c r="N3240">
        <v>600</v>
      </c>
      <c r="O3240">
        <v>540</v>
      </c>
      <c r="P3240" t="s">
        <v>25</v>
      </c>
      <c r="Q3240" t="s">
        <v>26</v>
      </c>
      <c r="R3240" t="str">
        <f>IF(COUNTIF(Sheet2!B:B, A3240) &gt; 0, "Yes", "No")</f>
        <v>No</v>
      </c>
    </row>
    <row r="3241" spans="1:18" x14ac:dyDescent="0.25">
      <c r="A3241" s="3">
        <v>45628</v>
      </c>
      <c r="B3241" t="s">
        <v>405</v>
      </c>
      <c r="C3241" t="s">
        <v>19</v>
      </c>
      <c r="D3241" t="s">
        <v>20</v>
      </c>
      <c r="E3241" t="s">
        <v>21</v>
      </c>
      <c r="F3241" t="s">
        <v>30</v>
      </c>
      <c r="G3241" t="s">
        <v>31</v>
      </c>
      <c r="H3241" t="s">
        <v>31</v>
      </c>
      <c r="I3241">
        <v>0.09</v>
      </c>
      <c r="J3241">
        <f t="shared" si="150"/>
        <v>48.6</v>
      </c>
      <c r="K3241">
        <v>3</v>
      </c>
      <c r="L3241">
        <f t="shared" si="151"/>
        <v>45.6</v>
      </c>
      <c r="M3241" s="4">
        <f t="shared" si="152"/>
        <v>7.5999999999999998E-2</v>
      </c>
      <c r="N3241">
        <v>600</v>
      </c>
      <c r="O3241">
        <v>540</v>
      </c>
      <c r="P3241" t="s">
        <v>25</v>
      </c>
      <c r="Q3241" t="s">
        <v>26</v>
      </c>
      <c r="R3241" t="str">
        <f>IF(COUNTIF(Sheet2!B:B, A3241) &gt; 0, "Yes", "No")</f>
        <v>No</v>
      </c>
    </row>
    <row r="3242" spans="1:18" x14ac:dyDescent="0.25">
      <c r="A3242" s="3">
        <v>45628</v>
      </c>
      <c r="B3242" t="s">
        <v>405</v>
      </c>
      <c r="C3242" t="s">
        <v>19</v>
      </c>
      <c r="D3242" t="s">
        <v>33</v>
      </c>
      <c r="E3242" t="s">
        <v>21</v>
      </c>
      <c r="F3242" t="s">
        <v>34</v>
      </c>
      <c r="G3242" t="s">
        <v>57</v>
      </c>
      <c r="H3242" t="s">
        <v>735</v>
      </c>
      <c r="I3242">
        <v>0.15</v>
      </c>
      <c r="J3242">
        <f t="shared" si="150"/>
        <v>49.5</v>
      </c>
      <c r="K3242">
        <v>5</v>
      </c>
      <c r="L3242">
        <f t="shared" si="151"/>
        <v>44.5</v>
      </c>
      <c r="M3242" s="4">
        <f t="shared" si="152"/>
        <v>0.10595238095238095</v>
      </c>
      <c r="N3242">
        <v>420</v>
      </c>
      <c r="O3242">
        <v>330</v>
      </c>
      <c r="P3242" t="s">
        <v>25</v>
      </c>
      <c r="Q3242" t="s">
        <v>26</v>
      </c>
      <c r="R3242" t="str">
        <f>IF(COUNTIF(Sheet2!B:B, A3242) &gt; 0, "Yes", "No")</f>
        <v>No</v>
      </c>
    </row>
    <row r="3243" spans="1:18" x14ac:dyDescent="0.25">
      <c r="A3243" s="3">
        <v>45628</v>
      </c>
      <c r="B3243" t="s">
        <v>405</v>
      </c>
      <c r="C3243" t="s">
        <v>19</v>
      </c>
      <c r="D3243" t="s">
        <v>20</v>
      </c>
      <c r="E3243" t="s">
        <v>21</v>
      </c>
      <c r="F3243" t="s">
        <v>37</v>
      </c>
      <c r="G3243" t="s">
        <v>38</v>
      </c>
      <c r="H3243" t="s">
        <v>39</v>
      </c>
      <c r="I3243">
        <v>0.03</v>
      </c>
      <c r="J3243">
        <f t="shared" si="150"/>
        <v>16.2</v>
      </c>
      <c r="K3243">
        <v>4</v>
      </c>
      <c r="L3243">
        <f t="shared" si="151"/>
        <v>12.2</v>
      </c>
      <c r="M3243" s="4">
        <f t="shared" si="152"/>
        <v>2.0333333333333332E-2</v>
      </c>
      <c r="N3243">
        <v>600</v>
      </c>
      <c r="O3243">
        <v>540</v>
      </c>
      <c r="P3243" t="s">
        <v>25</v>
      </c>
      <c r="Q3243" t="s">
        <v>26</v>
      </c>
      <c r="R3243" t="str">
        <f>IF(COUNTIF(Sheet2!B:B, A3243) &gt; 0, "Yes", "No")</f>
        <v>No</v>
      </c>
    </row>
    <row r="3244" spans="1:18" x14ac:dyDescent="0.25">
      <c r="A3244" s="3">
        <v>45628</v>
      </c>
      <c r="B3244" t="s">
        <v>405</v>
      </c>
      <c r="C3244" t="s">
        <v>19</v>
      </c>
      <c r="D3244" t="s">
        <v>20</v>
      </c>
      <c r="E3244" t="s">
        <v>21</v>
      </c>
      <c r="F3244" t="s">
        <v>40</v>
      </c>
      <c r="G3244" t="s">
        <v>137</v>
      </c>
      <c r="H3244" t="s">
        <v>197</v>
      </c>
      <c r="I3244">
        <v>4.4999999999999998E-2</v>
      </c>
      <c r="J3244">
        <f t="shared" si="150"/>
        <v>24.3</v>
      </c>
      <c r="K3244">
        <v>4</v>
      </c>
      <c r="L3244">
        <f t="shared" si="151"/>
        <v>20.3</v>
      </c>
      <c r="M3244" s="4">
        <f t="shared" si="152"/>
        <v>3.3833333333333333E-2</v>
      </c>
      <c r="N3244">
        <v>600</v>
      </c>
      <c r="O3244">
        <v>540</v>
      </c>
      <c r="P3244" t="s">
        <v>25</v>
      </c>
      <c r="Q3244" t="s">
        <v>26</v>
      </c>
      <c r="R3244" t="str">
        <f>IF(COUNTIF(Sheet2!B:B, A3244) &gt; 0, "Yes", "No")</f>
        <v>No</v>
      </c>
    </row>
    <row r="3245" spans="1:18" x14ac:dyDescent="0.25">
      <c r="A3245" s="3">
        <v>45628</v>
      </c>
      <c r="B3245" t="s">
        <v>405</v>
      </c>
      <c r="C3245" t="s">
        <v>19</v>
      </c>
      <c r="D3245" t="s">
        <v>20</v>
      </c>
      <c r="E3245" t="s">
        <v>21</v>
      </c>
      <c r="F3245" t="s">
        <v>43</v>
      </c>
      <c r="G3245" t="s">
        <v>159</v>
      </c>
      <c r="H3245" t="s">
        <v>523</v>
      </c>
      <c r="I3245">
        <v>0.11</v>
      </c>
      <c r="J3245">
        <f t="shared" si="150"/>
        <v>59.4</v>
      </c>
      <c r="K3245">
        <v>3</v>
      </c>
      <c r="L3245">
        <f t="shared" si="151"/>
        <v>56.4</v>
      </c>
      <c r="M3245" s="4">
        <f t="shared" si="152"/>
        <v>9.4E-2</v>
      </c>
      <c r="N3245">
        <v>600</v>
      </c>
      <c r="O3245">
        <v>540</v>
      </c>
      <c r="P3245" t="s">
        <v>25</v>
      </c>
      <c r="Q3245" t="s">
        <v>26</v>
      </c>
      <c r="R3245" t="str">
        <f>IF(COUNTIF(Sheet2!B:B, A3245) &gt; 0, "Yes", "No")</f>
        <v>No</v>
      </c>
    </row>
    <row r="3246" spans="1:18" x14ac:dyDescent="0.25">
      <c r="A3246" s="3">
        <v>45628</v>
      </c>
      <c r="B3246" t="s">
        <v>405</v>
      </c>
      <c r="C3246" t="s">
        <v>19</v>
      </c>
      <c r="D3246" t="s">
        <v>20</v>
      </c>
      <c r="E3246" t="s">
        <v>21</v>
      </c>
      <c r="F3246" t="s">
        <v>46</v>
      </c>
      <c r="G3246" t="s">
        <v>92</v>
      </c>
      <c r="H3246" t="s">
        <v>750</v>
      </c>
      <c r="I3246">
        <v>8.5000000000000006E-2</v>
      </c>
      <c r="J3246">
        <f t="shared" si="150"/>
        <v>45.900000000000006</v>
      </c>
      <c r="K3246">
        <v>7</v>
      </c>
      <c r="L3246">
        <f t="shared" si="151"/>
        <v>38.900000000000006</v>
      </c>
      <c r="M3246" s="4">
        <f t="shared" si="152"/>
        <v>6.483333333333334E-2</v>
      </c>
      <c r="N3246">
        <v>600</v>
      </c>
      <c r="O3246">
        <v>540</v>
      </c>
      <c r="P3246" t="s">
        <v>25</v>
      </c>
      <c r="Q3246" t="s">
        <v>26</v>
      </c>
      <c r="R3246" t="str">
        <f>IF(COUNTIF(Sheet2!B:B, A3246) &gt; 0, "Yes", "No")</f>
        <v>No</v>
      </c>
    </row>
    <row r="3247" spans="1:18" x14ac:dyDescent="0.25">
      <c r="A3247" s="3">
        <v>45628</v>
      </c>
      <c r="B3247" t="s">
        <v>405</v>
      </c>
      <c r="C3247" t="s">
        <v>19</v>
      </c>
      <c r="D3247" t="s">
        <v>20</v>
      </c>
      <c r="E3247" t="s">
        <v>21</v>
      </c>
      <c r="F3247" t="s">
        <v>49</v>
      </c>
      <c r="G3247" t="s">
        <v>50</v>
      </c>
      <c r="H3247" t="s">
        <v>49</v>
      </c>
      <c r="I3247">
        <v>0.09</v>
      </c>
      <c r="J3247">
        <f t="shared" si="150"/>
        <v>48.6</v>
      </c>
      <c r="K3247">
        <v>6</v>
      </c>
      <c r="L3247">
        <f t="shared" si="151"/>
        <v>42.6</v>
      </c>
      <c r="M3247" s="4">
        <f t="shared" si="152"/>
        <v>7.1000000000000008E-2</v>
      </c>
      <c r="N3247">
        <v>600</v>
      </c>
      <c r="O3247">
        <v>540</v>
      </c>
      <c r="P3247" t="s">
        <v>25</v>
      </c>
      <c r="Q3247" t="s">
        <v>26</v>
      </c>
      <c r="R3247" t="str">
        <f>IF(COUNTIF(Sheet2!B:B, A3247) &gt; 0, "Yes", "No")</f>
        <v>No</v>
      </c>
    </row>
    <row r="3248" spans="1:18" x14ac:dyDescent="0.25">
      <c r="A3248" s="3">
        <v>45629</v>
      </c>
      <c r="B3248" t="s">
        <v>405</v>
      </c>
      <c r="C3248" t="s">
        <v>105</v>
      </c>
      <c r="D3248" t="s">
        <v>20</v>
      </c>
      <c r="E3248" t="s">
        <v>67</v>
      </c>
      <c r="F3248" t="s">
        <v>22</v>
      </c>
      <c r="G3248" t="s">
        <v>122</v>
      </c>
      <c r="H3248" t="s">
        <v>757</v>
      </c>
      <c r="I3248">
        <v>8.5000000000000006E-2</v>
      </c>
      <c r="J3248">
        <f t="shared" si="150"/>
        <v>38.25</v>
      </c>
      <c r="K3248">
        <v>2</v>
      </c>
      <c r="L3248">
        <f t="shared" si="151"/>
        <v>36.25</v>
      </c>
      <c r="M3248" s="4">
        <f t="shared" si="152"/>
        <v>7.2499999999999995E-2</v>
      </c>
      <c r="N3248">
        <v>500</v>
      </c>
      <c r="O3248">
        <v>450</v>
      </c>
      <c r="P3248" t="s">
        <v>25</v>
      </c>
      <c r="Q3248" t="s">
        <v>26</v>
      </c>
      <c r="R3248" t="str">
        <f>IF(COUNTIF(Sheet2!B:B, A3248) &gt; 0, "Yes", "No")</f>
        <v>No</v>
      </c>
    </row>
    <row r="3249" spans="1:18" x14ac:dyDescent="0.25">
      <c r="A3249" s="3">
        <v>45629</v>
      </c>
      <c r="B3249" t="s">
        <v>405</v>
      </c>
      <c r="C3249" t="s">
        <v>105</v>
      </c>
      <c r="D3249" t="s">
        <v>20</v>
      </c>
      <c r="E3249" t="s">
        <v>67</v>
      </c>
      <c r="F3249" t="s">
        <v>27</v>
      </c>
      <c r="G3249" t="s">
        <v>304</v>
      </c>
      <c r="H3249" t="s">
        <v>601</v>
      </c>
      <c r="I3249">
        <v>0.12</v>
      </c>
      <c r="J3249">
        <f t="shared" si="150"/>
        <v>54</v>
      </c>
      <c r="K3249">
        <v>1</v>
      </c>
      <c r="L3249">
        <f t="shared" si="151"/>
        <v>53</v>
      </c>
      <c r="M3249" s="4">
        <f t="shared" si="152"/>
        <v>0.106</v>
      </c>
      <c r="N3249">
        <v>500</v>
      </c>
      <c r="O3249">
        <v>450</v>
      </c>
      <c r="P3249" t="s">
        <v>25</v>
      </c>
      <c r="Q3249" t="s">
        <v>26</v>
      </c>
      <c r="R3249" t="str">
        <f>IF(COUNTIF(Sheet2!B:B, A3249) &gt; 0, "Yes", "No")</f>
        <v>No</v>
      </c>
    </row>
    <row r="3250" spans="1:18" x14ac:dyDescent="0.25">
      <c r="A3250" s="3">
        <v>45629</v>
      </c>
      <c r="B3250" t="s">
        <v>405</v>
      </c>
      <c r="C3250" t="s">
        <v>105</v>
      </c>
      <c r="D3250" t="s">
        <v>20</v>
      </c>
      <c r="E3250" t="s">
        <v>67</v>
      </c>
      <c r="F3250" t="s">
        <v>30</v>
      </c>
      <c r="G3250" t="s">
        <v>55</v>
      </c>
      <c r="H3250" t="s">
        <v>183</v>
      </c>
      <c r="I3250">
        <v>0.09</v>
      </c>
      <c r="J3250">
        <f t="shared" si="150"/>
        <v>40.5</v>
      </c>
      <c r="K3250">
        <v>1</v>
      </c>
      <c r="L3250">
        <f t="shared" si="151"/>
        <v>39.5</v>
      </c>
      <c r="M3250" s="4">
        <f t="shared" si="152"/>
        <v>7.9000000000000001E-2</v>
      </c>
      <c r="N3250">
        <v>500</v>
      </c>
      <c r="O3250">
        <v>450</v>
      </c>
      <c r="P3250" t="s">
        <v>25</v>
      </c>
      <c r="Q3250" t="s">
        <v>26</v>
      </c>
      <c r="R3250" t="str">
        <f>IF(COUNTIF(Sheet2!B:B, A3250) &gt; 0, "Yes", "No")</f>
        <v>No</v>
      </c>
    </row>
    <row r="3251" spans="1:18" x14ac:dyDescent="0.25">
      <c r="A3251" s="3">
        <v>45629</v>
      </c>
      <c r="B3251" t="s">
        <v>405</v>
      </c>
      <c r="C3251" t="s">
        <v>105</v>
      </c>
      <c r="D3251" t="s">
        <v>20</v>
      </c>
      <c r="E3251" t="s">
        <v>67</v>
      </c>
      <c r="F3251" t="s">
        <v>37</v>
      </c>
      <c r="G3251" t="s">
        <v>59</v>
      </c>
      <c r="H3251" t="s">
        <v>60</v>
      </c>
      <c r="I3251">
        <v>3.5000000000000003E-2</v>
      </c>
      <c r="J3251">
        <f t="shared" si="150"/>
        <v>15.750000000000002</v>
      </c>
      <c r="K3251">
        <v>1</v>
      </c>
      <c r="L3251">
        <f t="shared" si="151"/>
        <v>14.750000000000002</v>
      </c>
      <c r="M3251" s="4">
        <f t="shared" si="152"/>
        <v>2.9500000000000002E-2</v>
      </c>
      <c r="N3251">
        <v>500</v>
      </c>
      <c r="O3251">
        <v>450</v>
      </c>
      <c r="P3251" t="s">
        <v>25</v>
      </c>
      <c r="Q3251" t="s">
        <v>26</v>
      </c>
      <c r="R3251" t="str">
        <f>IF(COUNTIF(Sheet2!B:B, A3251) &gt; 0, "Yes", "No")</f>
        <v>No</v>
      </c>
    </row>
    <row r="3252" spans="1:18" x14ac:dyDescent="0.25">
      <c r="A3252" s="3">
        <v>45629</v>
      </c>
      <c r="B3252" t="s">
        <v>405</v>
      </c>
      <c r="C3252" t="s">
        <v>105</v>
      </c>
      <c r="D3252" t="s">
        <v>20</v>
      </c>
      <c r="E3252" t="s">
        <v>67</v>
      </c>
      <c r="F3252" t="s">
        <v>40</v>
      </c>
      <c r="G3252" t="s">
        <v>137</v>
      </c>
      <c r="H3252" t="s">
        <v>690</v>
      </c>
      <c r="I3252">
        <v>0.05</v>
      </c>
      <c r="J3252">
        <f t="shared" si="150"/>
        <v>22.5</v>
      </c>
      <c r="K3252">
        <v>1</v>
      </c>
      <c r="L3252">
        <f t="shared" si="151"/>
        <v>21.5</v>
      </c>
      <c r="M3252" s="4">
        <f t="shared" si="152"/>
        <v>4.2999999999999997E-2</v>
      </c>
      <c r="N3252">
        <v>500</v>
      </c>
      <c r="O3252">
        <v>450</v>
      </c>
      <c r="P3252" t="s">
        <v>25</v>
      </c>
      <c r="Q3252" t="s">
        <v>26</v>
      </c>
      <c r="R3252" t="str">
        <f>IF(COUNTIF(Sheet2!B:B, A3252) &gt; 0, "Yes", "No")</f>
        <v>No</v>
      </c>
    </row>
    <row r="3253" spans="1:18" x14ac:dyDescent="0.25">
      <c r="A3253" s="3">
        <v>45629</v>
      </c>
      <c r="B3253" t="s">
        <v>405</v>
      </c>
      <c r="C3253" t="s">
        <v>105</v>
      </c>
      <c r="D3253" t="s">
        <v>20</v>
      </c>
      <c r="E3253" t="s">
        <v>67</v>
      </c>
      <c r="F3253" t="s">
        <v>43</v>
      </c>
      <c r="G3253" t="s">
        <v>90</v>
      </c>
      <c r="H3253" t="s">
        <v>543</v>
      </c>
      <c r="I3253">
        <v>0.11</v>
      </c>
      <c r="J3253">
        <f t="shared" si="150"/>
        <v>49.5</v>
      </c>
      <c r="K3253">
        <v>1.5</v>
      </c>
      <c r="L3253">
        <f t="shared" si="151"/>
        <v>48</v>
      </c>
      <c r="M3253" s="4">
        <f t="shared" si="152"/>
        <v>9.6000000000000002E-2</v>
      </c>
      <c r="N3253">
        <v>500</v>
      </c>
      <c r="O3253">
        <v>450</v>
      </c>
      <c r="P3253" t="s">
        <v>25</v>
      </c>
      <c r="Q3253" t="s">
        <v>26</v>
      </c>
      <c r="R3253" t="str">
        <f>IF(COUNTIF(Sheet2!B:B, A3253) &gt; 0, "Yes", "No")</f>
        <v>No</v>
      </c>
    </row>
    <row r="3254" spans="1:18" x14ac:dyDescent="0.25">
      <c r="A3254" s="3">
        <v>45629</v>
      </c>
      <c r="B3254" t="s">
        <v>405</v>
      </c>
      <c r="C3254" t="s">
        <v>105</v>
      </c>
      <c r="D3254" t="s">
        <v>20</v>
      </c>
      <c r="E3254" t="s">
        <v>67</v>
      </c>
      <c r="F3254" t="s">
        <v>46</v>
      </c>
      <c r="G3254" t="s">
        <v>103</v>
      </c>
      <c r="H3254" t="s">
        <v>309</v>
      </c>
      <c r="I3254">
        <v>0.09</v>
      </c>
      <c r="J3254">
        <f t="shared" si="150"/>
        <v>40.5</v>
      </c>
      <c r="K3254">
        <v>0</v>
      </c>
      <c r="L3254">
        <f t="shared" si="151"/>
        <v>40.5</v>
      </c>
      <c r="M3254" s="4">
        <f t="shared" si="152"/>
        <v>8.1000000000000003E-2</v>
      </c>
      <c r="N3254">
        <v>500</v>
      </c>
      <c r="O3254">
        <v>450</v>
      </c>
      <c r="P3254" t="s">
        <v>25</v>
      </c>
      <c r="Q3254" t="s">
        <v>26</v>
      </c>
      <c r="R3254" t="str">
        <f>IF(COUNTIF(Sheet2!B:B, A3254) &gt; 0, "Yes", "No")</f>
        <v>No</v>
      </c>
    </row>
    <row r="3255" spans="1:18" x14ac:dyDescent="0.25">
      <c r="A3255" s="3">
        <v>45629</v>
      </c>
      <c r="B3255" t="s">
        <v>405</v>
      </c>
      <c r="C3255" t="s">
        <v>105</v>
      </c>
      <c r="D3255" t="s">
        <v>20</v>
      </c>
      <c r="E3255" t="s">
        <v>67</v>
      </c>
      <c r="F3255" t="s">
        <v>49</v>
      </c>
      <c r="G3255" t="s">
        <v>50</v>
      </c>
      <c r="H3255" t="s">
        <v>49</v>
      </c>
      <c r="I3255">
        <v>0.09</v>
      </c>
      <c r="J3255">
        <f t="shared" si="150"/>
        <v>40.5</v>
      </c>
      <c r="K3255">
        <v>1</v>
      </c>
      <c r="L3255">
        <f t="shared" si="151"/>
        <v>39.5</v>
      </c>
      <c r="M3255" s="4">
        <f t="shared" si="152"/>
        <v>7.9000000000000001E-2</v>
      </c>
      <c r="N3255">
        <v>500</v>
      </c>
      <c r="O3255">
        <v>450</v>
      </c>
      <c r="P3255" t="s">
        <v>25</v>
      </c>
      <c r="Q3255" t="s">
        <v>26</v>
      </c>
      <c r="R3255" t="str">
        <f>IF(COUNTIF(Sheet2!B:B, A3255) &gt; 0, "Yes", "No")</f>
        <v>No</v>
      </c>
    </row>
    <row r="3256" spans="1:18" x14ac:dyDescent="0.25">
      <c r="A3256" s="3">
        <v>45630</v>
      </c>
      <c r="B3256" t="s">
        <v>405</v>
      </c>
      <c r="C3256" t="s">
        <v>51</v>
      </c>
      <c r="D3256" t="s">
        <v>20</v>
      </c>
      <c r="E3256" t="s">
        <v>21</v>
      </c>
      <c r="F3256" t="s">
        <v>22</v>
      </c>
      <c r="G3256" t="s">
        <v>122</v>
      </c>
      <c r="H3256" t="s">
        <v>624</v>
      </c>
      <c r="I3256">
        <v>8.5000000000000006E-2</v>
      </c>
      <c r="J3256">
        <f t="shared" si="150"/>
        <v>45.900000000000006</v>
      </c>
      <c r="K3256">
        <v>0</v>
      </c>
      <c r="L3256">
        <f t="shared" si="151"/>
        <v>45.900000000000006</v>
      </c>
      <c r="M3256" s="4">
        <f t="shared" si="152"/>
        <v>7.6500000000000012E-2</v>
      </c>
      <c r="N3256">
        <v>600</v>
      </c>
      <c r="O3256">
        <v>540</v>
      </c>
      <c r="P3256" t="s">
        <v>25</v>
      </c>
      <c r="Q3256" t="s">
        <v>26</v>
      </c>
      <c r="R3256" t="str">
        <f>IF(COUNTIF(Sheet2!B:B, A3256) &gt; 0, "Yes", "No")</f>
        <v>No</v>
      </c>
    </row>
    <row r="3257" spans="1:18" x14ac:dyDescent="0.25">
      <c r="A3257" s="3">
        <v>45630</v>
      </c>
      <c r="B3257" t="s">
        <v>405</v>
      </c>
      <c r="C3257" t="s">
        <v>51</v>
      </c>
      <c r="D3257" t="s">
        <v>20</v>
      </c>
      <c r="E3257" t="s">
        <v>21</v>
      </c>
      <c r="F3257" t="s">
        <v>27</v>
      </c>
      <c r="G3257" t="s">
        <v>28</v>
      </c>
      <c r="H3257" t="s">
        <v>692</v>
      </c>
      <c r="I3257">
        <v>0.11</v>
      </c>
      <c r="J3257">
        <f t="shared" si="150"/>
        <v>59.4</v>
      </c>
      <c r="K3257">
        <v>1</v>
      </c>
      <c r="L3257">
        <f t="shared" si="151"/>
        <v>58.4</v>
      </c>
      <c r="M3257" s="4">
        <f t="shared" si="152"/>
        <v>9.7333333333333327E-2</v>
      </c>
      <c r="N3257">
        <v>600</v>
      </c>
      <c r="O3257">
        <v>540</v>
      </c>
      <c r="P3257" t="s">
        <v>25</v>
      </c>
      <c r="Q3257" t="s">
        <v>26</v>
      </c>
      <c r="R3257" t="str">
        <f>IF(COUNTIF(Sheet2!B:B, A3257) &gt; 0, "Yes", "No")</f>
        <v>No</v>
      </c>
    </row>
    <row r="3258" spans="1:18" x14ac:dyDescent="0.25">
      <c r="A3258" s="3">
        <v>45630</v>
      </c>
      <c r="B3258" t="s">
        <v>405</v>
      </c>
      <c r="C3258" t="s">
        <v>51</v>
      </c>
      <c r="D3258" t="s">
        <v>20</v>
      </c>
      <c r="E3258" t="s">
        <v>21</v>
      </c>
      <c r="F3258" t="s">
        <v>30</v>
      </c>
      <c r="G3258" t="s">
        <v>31</v>
      </c>
      <c r="H3258" t="s">
        <v>70</v>
      </c>
      <c r="I3258">
        <v>0.09</v>
      </c>
      <c r="J3258">
        <f t="shared" si="150"/>
        <v>48.6</v>
      </c>
      <c r="K3258">
        <v>0</v>
      </c>
      <c r="L3258">
        <f t="shared" si="151"/>
        <v>48.6</v>
      </c>
      <c r="M3258" s="4">
        <f t="shared" si="152"/>
        <v>8.1000000000000003E-2</v>
      </c>
      <c r="N3258">
        <v>600</v>
      </c>
      <c r="O3258">
        <v>540</v>
      </c>
      <c r="P3258" t="s">
        <v>25</v>
      </c>
      <c r="Q3258" t="s">
        <v>26</v>
      </c>
      <c r="R3258" t="str">
        <f>IF(COUNTIF(Sheet2!B:B, A3258) &gt; 0, "Yes", "No")</f>
        <v>No</v>
      </c>
    </row>
    <row r="3259" spans="1:18" x14ac:dyDescent="0.25">
      <c r="A3259" s="3">
        <v>45630</v>
      </c>
      <c r="B3259" t="s">
        <v>405</v>
      </c>
      <c r="C3259" t="s">
        <v>51</v>
      </c>
      <c r="D3259" t="s">
        <v>33</v>
      </c>
      <c r="E3259" t="s">
        <v>21</v>
      </c>
      <c r="F3259" t="s">
        <v>34</v>
      </c>
      <c r="G3259" t="s">
        <v>57</v>
      </c>
      <c r="H3259" t="s">
        <v>758</v>
      </c>
      <c r="I3259">
        <v>0.15</v>
      </c>
      <c r="J3259">
        <f t="shared" si="150"/>
        <v>52.5</v>
      </c>
      <c r="K3259">
        <v>0</v>
      </c>
      <c r="L3259">
        <f t="shared" si="151"/>
        <v>52.5</v>
      </c>
      <c r="M3259" s="4">
        <f t="shared" si="152"/>
        <v>0.125</v>
      </c>
      <c r="N3259">
        <v>420</v>
      </c>
      <c r="O3259">
        <v>350</v>
      </c>
      <c r="P3259" t="s">
        <v>25</v>
      </c>
      <c r="Q3259" t="s">
        <v>26</v>
      </c>
      <c r="R3259" t="str">
        <f>IF(COUNTIF(Sheet2!B:B, A3259) &gt; 0, "Yes", "No")</f>
        <v>No</v>
      </c>
    </row>
    <row r="3260" spans="1:18" x14ac:dyDescent="0.25">
      <c r="A3260" s="3">
        <v>45630</v>
      </c>
      <c r="B3260" t="s">
        <v>405</v>
      </c>
      <c r="C3260" t="s">
        <v>51</v>
      </c>
      <c r="D3260" t="s">
        <v>20</v>
      </c>
      <c r="E3260" t="s">
        <v>21</v>
      </c>
      <c r="F3260" t="s">
        <v>37</v>
      </c>
      <c r="G3260" t="s">
        <v>71</v>
      </c>
      <c r="H3260" t="s">
        <v>574</v>
      </c>
      <c r="I3260">
        <v>0.03</v>
      </c>
      <c r="J3260">
        <f t="shared" si="150"/>
        <v>16.2</v>
      </c>
      <c r="K3260">
        <v>2</v>
      </c>
      <c r="L3260">
        <f t="shared" si="151"/>
        <v>14.2</v>
      </c>
      <c r="M3260" s="4">
        <f t="shared" si="152"/>
        <v>2.3666666666666666E-2</v>
      </c>
      <c r="N3260">
        <v>600</v>
      </c>
      <c r="O3260">
        <v>540</v>
      </c>
      <c r="P3260" t="s">
        <v>25</v>
      </c>
      <c r="Q3260" t="s">
        <v>26</v>
      </c>
      <c r="R3260" t="str">
        <f>IF(COUNTIF(Sheet2!B:B, A3260) &gt; 0, "Yes", "No")</f>
        <v>No</v>
      </c>
    </row>
    <row r="3261" spans="1:18" x14ac:dyDescent="0.25">
      <c r="A3261" s="3">
        <v>45630</v>
      </c>
      <c r="B3261" t="s">
        <v>405</v>
      </c>
      <c r="C3261" t="s">
        <v>51</v>
      </c>
      <c r="D3261" t="s">
        <v>20</v>
      </c>
      <c r="E3261" t="s">
        <v>21</v>
      </c>
      <c r="F3261" t="s">
        <v>40</v>
      </c>
      <c r="G3261" t="s">
        <v>137</v>
      </c>
      <c r="H3261" t="s">
        <v>251</v>
      </c>
      <c r="I3261">
        <v>4.4999999999999998E-2</v>
      </c>
      <c r="J3261">
        <f t="shared" si="150"/>
        <v>24.3</v>
      </c>
      <c r="K3261">
        <v>2</v>
      </c>
      <c r="L3261">
        <f t="shared" si="151"/>
        <v>22.3</v>
      </c>
      <c r="M3261" s="4">
        <f t="shared" si="152"/>
        <v>3.7166666666666667E-2</v>
      </c>
      <c r="N3261">
        <v>600</v>
      </c>
      <c r="O3261">
        <v>540</v>
      </c>
      <c r="P3261" t="s">
        <v>25</v>
      </c>
      <c r="Q3261" t="s">
        <v>26</v>
      </c>
      <c r="R3261" t="str">
        <f>IF(COUNTIF(Sheet2!B:B, A3261) &gt; 0, "Yes", "No")</f>
        <v>No</v>
      </c>
    </row>
    <row r="3262" spans="1:18" x14ac:dyDescent="0.25">
      <c r="A3262" s="3">
        <v>45630</v>
      </c>
      <c r="B3262" t="s">
        <v>405</v>
      </c>
      <c r="C3262" t="s">
        <v>51</v>
      </c>
      <c r="D3262" t="s">
        <v>20</v>
      </c>
      <c r="E3262" t="s">
        <v>21</v>
      </c>
      <c r="F3262" t="s">
        <v>43</v>
      </c>
      <c r="G3262" t="s">
        <v>44</v>
      </c>
      <c r="H3262" t="s">
        <v>153</v>
      </c>
      <c r="I3262">
        <v>0.11</v>
      </c>
      <c r="J3262">
        <f t="shared" si="150"/>
        <v>59.4</v>
      </c>
      <c r="K3262">
        <v>0.4</v>
      </c>
      <c r="L3262">
        <f t="shared" si="151"/>
        <v>59</v>
      </c>
      <c r="M3262" s="4">
        <f t="shared" si="152"/>
        <v>9.8333333333333328E-2</v>
      </c>
      <c r="N3262">
        <v>600</v>
      </c>
      <c r="O3262">
        <v>540</v>
      </c>
      <c r="P3262" t="s">
        <v>25</v>
      </c>
      <c r="Q3262" t="s">
        <v>26</v>
      </c>
      <c r="R3262" t="str">
        <f>IF(COUNTIF(Sheet2!B:B, A3262) &gt; 0, "Yes", "No")</f>
        <v>No</v>
      </c>
    </row>
    <row r="3263" spans="1:18" x14ac:dyDescent="0.25">
      <c r="A3263" s="3">
        <v>45630</v>
      </c>
      <c r="B3263" t="s">
        <v>405</v>
      </c>
      <c r="C3263" t="s">
        <v>51</v>
      </c>
      <c r="D3263" t="s">
        <v>20</v>
      </c>
      <c r="E3263" t="s">
        <v>21</v>
      </c>
      <c r="F3263" t="s">
        <v>46</v>
      </c>
      <c r="G3263" t="s">
        <v>130</v>
      </c>
      <c r="H3263" t="s">
        <v>548</v>
      </c>
      <c r="I3263">
        <v>8.5000000000000006E-2</v>
      </c>
      <c r="J3263">
        <f t="shared" si="150"/>
        <v>45.900000000000006</v>
      </c>
      <c r="K3263">
        <v>0</v>
      </c>
      <c r="L3263">
        <f t="shared" si="151"/>
        <v>45.900000000000006</v>
      </c>
      <c r="M3263" s="4">
        <f t="shared" si="152"/>
        <v>7.6500000000000012E-2</v>
      </c>
      <c r="N3263">
        <v>600</v>
      </c>
      <c r="O3263">
        <v>540</v>
      </c>
      <c r="P3263" t="s">
        <v>25</v>
      </c>
      <c r="Q3263" t="s">
        <v>26</v>
      </c>
      <c r="R3263" t="str">
        <f>IF(COUNTIF(Sheet2!B:B, A3263) &gt; 0, "Yes", "No")</f>
        <v>No</v>
      </c>
    </row>
    <row r="3264" spans="1:18" x14ac:dyDescent="0.25">
      <c r="A3264" s="3">
        <v>45630</v>
      </c>
      <c r="B3264" t="s">
        <v>405</v>
      </c>
      <c r="C3264" t="s">
        <v>51</v>
      </c>
      <c r="D3264" t="s">
        <v>20</v>
      </c>
      <c r="E3264" t="s">
        <v>21</v>
      </c>
      <c r="F3264" t="s">
        <v>49</v>
      </c>
      <c r="G3264" t="s">
        <v>50</v>
      </c>
      <c r="H3264" t="s">
        <v>49</v>
      </c>
      <c r="I3264">
        <v>0.09</v>
      </c>
      <c r="J3264">
        <f t="shared" si="150"/>
        <v>48.6</v>
      </c>
      <c r="K3264">
        <v>0</v>
      </c>
      <c r="L3264">
        <f t="shared" si="151"/>
        <v>48.6</v>
      </c>
      <c r="M3264" s="4">
        <f t="shared" si="152"/>
        <v>8.1000000000000003E-2</v>
      </c>
      <c r="N3264">
        <v>600</v>
      </c>
      <c r="O3264">
        <v>540</v>
      </c>
      <c r="P3264" t="s">
        <v>25</v>
      </c>
      <c r="Q3264" t="s">
        <v>26</v>
      </c>
      <c r="R3264" t="str">
        <f>IF(COUNTIF(Sheet2!B:B, A3264) &gt; 0, "Yes", "No")</f>
        <v>No</v>
      </c>
    </row>
    <row r="3265" spans="1:18" x14ac:dyDescent="0.25">
      <c r="A3265" s="3">
        <v>45631</v>
      </c>
      <c r="B3265" t="s">
        <v>405</v>
      </c>
      <c r="C3265" t="s">
        <v>66</v>
      </c>
      <c r="D3265" t="s">
        <v>20</v>
      </c>
      <c r="E3265" t="s">
        <v>67</v>
      </c>
      <c r="F3265" t="s">
        <v>22</v>
      </c>
      <c r="G3265" t="s">
        <v>94</v>
      </c>
      <c r="H3265" t="s">
        <v>759</v>
      </c>
      <c r="I3265">
        <v>8.5000000000000006E-2</v>
      </c>
      <c r="J3265">
        <f t="shared" si="150"/>
        <v>32.300000000000004</v>
      </c>
      <c r="K3265">
        <v>1.5</v>
      </c>
      <c r="L3265">
        <f t="shared" si="151"/>
        <v>30.800000000000004</v>
      </c>
      <c r="M3265" s="4">
        <f t="shared" si="152"/>
        <v>7.3333333333333348E-2</v>
      </c>
      <c r="N3265">
        <v>420</v>
      </c>
      <c r="O3265">
        <v>380</v>
      </c>
      <c r="P3265" t="s">
        <v>25</v>
      </c>
      <c r="Q3265" t="s">
        <v>26</v>
      </c>
      <c r="R3265" t="str">
        <f>IF(COUNTIF(Sheet2!B:B, A3265) &gt; 0, "Yes", "No")</f>
        <v>No</v>
      </c>
    </row>
    <row r="3266" spans="1:18" x14ac:dyDescent="0.25">
      <c r="A3266" s="3">
        <v>45631</v>
      </c>
      <c r="B3266" t="s">
        <v>405</v>
      </c>
      <c r="C3266" t="s">
        <v>66</v>
      </c>
      <c r="D3266" t="s">
        <v>20</v>
      </c>
      <c r="E3266" t="s">
        <v>67</v>
      </c>
      <c r="F3266" t="s">
        <v>27</v>
      </c>
      <c r="G3266" t="s">
        <v>235</v>
      </c>
      <c r="H3266" t="s">
        <v>604</v>
      </c>
      <c r="I3266">
        <v>0.12</v>
      </c>
      <c r="J3266">
        <f t="shared" si="150"/>
        <v>45.6</v>
      </c>
      <c r="K3266">
        <v>0</v>
      </c>
      <c r="L3266">
        <f t="shared" si="151"/>
        <v>45.6</v>
      </c>
      <c r="M3266" s="4">
        <f t="shared" si="152"/>
        <v>0.10857142857142857</v>
      </c>
      <c r="N3266">
        <v>420</v>
      </c>
      <c r="O3266">
        <v>380</v>
      </c>
      <c r="P3266" t="s">
        <v>25</v>
      </c>
      <c r="Q3266" t="s">
        <v>26</v>
      </c>
      <c r="R3266" t="str">
        <f>IF(COUNTIF(Sheet2!B:B, A3266) &gt; 0, "Yes", "No")</f>
        <v>No</v>
      </c>
    </row>
    <row r="3267" spans="1:18" x14ac:dyDescent="0.25">
      <c r="A3267" s="3">
        <v>45631</v>
      </c>
      <c r="B3267" t="s">
        <v>405</v>
      </c>
      <c r="C3267" t="s">
        <v>66</v>
      </c>
      <c r="D3267" t="s">
        <v>20</v>
      </c>
      <c r="E3267" t="s">
        <v>67</v>
      </c>
      <c r="F3267" t="s">
        <v>30</v>
      </c>
      <c r="G3267" t="s">
        <v>55</v>
      </c>
      <c r="H3267" t="s">
        <v>125</v>
      </c>
      <c r="I3267">
        <v>0.09</v>
      </c>
      <c r="J3267">
        <f t="shared" ref="J3267:J3330" si="153">I3267*O3267</f>
        <v>34.199999999999996</v>
      </c>
      <c r="K3267">
        <v>1</v>
      </c>
      <c r="L3267">
        <f t="shared" ref="L3267:L3330" si="154">J3267-K3267</f>
        <v>33.199999999999996</v>
      </c>
      <c r="M3267" s="4">
        <f t="shared" ref="M3267:M3330" si="155">((I3267*O3267)-K3267)/N3267</f>
        <v>7.9047619047619033E-2</v>
      </c>
      <c r="N3267">
        <v>420</v>
      </c>
      <c r="O3267">
        <v>380</v>
      </c>
      <c r="P3267" t="s">
        <v>25</v>
      </c>
      <c r="Q3267" t="s">
        <v>26</v>
      </c>
      <c r="R3267" t="str">
        <f>IF(COUNTIF(Sheet2!B:B, A3267) &gt; 0, "Yes", "No")</f>
        <v>No</v>
      </c>
    </row>
    <row r="3268" spans="1:18" x14ac:dyDescent="0.25">
      <c r="A3268" s="3">
        <v>45631</v>
      </c>
      <c r="B3268" t="s">
        <v>405</v>
      </c>
      <c r="C3268" t="s">
        <v>66</v>
      </c>
      <c r="D3268" t="s">
        <v>20</v>
      </c>
      <c r="E3268" t="s">
        <v>67</v>
      </c>
      <c r="F3268" t="s">
        <v>37</v>
      </c>
      <c r="G3268" t="s">
        <v>262</v>
      </c>
      <c r="H3268" t="s">
        <v>760</v>
      </c>
      <c r="I3268">
        <v>3.5000000000000003E-2</v>
      </c>
      <c r="J3268">
        <f t="shared" si="153"/>
        <v>13.3</v>
      </c>
      <c r="K3268">
        <v>1</v>
      </c>
      <c r="L3268">
        <f t="shared" si="154"/>
        <v>12.3</v>
      </c>
      <c r="M3268" s="4">
        <f t="shared" si="155"/>
        <v>2.9285714285714286E-2</v>
      </c>
      <c r="N3268">
        <v>420</v>
      </c>
      <c r="O3268">
        <v>380</v>
      </c>
      <c r="P3268" t="s">
        <v>25</v>
      </c>
      <c r="Q3268" t="s">
        <v>26</v>
      </c>
      <c r="R3268" t="str">
        <f>IF(COUNTIF(Sheet2!B:B, A3268) &gt; 0, "Yes", "No")</f>
        <v>No</v>
      </c>
    </row>
    <row r="3269" spans="1:18" x14ac:dyDescent="0.25">
      <c r="A3269" s="3">
        <v>45631</v>
      </c>
      <c r="B3269" t="s">
        <v>405</v>
      </c>
      <c r="C3269" t="s">
        <v>66</v>
      </c>
      <c r="D3269" t="s">
        <v>20</v>
      </c>
      <c r="E3269" t="s">
        <v>67</v>
      </c>
      <c r="F3269" t="s">
        <v>40</v>
      </c>
      <c r="G3269" t="s">
        <v>164</v>
      </c>
      <c r="H3269" t="s">
        <v>467</v>
      </c>
      <c r="I3269">
        <v>0.05</v>
      </c>
      <c r="J3269">
        <f t="shared" si="153"/>
        <v>19</v>
      </c>
      <c r="K3269">
        <v>1</v>
      </c>
      <c r="L3269">
        <f t="shared" si="154"/>
        <v>18</v>
      </c>
      <c r="M3269" s="4">
        <f t="shared" si="155"/>
        <v>4.2857142857142858E-2</v>
      </c>
      <c r="N3269">
        <v>420</v>
      </c>
      <c r="O3269">
        <v>380</v>
      </c>
      <c r="P3269" t="s">
        <v>25</v>
      </c>
      <c r="Q3269" t="s">
        <v>26</v>
      </c>
      <c r="R3269" t="str">
        <f>IF(COUNTIF(Sheet2!B:B, A3269) &gt; 0, "Yes", "No")</f>
        <v>No</v>
      </c>
    </row>
    <row r="3270" spans="1:18" x14ac:dyDescent="0.25">
      <c r="A3270" s="3">
        <v>45631</v>
      </c>
      <c r="B3270" t="s">
        <v>405</v>
      </c>
      <c r="C3270" t="s">
        <v>66</v>
      </c>
      <c r="D3270" t="s">
        <v>20</v>
      </c>
      <c r="E3270" t="s">
        <v>67</v>
      </c>
      <c r="F3270" t="s">
        <v>43</v>
      </c>
      <c r="G3270" t="s">
        <v>215</v>
      </c>
      <c r="H3270" t="s">
        <v>761</v>
      </c>
      <c r="I3270">
        <v>0.11</v>
      </c>
      <c r="J3270">
        <f t="shared" si="153"/>
        <v>41.8</v>
      </c>
      <c r="K3270">
        <v>1.5</v>
      </c>
      <c r="L3270">
        <f t="shared" si="154"/>
        <v>40.299999999999997</v>
      </c>
      <c r="M3270" s="4">
        <f t="shared" si="155"/>
        <v>9.5952380952380942E-2</v>
      </c>
      <c r="N3270">
        <v>420</v>
      </c>
      <c r="O3270">
        <v>380</v>
      </c>
      <c r="P3270" t="s">
        <v>25</v>
      </c>
      <c r="Q3270" t="s">
        <v>26</v>
      </c>
      <c r="R3270" t="str">
        <f>IF(COUNTIF(Sheet2!B:B, A3270) &gt; 0, "Yes", "No")</f>
        <v>No</v>
      </c>
    </row>
    <row r="3271" spans="1:18" x14ac:dyDescent="0.25">
      <c r="A3271" s="3">
        <v>45631</v>
      </c>
      <c r="B3271" t="s">
        <v>405</v>
      </c>
      <c r="C3271" t="s">
        <v>66</v>
      </c>
      <c r="D3271" t="s">
        <v>20</v>
      </c>
      <c r="E3271" t="s">
        <v>67</v>
      </c>
      <c r="F3271" t="s">
        <v>46</v>
      </c>
      <c r="G3271" t="s">
        <v>47</v>
      </c>
      <c r="H3271" t="s">
        <v>141</v>
      </c>
      <c r="I3271">
        <v>8.5000000000000006E-2</v>
      </c>
      <c r="J3271">
        <f t="shared" si="153"/>
        <v>32.300000000000004</v>
      </c>
      <c r="K3271">
        <v>1</v>
      </c>
      <c r="L3271">
        <f t="shared" si="154"/>
        <v>31.300000000000004</v>
      </c>
      <c r="M3271" s="4">
        <f t="shared" si="155"/>
        <v>7.4523809523809534E-2</v>
      </c>
      <c r="N3271">
        <v>420</v>
      </c>
      <c r="O3271">
        <v>380</v>
      </c>
      <c r="P3271" t="s">
        <v>25</v>
      </c>
      <c r="Q3271" t="s">
        <v>26</v>
      </c>
      <c r="R3271" t="str">
        <f>IF(COUNTIF(Sheet2!B:B, A3271) &gt; 0, "Yes", "No")</f>
        <v>No</v>
      </c>
    </row>
    <row r="3272" spans="1:18" x14ac:dyDescent="0.25">
      <c r="A3272" s="3">
        <v>45631</v>
      </c>
      <c r="B3272" t="s">
        <v>405</v>
      </c>
      <c r="C3272" t="s">
        <v>66</v>
      </c>
      <c r="D3272" t="s">
        <v>20</v>
      </c>
      <c r="E3272" t="s">
        <v>67</v>
      </c>
      <c r="F3272" t="s">
        <v>49</v>
      </c>
      <c r="G3272" t="s">
        <v>50</v>
      </c>
      <c r="H3272" t="s">
        <v>49</v>
      </c>
      <c r="I3272">
        <v>0.09</v>
      </c>
      <c r="J3272">
        <f t="shared" si="153"/>
        <v>34.199999999999996</v>
      </c>
      <c r="K3272">
        <v>1</v>
      </c>
      <c r="L3272">
        <f t="shared" si="154"/>
        <v>33.199999999999996</v>
      </c>
      <c r="M3272" s="4">
        <f t="shared" si="155"/>
        <v>7.9047619047619033E-2</v>
      </c>
      <c r="N3272">
        <v>420</v>
      </c>
      <c r="O3272">
        <v>380</v>
      </c>
      <c r="P3272" t="s">
        <v>25</v>
      </c>
      <c r="Q3272" t="s">
        <v>26</v>
      </c>
      <c r="R3272" t="str">
        <f>IF(COUNTIF(Sheet2!B:B, A3272) &gt; 0, "Yes", "No")</f>
        <v>No</v>
      </c>
    </row>
    <row r="3273" spans="1:18" x14ac:dyDescent="0.25">
      <c r="A3273" s="3">
        <v>45632</v>
      </c>
      <c r="B3273" t="s">
        <v>405</v>
      </c>
      <c r="C3273" t="s">
        <v>79</v>
      </c>
      <c r="D3273" t="s">
        <v>20</v>
      </c>
      <c r="E3273" t="s">
        <v>21</v>
      </c>
      <c r="F3273" t="s">
        <v>22</v>
      </c>
      <c r="G3273" t="s">
        <v>94</v>
      </c>
      <c r="H3273" t="s">
        <v>294</v>
      </c>
      <c r="I3273" s="5">
        <v>0.06</v>
      </c>
      <c r="J3273">
        <f t="shared" si="153"/>
        <v>19.2</v>
      </c>
      <c r="K3273">
        <v>1</v>
      </c>
      <c r="L3273">
        <f t="shared" si="154"/>
        <v>18.2</v>
      </c>
      <c r="M3273" s="4">
        <f t="shared" si="155"/>
        <v>5.1999999999999998E-2</v>
      </c>
      <c r="N3273">
        <v>350</v>
      </c>
      <c r="O3273">
        <v>320</v>
      </c>
      <c r="P3273" t="s">
        <v>25</v>
      </c>
      <c r="Q3273" t="s">
        <v>26</v>
      </c>
      <c r="R3273" t="str">
        <f>IF(COUNTIF(Sheet2!B:B, A3273) &gt; 0, "Yes", "No")</f>
        <v>Yes</v>
      </c>
    </row>
    <row r="3274" spans="1:18" x14ac:dyDescent="0.25">
      <c r="A3274" s="3">
        <v>45632</v>
      </c>
      <c r="B3274" t="s">
        <v>405</v>
      </c>
      <c r="C3274" t="s">
        <v>79</v>
      </c>
      <c r="D3274" t="s">
        <v>20</v>
      </c>
      <c r="E3274" t="s">
        <v>21</v>
      </c>
      <c r="F3274" t="s">
        <v>27</v>
      </c>
      <c r="G3274" t="s">
        <v>81</v>
      </c>
      <c r="H3274" t="s">
        <v>310</v>
      </c>
      <c r="I3274" s="5">
        <v>0.1</v>
      </c>
      <c r="J3274">
        <f t="shared" si="153"/>
        <v>32</v>
      </c>
      <c r="K3274">
        <v>2</v>
      </c>
      <c r="L3274">
        <f t="shared" si="154"/>
        <v>30</v>
      </c>
      <c r="M3274" s="4">
        <f t="shared" si="155"/>
        <v>8.5714285714285715E-2</v>
      </c>
      <c r="N3274">
        <v>350</v>
      </c>
      <c r="O3274">
        <v>320</v>
      </c>
      <c r="P3274" t="s">
        <v>25</v>
      </c>
      <c r="Q3274" t="s">
        <v>26</v>
      </c>
      <c r="R3274" t="str">
        <f>IF(COUNTIF(Sheet2!B:B, A3274) &gt; 0, "Yes", "No")</f>
        <v>Yes</v>
      </c>
    </row>
    <row r="3275" spans="1:18" x14ac:dyDescent="0.25">
      <c r="A3275" s="3">
        <v>45632</v>
      </c>
      <c r="B3275" t="s">
        <v>405</v>
      </c>
      <c r="C3275" t="s">
        <v>79</v>
      </c>
      <c r="D3275" t="s">
        <v>20</v>
      </c>
      <c r="E3275" t="s">
        <v>21</v>
      </c>
      <c r="F3275" t="s">
        <v>30</v>
      </c>
      <c r="G3275" t="s">
        <v>55</v>
      </c>
      <c r="H3275" t="s">
        <v>56</v>
      </c>
      <c r="I3275" s="5">
        <v>0.06</v>
      </c>
      <c r="J3275">
        <f t="shared" si="153"/>
        <v>19.2</v>
      </c>
      <c r="K3275">
        <v>2</v>
      </c>
      <c r="L3275">
        <f t="shared" si="154"/>
        <v>17.2</v>
      </c>
      <c r="M3275" s="4">
        <f t="shared" si="155"/>
        <v>4.9142857142857141E-2</v>
      </c>
      <c r="N3275">
        <v>350</v>
      </c>
      <c r="O3275">
        <v>320</v>
      </c>
      <c r="P3275" t="s">
        <v>25</v>
      </c>
      <c r="Q3275" t="s">
        <v>26</v>
      </c>
      <c r="R3275" t="str">
        <f>IF(COUNTIF(Sheet2!B:B, A3275) &gt; 0, "Yes", "No")</f>
        <v>Yes</v>
      </c>
    </row>
    <row r="3276" spans="1:18" x14ac:dyDescent="0.25">
      <c r="A3276" s="3">
        <v>45632</v>
      </c>
      <c r="B3276" t="s">
        <v>405</v>
      </c>
      <c r="C3276" t="s">
        <v>79</v>
      </c>
      <c r="D3276" t="s">
        <v>33</v>
      </c>
      <c r="E3276" t="s">
        <v>21</v>
      </c>
      <c r="F3276" t="s">
        <v>84</v>
      </c>
      <c r="G3276" t="s">
        <v>177</v>
      </c>
      <c r="H3276" t="s">
        <v>220</v>
      </c>
      <c r="I3276" s="5">
        <v>0.3</v>
      </c>
      <c r="J3276">
        <f t="shared" si="153"/>
        <v>66</v>
      </c>
      <c r="K3276">
        <v>0</v>
      </c>
      <c r="L3276">
        <f t="shared" si="154"/>
        <v>66</v>
      </c>
      <c r="M3276" s="4">
        <f t="shared" si="155"/>
        <v>0.26938775510204083</v>
      </c>
      <c r="N3276">
        <v>245</v>
      </c>
      <c r="O3276">
        <v>220</v>
      </c>
      <c r="P3276" t="s">
        <v>25</v>
      </c>
      <c r="Q3276" t="s">
        <v>26</v>
      </c>
      <c r="R3276" t="str">
        <f>IF(COUNTIF(Sheet2!B:B, A3276) &gt; 0, "Yes", "No")</f>
        <v>Yes</v>
      </c>
    </row>
    <row r="3277" spans="1:18" x14ac:dyDescent="0.25">
      <c r="A3277" s="3">
        <v>45632</v>
      </c>
      <c r="B3277" t="s">
        <v>405</v>
      </c>
      <c r="C3277" t="s">
        <v>79</v>
      </c>
      <c r="D3277" t="s">
        <v>20</v>
      </c>
      <c r="E3277" t="s">
        <v>21</v>
      </c>
      <c r="F3277" t="s">
        <v>37</v>
      </c>
      <c r="G3277" t="s">
        <v>117</v>
      </c>
      <c r="H3277" t="s">
        <v>421</v>
      </c>
      <c r="I3277" s="5">
        <v>2.5000000000000001E-2</v>
      </c>
      <c r="J3277">
        <f t="shared" si="153"/>
        <v>8</v>
      </c>
      <c r="K3277">
        <v>1</v>
      </c>
      <c r="L3277">
        <f t="shared" si="154"/>
        <v>7</v>
      </c>
      <c r="M3277" s="4">
        <f t="shared" si="155"/>
        <v>0.02</v>
      </c>
      <c r="N3277">
        <v>350</v>
      </c>
      <c r="O3277">
        <v>320</v>
      </c>
      <c r="P3277" t="s">
        <v>25</v>
      </c>
      <c r="Q3277" t="s">
        <v>26</v>
      </c>
      <c r="R3277" t="str">
        <f>IF(COUNTIF(Sheet2!B:B, A3277) &gt; 0, "Yes", "No")</f>
        <v>Yes</v>
      </c>
    </row>
    <row r="3278" spans="1:18" x14ac:dyDescent="0.25">
      <c r="A3278" s="3">
        <v>45632</v>
      </c>
      <c r="B3278" t="s">
        <v>405</v>
      </c>
      <c r="C3278" t="s">
        <v>79</v>
      </c>
      <c r="D3278" t="s">
        <v>20</v>
      </c>
      <c r="E3278" t="s">
        <v>21</v>
      </c>
      <c r="F3278" t="s">
        <v>40</v>
      </c>
      <c r="G3278" t="s">
        <v>61</v>
      </c>
      <c r="H3278" t="s">
        <v>62</v>
      </c>
      <c r="I3278" s="5">
        <v>0.04</v>
      </c>
      <c r="J3278">
        <f t="shared" si="153"/>
        <v>12.8</v>
      </c>
      <c r="K3278">
        <v>1</v>
      </c>
      <c r="L3278">
        <f t="shared" si="154"/>
        <v>11.8</v>
      </c>
      <c r="M3278" s="4">
        <f t="shared" si="155"/>
        <v>3.3714285714285717E-2</v>
      </c>
      <c r="N3278">
        <v>350</v>
      </c>
      <c r="O3278">
        <v>320</v>
      </c>
      <c r="P3278" t="s">
        <v>25</v>
      </c>
      <c r="Q3278" t="s">
        <v>26</v>
      </c>
      <c r="R3278" t="str">
        <f>IF(COUNTIF(Sheet2!B:B, A3278) &gt; 0, "Yes", "No")</f>
        <v>Yes</v>
      </c>
    </row>
    <row r="3279" spans="1:18" x14ac:dyDescent="0.25">
      <c r="A3279" s="3">
        <v>45632</v>
      </c>
      <c r="B3279" t="s">
        <v>405</v>
      </c>
      <c r="C3279" t="s">
        <v>79</v>
      </c>
      <c r="D3279" t="s">
        <v>20</v>
      </c>
      <c r="E3279" t="s">
        <v>21</v>
      </c>
      <c r="F3279" t="s">
        <v>43</v>
      </c>
      <c r="G3279" t="s">
        <v>90</v>
      </c>
      <c r="H3279" t="s">
        <v>762</v>
      </c>
      <c r="I3279" s="5">
        <v>7.0000000000000007E-2</v>
      </c>
      <c r="J3279">
        <f t="shared" si="153"/>
        <v>22.400000000000002</v>
      </c>
      <c r="K3279">
        <v>2</v>
      </c>
      <c r="L3279">
        <f t="shared" si="154"/>
        <v>20.400000000000002</v>
      </c>
      <c r="M3279" s="4">
        <f t="shared" si="155"/>
        <v>5.8285714285714295E-2</v>
      </c>
      <c r="N3279">
        <v>350</v>
      </c>
      <c r="O3279">
        <v>320</v>
      </c>
      <c r="P3279" t="s">
        <v>25</v>
      </c>
      <c r="Q3279" t="s">
        <v>26</v>
      </c>
      <c r="R3279" t="str">
        <f>IF(COUNTIF(Sheet2!B:B, A3279) &gt; 0, "Yes", "No")</f>
        <v>Yes</v>
      </c>
    </row>
    <row r="3280" spans="1:18" x14ac:dyDescent="0.25">
      <c r="A3280" s="3">
        <v>45632</v>
      </c>
      <c r="B3280" t="s">
        <v>405</v>
      </c>
      <c r="C3280" t="s">
        <v>79</v>
      </c>
      <c r="D3280" t="s">
        <v>20</v>
      </c>
      <c r="E3280" t="s">
        <v>21</v>
      </c>
      <c r="F3280" t="s">
        <v>46</v>
      </c>
      <c r="G3280" t="s">
        <v>77</v>
      </c>
      <c r="H3280" t="s">
        <v>203</v>
      </c>
      <c r="I3280" s="5">
        <v>5.5E-2</v>
      </c>
      <c r="J3280">
        <f t="shared" si="153"/>
        <v>17.600000000000001</v>
      </c>
      <c r="K3280">
        <v>0</v>
      </c>
      <c r="L3280">
        <f t="shared" si="154"/>
        <v>17.600000000000001</v>
      </c>
      <c r="M3280" s="4">
        <f t="shared" si="155"/>
        <v>5.0285714285714288E-2</v>
      </c>
      <c r="N3280">
        <v>350</v>
      </c>
      <c r="O3280">
        <v>320</v>
      </c>
      <c r="P3280" t="s">
        <v>25</v>
      </c>
      <c r="Q3280" t="s">
        <v>26</v>
      </c>
      <c r="R3280" t="str">
        <f>IF(COUNTIF(Sheet2!B:B, A3280) &gt; 0, "Yes", "No")</f>
        <v>Yes</v>
      </c>
    </row>
    <row r="3281" spans="1:18" x14ac:dyDescent="0.25">
      <c r="A3281" s="3">
        <v>45632</v>
      </c>
      <c r="B3281" t="s">
        <v>405</v>
      </c>
      <c r="C3281" t="s">
        <v>79</v>
      </c>
      <c r="D3281" t="s">
        <v>20</v>
      </c>
      <c r="E3281" t="s">
        <v>21</v>
      </c>
      <c r="F3281" t="s">
        <v>49</v>
      </c>
      <c r="G3281" t="s">
        <v>50</v>
      </c>
      <c r="H3281" t="s">
        <v>49</v>
      </c>
      <c r="I3281" s="5">
        <v>0.04</v>
      </c>
      <c r="J3281">
        <f t="shared" si="153"/>
        <v>12.8</v>
      </c>
      <c r="K3281">
        <v>1</v>
      </c>
      <c r="L3281">
        <f t="shared" si="154"/>
        <v>11.8</v>
      </c>
      <c r="M3281" s="4">
        <f t="shared" si="155"/>
        <v>3.3714285714285717E-2</v>
      </c>
      <c r="N3281">
        <v>350</v>
      </c>
      <c r="O3281">
        <v>320</v>
      </c>
      <c r="P3281" t="s">
        <v>25</v>
      </c>
      <c r="Q3281" t="s">
        <v>26</v>
      </c>
      <c r="R3281" t="str">
        <f>IF(COUNTIF(Sheet2!B:B, A3281) &gt; 0, "Yes", "No")</f>
        <v>Yes</v>
      </c>
    </row>
    <row r="3282" spans="1:18" x14ac:dyDescent="0.25">
      <c r="A3282" s="3">
        <v>45635</v>
      </c>
      <c r="B3282" t="s">
        <v>405</v>
      </c>
      <c r="C3282" t="s">
        <v>19</v>
      </c>
      <c r="D3282" t="s">
        <v>20</v>
      </c>
      <c r="E3282" t="s">
        <v>21</v>
      </c>
      <c r="F3282" t="s">
        <v>22</v>
      </c>
      <c r="G3282" t="s">
        <v>94</v>
      </c>
      <c r="H3282" t="s">
        <v>763</v>
      </c>
      <c r="I3282">
        <v>8.5000000000000006E-2</v>
      </c>
      <c r="J3282">
        <f t="shared" si="153"/>
        <v>10.200000000000001</v>
      </c>
      <c r="K3282">
        <v>2</v>
      </c>
      <c r="L3282">
        <f t="shared" si="154"/>
        <v>8.2000000000000011</v>
      </c>
      <c r="M3282" s="4">
        <f t="shared" si="155"/>
        <v>6.8333333333333343E-2</v>
      </c>
      <c r="N3282">
        <v>120</v>
      </c>
      <c r="O3282">
        <v>120</v>
      </c>
      <c r="P3282" t="s">
        <v>25</v>
      </c>
      <c r="Q3282" t="s">
        <v>26</v>
      </c>
      <c r="R3282" t="str">
        <f>IF(COUNTIF(Sheet2!B:B, A3282) &gt; 0, "Yes", "No")</f>
        <v>No</v>
      </c>
    </row>
    <row r="3283" spans="1:18" x14ac:dyDescent="0.25">
      <c r="A3283" s="3">
        <v>45635</v>
      </c>
      <c r="B3283" t="s">
        <v>405</v>
      </c>
      <c r="C3283" t="s">
        <v>19</v>
      </c>
      <c r="D3283" t="s">
        <v>20</v>
      </c>
      <c r="E3283" t="s">
        <v>21</v>
      </c>
      <c r="F3283" t="s">
        <v>27</v>
      </c>
      <c r="G3283" t="s">
        <v>144</v>
      </c>
      <c r="H3283" t="s">
        <v>764</v>
      </c>
      <c r="I3283">
        <v>0.11</v>
      </c>
      <c r="J3283">
        <f t="shared" si="153"/>
        <v>13.2</v>
      </c>
      <c r="K3283">
        <v>0</v>
      </c>
      <c r="L3283">
        <f t="shared" si="154"/>
        <v>13.2</v>
      </c>
      <c r="M3283" s="4">
        <f t="shared" si="155"/>
        <v>0.11</v>
      </c>
      <c r="N3283">
        <v>120</v>
      </c>
      <c r="O3283">
        <v>120</v>
      </c>
      <c r="P3283" t="s">
        <v>25</v>
      </c>
      <c r="Q3283" t="s">
        <v>26</v>
      </c>
      <c r="R3283" t="str">
        <f>IF(COUNTIF(Sheet2!B:B, A3283) &gt; 0, "Yes", "No")</f>
        <v>No</v>
      </c>
    </row>
    <row r="3284" spans="1:18" x14ac:dyDescent="0.25">
      <c r="A3284" s="3">
        <v>45635</v>
      </c>
      <c r="B3284" t="s">
        <v>405</v>
      </c>
      <c r="C3284" t="s">
        <v>19</v>
      </c>
      <c r="D3284" t="s">
        <v>20</v>
      </c>
      <c r="E3284" t="s">
        <v>21</v>
      </c>
      <c r="F3284" t="s">
        <v>30</v>
      </c>
      <c r="G3284" t="s">
        <v>31</v>
      </c>
      <c r="H3284" t="s">
        <v>31</v>
      </c>
      <c r="I3284">
        <v>0.09</v>
      </c>
      <c r="J3284">
        <f t="shared" si="153"/>
        <v>10.799999999999999</v>
      </c>
      <c r="K3284">
        <v>0</v>
      </c>
      <c r="L3284">
        <f t="shared" si="154"/>
        <v>10.799999999999999</v>
      </c>
      <c r="M3284" s="4">
        <f t="shared" si="155"/>
        <v>0.09</v>
      </c>
      <c r="N3284">
        <v>120</v>
      </c>
      <c r="O3284">
        <v>120</v>
      </c>
      <c r="P3284" t="s">
        <v>25</v>
      </c>
      <c r="Q3284" t="s">
        <v>26</v>
      </c>
      <c r="R3284" t="str">
        <f>IF(COUNTIF(Sheet2!B:B, A3284) &gt; 0, "Yes", "No")</f>
        <v>No</v>
      </c>
    </row>
    <row r="3285" spans="1:18" x14ac:dyDescent="0.25">
      <c r="A3285" s="3">
        <v>45635</v>
      </c>
      <c r="B3285" t="s">
        <v>405</v>
      </c>
      <c r="C3285" t="s">
        <v>19</v>
      </c>
      <c r="D3285" t="s">
        <v>33</v>
      </c>
      <c r="E3285" t="s">
        <v>21</v>
      </c>
      <c r="F3285" t="s">
        <v>34</v>
      </c>
      <c r="G3285" t="s">
        <v>57</v>
      </c>
      <c r="H3285" t="s">
        <v>765</v>
      </c>
      <c r="I3285">
        <v>0.15</v>
      </c>
      <c r="J3285">
        <f t="shared" si="153"/>
        <v>10.5</v>
      </c>
      <c r="K3285">
        <v>0</v>
      </c>
      <c r="L3285">
        <f t="shared" si="154"/>
        <v>10.5</v>
      </c>
      <c r="M3285" s="4">
        <f t="shared" si="155"/>
        <v>0.15</v>
      </c>
      <c r="N3285">
        <v>70</v>
      </c>
      <c r="O3285">
        <v>70</v>
      </c>
      <c r="P3285" t="s">
        <v>25</v>
      </c>
      <c r="Q3285" t="s">
        <v>26</v>
      </c>
      <c r="R3285" t="str">
        <f>IF(COUNTIF(Sheet2!B:B, A3285) &gt; 0, "Yes", "No")</f>
        <v>No</v>
      </c>
    </row>
    <row r="3286" spans="1:18" x14ac:dyDescent="0.25">
      <c r="A3286" s="3">
        <v>45635</v>
      </c>
      <c r="B3286" t="s">
        <v>405</v>
      </c>
      <c r="C3286" t="s">
        <v>19</v>
      </c>
      <c r="D3286" t="s">
        <v>20</v>
      </c>
      <c r="E3286" t="s">
        <v>21</v>
      </c>
      <c r="F3286" t="s">
        <v>37</v>
      </c>
      <c r="G3286" t="s">
        <v>117</v>
      </c>
      <c r="H3286" t="s">
        <v>118</v>
      </c>
      <c r="I3286">
        <v>0.03</v>
      </c>
      <c r="J3286">
        <f t="shared" si="153"/>
        <v>3.5999999999999996</v>
      </c>
      <c r="K3286">
        <v>1</v>
      </c>
      <c r="L3286">
        <f t="shared" si="154"/>
        <v>2.5999999999999996</v>
      </c>
      <c r="M3286" s="4">
        <f t="shared" si="155"/>
        <v>2.1666666666666664E-2</v>
      </c>
      <c r="N3286">
        <v>120</v>
      </c>
      <c r="O3286">
        <v>120</v>
      </c>
      <c r="P3286" t="s">
        <v>25</v>
      </c>
      <c r="Q3286" t="s">
        <v>26</v>
      </c>
      <c r="R3286" t="str">
        <f>IF(COUNTIF(Sheet2!B:B, A3286) &gt; 0, "Yes", "No")</f>
        <v>No</v>
      </c>
    </row>
    <row r="3287" spans="1:18" x14ac:dyDescent="0.25">
      <c r="A3287" s="3">
        <v>45635</v>
      </c>
      <c r="B3287" t="s">
        <v>405</v>
      </c>
      <c r="C3287" t="s">
        <v>19</v>
      </c>
      <c r="D3287" t="s">
        <v>20</v>
      </c>
      <c r="E3287" t="s">
        <v>21</v>
      </c>
      <c r="F3287" t="s">
        <v>40</v>
      </c>
      <c r="G3287" t="s">
        <v>157</v>
      </c>
      <c r="H3287" t="s">
        <v>214</v>
      </c>
      <c r="I3287">
        <v>4.4999999999999998E-2</v>
      </c>
      <c r="J3287">
        <f t="shared" si="153"/>
        <v>5.3999999999999995</v>
      </c>
      <c r="K3287">
        <v>1</v>
      </c>
      <c r="L3287">
        <f t="shared" si="154"/>
        <v>4.3999999999999995</v>
      </c>
      <c r="M3287" s="4">
        <f t="shared" si="155"/>
        <v>3.666666666666666E-2</v>
      </c>
      <c r="N3287">
        <v>120</v>
      </c>
      <c r="O3287">
        <v>120</v>
      </c>
      <c r="P3287" t="s">
        <v>25</v>
      </c>
      <c r="Q3287" t="s">
        <v>26</v>
      </c>
      <c r="R3287" t="str">
        <f>IF(COUNTIF(Sheet2!B:B, A3287) &gt; 0, "Yes", "No")</f>
        <v>No</v>
      </c>
    </row>
    <row r="3288" spans="1:18" x14ac:dyDescent="0.25">
      <c r="A3288" s="3">
        <v>45635</v>
      </c>
      <c r="B3288" t="s">
        <v>405</v>
      </c>
      <c r="C3288" t="s">
        <v>19</v>
      </c>
      <c r="D3288" t="s">
        <v>20</v>
      </c>
      <c r="E3288" t="s">
        <v>21</v>
      </c>
      <c r="F3288" t="s">
        <v>43</v>
      </c>
      <c r="G3288" t="s">
        <v>111</v>
      </c>
      <c r="H3288" t="s">
        <v>112</v>
      </c>
      <c r="I3288">
        <v>0.11</v>
      </c>
      <c r="J3288">
        <f t="shared" si="153"/>
        <v>13.2</v>
      </c>
      <c r="K3288">
        <v>1</v>
      </c>
      <c r="L3288">
        <f t="shared" si="154"/>
        <v>12.2</v>
      </c>
      <c r="M3288" s="4">
        <f t="shared" si="155"/>
        <v>0.10166666666666666</v>
      </c>
      <c r="N3288">
        <v>120</v>
      </c>
      <c r="O3288">
        <v>120</v>
      </c>
      <c r="P3288" t="s">
        <v>25</v>
      </c>
      <c r="Q3288" t="s">
        <v>26</v>
      </c>
      <c r="R3288" t="str">
        <f>IF(COUNTIF(Sheet2!B:B, A3288) &gt; 0, "Yes", "No")</f>
        <v>No</v>
      </c>
    </row>
    <row r="3289" spans="1:18" x14ac:dyDescent="0.25">
      <c r="A3289" s="3">
        <v>45635</v>
      </c>
      <c r="B3289" t="s">
        <v>405</v>
      </c>
      <c r="C3289" t="s">
        <v>19</v>
      </c>
      <c r="D3289" t="s">
        <v>20</v>
      </c>
      <c r="E3289" t="s">
        <v>21</v>
      </c>
      <c r="F3289" t="s">
        <v>46</v>
      </c>
      <c r="G3289" t="s">
        <v>92</v>
      </c>
      <c r="H3289" t="s">
        <v>766</v>
      </c>
      <c r="I3289">
        <v>8.5000000000000006E-2</v>
      </c>
      <c r="J3289">
        <f t="shared" si="153"/>
        <v>10.200000000000001</v>
      </c>
      <c r="K3289">
        <v>1</v>
      </c>
      <c r="L3289">
        <f t="shared" si="154"/>
        <v>9.2000000000000011</v>
      </c>
      <c r="M3289" s="4">
        <f t="shared" si="155"/>
        <v>7.6666666666666675E-2</v>
      </c>
      <c r="N3289">
        <v>120</v>
      </c>
      <c r="O3289">
        <v>120</v>
      </c>
      <c r="P3289" t="s">
        <v>25</v>
      </c>
      <c r="Q3289" t="s">
        <v>26</v>
      </c>
      <c r="R3289" t="str">
        <f>IF(COUNTIF(Sheet2!B:B, A3289) &gt; 0, "Yes", "No")</f>
        <v>No</v>
      </c>
    </row>
    <row r="3290" spans="1:18" x14ac:dyDescent="0.25">
      <c r="A3290" s="3">
        <v>45635</v>
      </c>
      <c r="B3290" t="s">
        <v>405</v>
      </c>
      <c r="C3290" t="s">
        <v>19</v>
      </c>
      <c r="D3290" t="s">
        <v>20</v>
      </c>
      <c r="E3290" t="s">
        <v>21</v>
      </c>
      <c r="F3290" t="s">
        <v>49</v>
      </c>
      <c r="G3290" t="s">
        <v>50</v>
      </c>
      <c r="H3290" t="s">
        <v>49</v>
      </c>
      <c r="I3290">
        <v>0.09</v>
      </c>
      <c r="J3290">
        <f t="shared" si="153"/>
        <v>10.799999999999999</v>
      </c>
      <c r="K3290">
        <v>1</v>
      </c>
      <c r="L3290">
        <f t="shared" si="154"/>
        <v>9.7999999999999989</v>
      </c>
      <c r="M3290" s="4">
        <f t="shared" si="155"/>
        <v>8.1666666666666651E-2</v>
      </c>
      <c r="N3290">
        <v>120</v>
      </c>
      <c r="O3290">
        <v>120</v>
      </c>
      <c r="P3290" t="s">
        <v>25</v>
      </c>
      <c r="Q3290" t="s">
        <v>26</v>
      </c>
      <c r="R3290" t="str">
        <f>IF(COUNTIF(Sheet2!B:B, A3290) &gt; 0, "Yes", "No")</f>
        <v>No</v>
      </c>
    </row>
    <row r="3291" spans="1:18" x14ac:dyDescent="0.25">
      <c r="A3291" s="3">
        <v>45636</v>
      </c>
      <c r="B3291" t="s">
        <v>405</v>
      </c>
      <c r="C3291" t="s">
        <v>105</v>
      </c>
      <c r="D3291" t="s">
        <v>20</v>
      </c>
      <c r="E3291" t="s">
        <v>67</v>
      </c>
      <c r="F3291" t="s">
        <v>22</v>
      </c>
      <c r="G3291" t="s">
        <v>94</v>
      </c>
      <c r="H3291" t="s">
        <v>143</v>
      </c>
      <c r="I3291">
        <v>8.5000000000000006E-2</v>
      </c>
      <c r="J3291">
        <f t="shared" si="153"/>
        <v>10.200000000000001</v>
      </c>
      <c r="K3291">
        <v>1</v>
      </c>
      <c r="L3291">
        <f t="shared" si="154"/>
        <v>9.2000000000000011</v>
      </c>
      <c r="M3291" s="4">
        <f t="shared" si="155"/>
        <v>7.6666666666666675E-2</v>
      </c>
      <c r="N3291">
        <v>120</v>
      </c>
      <c r="O3291">
        <v>120</v>
      </c>
      <c r="P3291" t="s">
        <v>25</v>
      </c>
      <c r="Q3291" t="s">
        <v>26</v>
      </c>
      <c r="R3291" t="str">
        <f>IF(COUNTIF(Sheet2!B:B, A3291) &gt; 0, "Yes", "No")</f>
        <v>No</v>
      </c>
    </row>
    <row r="3292" spans="1:18" x14ac:dyDescent="0.25">
      <c r="A3292" s="3">
        <v>45636</v>
      </c>
      <c r="B3292" t="s">
        <v>405</v>
      </c>
      <c r="C3292" t="s">
        <v>105</v>
      </c>
      <c r="D3292" t="s">
        <v>20</v>
      </c>
      <c r="E3292" t="s">
        <v>67</v>
      </c>
      <c r="F3292" t="s">
        <v>27</v>
      </c>
      <c r="G3292" t="s">
        <v>304</v>
      </c>
      <c r="H3292" t="s">
        <v>419</v>
      </c>
      <c r="I3292">
        <v>0.12</v>
      </c>
      <c r="J3292">
        <f t="shared" si="153"/>
        <v>14.399999999999999</v>
      </c>
      <c r="K3292">
        <v>0</v>
      </c>
      <c r="L3292">
        <f t="shared" si="154"/>
        <v>14.399999999999999</v>
      </c>
      <c r="M3292" s="4">
        <f t="shared" si="155"/>
        <v>0.11999999999999998</v>
      </c>
      <c r="N3292">
        <v>120</v>
      </c>
      <c r="O3292">
        <v>120</v>
      </c>
      <c r="P3292" t="s">
        <v>25</v>
      </c>
      <c r="Q3292" t="s">
        <v>26</v>
      </c>
      <c r="R3292" t="str">
        <f>IF(COUNTIF(Sheet2!B:B, A3292) &gt; 0, "Yes", "No")</f>
        <v>No</v>
      </c>
    </row>
    <row r="3293" spans="1:18" x14ac:dyDescent="0.25">
      <c r="A3293" s="3">
        <v>45636</v>
      </c>
      <c r="B3293" t="s">
        <v>405</v>
      </c>
      <c r="C3293" t="s">
        <v>105</v>
      </c>
      <c r="D3293" t="s">
        <v>20</v>
      </c>
      <c r="E3293" t="s">
        <v>67</v>
      </c>
      <c r="F3293" t="s">
        <v>30</v>
      </c>
      <c r="G3293" t="s">
        <v>55</v>
      </c>
      <c r="H3293" t="s">
        <v>183</v>
      </c>
      <c r="I3293">
        <v>0.09</v>
      </c>
      <c r="J3293">
        <f t="shared" si="153"/>
        <v>10.799999999999999</v>
      </c>
      <c r="K3293">
        <v>0</v>
      </c>
      <c r="L3293">
        <f t="shared" si="154"/>
        <v>10.799999999999999</v>
      </c>
      <c r="M3293" s="4">
        <f t="shared" si="155"/>
        <v>0.09</v>
      </c>
      <c r="N3293">
        <v>120</v>
      </c>
      <c r="O3293">
        <v>120</v>
      </c>
      <c r="P3293" t="s">
        <v>25</v>
      </c>
      <c r="Q3293" t="s">
        <v>26</v>
      </c>
      <c r="R3293" t="str">
        <f>IF(COUNTIF(Sheet2!B:B, A3293) &gt; 0, "Yes", "No")</f>
        <v>No</v>
      </c>
    </row>
    <row r="3294" spans="1:18" x14ac:dyDescent="0.25">
      <c r="A3294" s="3">
        <v>45636</v>
      </c>
      <c r="B3294" t="s">
        <v>405</v>
      </c>
      <c r="C3294" t="s">
        <v>105</v>
      </c>
      <c r="D3294" t="s">
        <v>20</v>
      </c>
      <c r="E3294" t="s">
        <v>67</v>
      </c>
      <c r="F3294" t="s">
        <v>37</v>
      </c>
      <c r="G3294" t="s">
        <v>117</v>
      </c>
      <c r="H3294" t="s">
        <v>476</v>
      </c>
      <c r="I3294">
        <v>3.5000000000000003E-2</v>
      </c>
      <c r="J3294">
        <f t="shared" si="153"/>
        <v>4.2</v>
      </c>
      <c r="K3294">
        <v>1</v>
      </c>
      <c r="L3294">
        <f t="shared" si="154"/>
        <v>3.2</v>
      </c>
      <c r="M3294" s="4">
        <f t="shared" si="155"/>
        <v>2.6666666666666668E-2</v>
      </c>
      <c r="N3294">
        <v>120</v>
      </c>
      <c r="O3294">
        <v>120</v>
      </c>
      <c r="P3294" t="s">
        <v>25</v>
      </c>
      <c r="Q3294" t="s">
        <v>26</v>
      </c>
      <c r="R3294" t="str">
        <f>IF(COUNTIF(Sheet2!B:B, A3294) &gt; 0, "Yes", "No")</f>
        <v>No</v>
      </c>
    </row>
    <row r="3295" spans="1:18" x14ac:dyDescent="0.25">
      <c r="A3295" s="3">
        <v>45636</v>
      </c>
      <c r="B3295" t="s">
        <v>405</v>
      </c>
      <c r="C3295" t="s">
        <v>105</v>
      </c>
      <c r="D3295" t="s">
        <v>20</v>
      </c>
      <c r="E3295" t="s">
        <v>67</v>
      </c>
      <c r="F3295" t="s">
        <v>40</v>
      </c>
      <c r="G3295" t="s">
        <v>137</v>
      </c>
      <c r="H3295" t="s">
        <v>138</v>
      </c>
      <c r="I3295">
        <v>0.05</v>
      </c>
      <c r="J3295">
        <f t="shared" si="153"/>
        <v>6</v>
      </c>
      <c r="K3295">
        <v>1</v>
      </c>
      <c r="L3295">
        <f t="shared" si="154"/>
        <v>5</v>
      </c>
      <c r="M3295" s="4">
        <f t="shared" si="155"/>
        <v>4.1666666666666664E-2</v>
      </c>
      <c r="N3295">
        <v>120</v>
      </c>
      <c r="O3295">
        <v>120</v>
      </c>
      <c r="P3295" t="s">
        <v>25</v>
      </c>
      <c r="Q3295" t="s">
        <v>26</v>
      </c>
      <c r="R3295" t="str">
        <f>IF(COUNTIF(Sheet2!B:B, A3295) &gt; 0, "Yes", "No")</f>
        <v>No</v>
      </c>
    </row>
    <row r="3296" spans="1:18" x14ac:dyDescent="0.25">
      <c r="A3296" s="3">
        <v>45636</v>
      </c>
      <c r="B3296" t="s">
        <v>405</v>
      </c>
      <c r="C3296" t="s">
        <v>105</v>
      </c>
      <c r="D3296" t="s">
        <v>20</v>
      </c>
      <c r="E3296" t="s">
        <v>67</v>
      </c>
      <c r="F3296" t="s">
        <v>43</v>
      </c>
      <c r="G3296" t="s">
        <v>90</v>
      </c>
      <c r="H3296" t="s">
        <v>208</v>
      </c>
      <c r="I3296">
        <v>0.11</v>
      </c>
      <c r="J3296">
        <f t="shared" si="153"/>
        <v>13.2</v>
      </c>
      <c r="K3296">
        <v>1.5</v>
      </c>
      <c r="L3296">
        <f t="shared" si="154"/>
        <v>11.7</v>
      </c>
      <c r="M3296" s="4">
        <f t="shared" si="155"/>
        <v>9.7499999999999989E-2</v>
      </c>
      <c r="N3296">
        <v>120</v>
      </c>
      <c r="O3296">
        <v>120</v>
      </c>
      <c r="P3296" t="s">
        <v>25</v>
      </c>
      <c r="Q3296" t="s">
        <v>26</v>
      </c>
      <c r="R3296" t="str">
        <f>IF(COUNTIF(Sheet2!B:B, A3296) &gt; 0, "Yes", "No")</f>
        <v>No</v>
      </c>
    </row>
    <row r="3297" spans="1:18" x14ac:dyDescent="0.25">
      <c r="A3297" s="3">
        <v>45636</v>
      </c>
      <c r="B3297" t="s">
        <v>405</v>
      </c>
      <c r="C3297" t="s">
        <v>105</v>
      </c>
      <c r="D3297" t="s">
        <v>20</v>
      </c>
      <c r="E3297" t="s">
        <v>67</v>
      </c>
      <c r="F3297" t="s">
        <v>46</v>
      </c>
      <c r="G3297" t="s">
        <v>103</v>
      </c>
      <c r="H3297" t="s">
        <v>610</v>
      </c>
      <c r="I3297">
        <v>0.09</v>
      </c>
      <c r="J3297">
        <f t="shared" si="153"/>
        <v>10.799999999999999</v>
      </c>
      <c r="K3297">
        <v>0</v>
      </c>
      <c r="L3297">
        <f t="shared" si="154"/>
        <v>10.799999999999999</v>
      </c>
      <c r="M3297" s="4">
        <f t="shared" si="155"/>
        <v>0.09</v>
      </c>
      <c r="N3297">
        <v>120</v>
      </c>
      <c r="O3297">
        <v>120</v>
      </c>
      <c r="P3297" t="s">
        <v>25</v>
      </c>
      <c r="Q3297" t="s">
        <v>26</v>
      </c>
      <c r="R3297" t="str">
        <f>IF(COUNTIF(Sheet2!B:B, A3297) &gt; 0, "Yes", "No")</f>
        <v>No</v>
      </c>
    </row>
    <row r="3298" spans="1:18" x14ac:dyDescent="0.25">
      <c r="A3298" s="3">
        <v>45636</v>
      </c>
      <c r="B3298" t="s">
        <v>405</v>
      </c>
      <c r="C3298" t="s">
        <v>105</v>
      </c>
      <c r="D3298" t="s">
        <v>20</v>
      </c>
      <c r="E3298" t="s">
        <v>67</v>
      </c>
      <c r="F3298" t="s">
        <v>49</v>
      </c>
      <c r="G3298" t="s">
        <v>50</v>
      </c>
      <c r="H3298" t="s">
        <v>49</v>
      </c>
      <c r="I3298">
        <v>0.09</v>
      </c>
      <c r="J3298">
        <f t="shared" si="153"/>
        <v>10.799999999999999</v>
      </c>
      <c r="K3298">
        <v>0</v>
      </c>
      <c r="L3298">
        <f t="shared" si="154"/>
        <v>10.799999999999999</v>
      </c>
      <c r="M3298" s="4">
        <f t="shared" si="155"/>
        <v>0.09</v>
      </c>
      <c r="N3298">
        <v>120</v>
      </c>
      <c r="O3298">
        <v>120</v>
      </c>
      <c r="P3298" t="s">
        <v>25</v>
      </c>
      <c r="Q3298" t="s">
        <v>26</v>
      </c>
      <c r="R3298" t="str">
        <f>IF(COUNTIF(Sheet2!B:B, A3298) &gt; 0, "Yes", "No")</f>
        <v>No</v>
      </c>
    </row>
    <row r="3299" spans="1:18" x14ac:dyDescent="0.25">
      <c r="A3299" s="3">
        <v>45637</v>
      </c>
      <c r="B3299" t="s">
        <v>405</v>
      </c>
      <c r="C3299" t="s">
        <v>51</v>
      </c>
      <c r="D3299" t="s">
        <v>20</v>
      </c>
      <c r="E3299" t="s">
        <v>21</v>
      </c>
      <c r="F3299" t="s">
        <v>22</v>
      </c>
      <c r="G3299" t="s">
        <v>52</v>
      </c>
      <c r="H3299" t="s">
        <v>53</v>
      </c>
      <c r="I3299">
        <v>8.5000000000000006E-2</v>
      </c>
      <c r="J3299">
        <f t="shared" si="153"/>
        <v>8.5</v>
      </c>
      <c r="K3299">
        <v>1</v>
      </c>
      <c r="L3299">
        <f t="shared" si="154"/>
        <v>7.5</v>
      </c>
      <c r="M3299" s="4">
        <f t="shared" si="155"/>
        <v>6.25E-2</v>
      </c>
      <c r="N3299">
        <v>120</v>
      </c>
      <c r="O3299">
        <v>100</v>
      </c>
      <c r="P3299" t="s">
        <v>25</v>
      </c>
      <c r="Q3299" t="s">
        <v>26</v>
      </c>
      <c r="R3299" t="str">
        <f>IF(COUNTIF(Sheet2!B:B, A3299) &gt; 0, "Yes", "No")</f>
        <v>No</v>
      </c>
    </row>
    <row r="3300" spans="1:18" x14ac:dyDescent="0.25">
      <c r="A3300" s="3">
        <v>45637</v>
      </c>
      <c r="B3300" t="s">
        <v>405</v>
      </c>
      <c r="C3300" t="s">
        <v>51</v>
      </c>
      <c r="D3300" t="s">
        <v>20</v>
      </c>
      <c r="E3300" t="s">
        <v>21</v>
      </c>
      <c r="F3300" t="s">
        <v>27</v>
      </c>
      <c r="G3300" t="s">
        <v>28</v>
      </c>
      <c r="H3300" t="s">
        <v>182</v>
      </c>
      <c r="I3300">
        <v>0.11</v>
      </c>
      <c r="J3300">
        <f t="shared" si="153"/>
        <v>11</v>
      </c>
      <c r="K3300">
        <v>0</v>
      </c>
      <c r="L3300">
        <f t="shared" si="154"/>
        <v>11</v>
      </c>
      <c r="M3300" s="4">
        <f t="shared" si="155"/>
        <v>9.166666666666666E-2</v>
      </c>
      <c r="N3300">
        <v>120</v>
      </c>
      <c r="O3300">
        <v>100</v>
      </c>
      <c r="P3300" t="s">
        <v>25</v>
      </c>
      <c r="Q3300" t="s">
        <v>26</v>
      </c>
      <c r="R3300" t="str">
        <f>IF(COUNTIF(Sheet2!B:B, A3300) &gt; 0, "Yes", "No")</f>
        <v>No</v>
      </c>
    </row>
    <row r="3301" spans="1:18" x14ac:dyDescent="0.25">
      <c r="A3301" s="3">
        <v>45637</v>
      </c>
      <c r="B3301" t="s">
        <v>405</v>
      </c>
      <c r="C3301" t="s">
        <v>51</v>
      </c>
      <c r="D3301" t="s">
        <v>20</v>
      </c>
      <c r="E3301" t="s">
        <v>21</v>
      </c>
      <c r="F3301" t="s">
        <v>30</v>
      </c>
      <c r="G3301" t="s">
        <v>31</v>
      </c>
      <c r="H3301" t="s">
        <v>70</v>
      </c>
      <c r="I3301">
        <v>0.09</v>
      </c>
      <c r="J3301">
        <f t="shared" si="153"/>
        <v>9</v>
      </c>
      <c r="K3301">
        <v>0</v>
      </c>
      <c r="L3301">
        <f t="shared" si="154"/>
        <v>9</v>
      </c>
      <c r="M3301" s="4">
        <f t="shared" si="155"/>
        <v>7.4999999999999997E-2</v>
      </c>
      <c r="N3301">
        <v>120</v>
      </c>
      <c r="O3301">
        <v>100</v>
      </c>
      <c r="P3301" t="s">
        <v>25</v>
      </c>
      <c r="Q3301" t="s">
        <v>26</v>
      </c>
      <c r="R3301" t="str">
        <f>IF(COUNTIF(Sheet2!B:B, A3301) &gt; 0, "Yes", "No")</f>
        <v>No</v>
      </c>
    </row>
    <row r="3302" spans="1:18" x14ac:dyDescent="0.25">
      <c r="A3302" s="3">
        <v>45637</v>
      </c>
      <c r="B3302" t="s">
        <v>405</v>
      </c>
      <c r="C3302" t="s">
        <v>51</v>
      </c>
      <c r="D3302" t="s">
        <v>33</v>
      </c>
      <c r="E3302" t="s">
        <v>21</v>
      </c>
      <c r="F3302" t="s">
        <v>34</v>
      </c>
      <c r="G3302" t="s">
        <v>57</v>
      </c>
      <c r="H3302" t="s">
        <v>767</v>
      </c>
      <c r="I3302">
        <v>0.15</v>
      </c>
      <c r="J3302">
        <f t="shared" si="153"/>
        <v>10.5</v>
      </c>
      <c r="K3302">
        <v>0</v>
      </c>
      <c r="L3302">
        <f t="shared" si="154"/>
        <v>10.5</v>
      </c>
      <c r="M3302" s="4">
        <f t="shared" si="155"/>
        <v>0.15</v>
      </c>
      <c r="N3302">
        <v>70</v>
      </c>
      <c r="O3302">
        <v>70</v>
      </c>
      <c r="P3302" t="s">
        <v>25</v>
      </c>
      <c r="Q3302" t="s">
        <v>26</v>
      </c>
      <c r="R3302" t="str">
        <f>IF(COUNTIF(Sheet2!B:B, A3302) &gt; 0, "Yes", "No")</f>
        <v>No</v>
      </c>
    </row>
    <row r="3303" spans="1:18" x14ac:dyDescent="0.25">
      <c r="A3303" s="3">
        <v>45637</v>
      </c>
      <c r="B3303" t="s">
        <v>405</v>
      </c>
      <c r="C3303" t="s">
        <v>51</v>
      </c>
      <c r="D3303" t="s">
        <v>20</v>
      </c>
      <c r="E3303" t="s">
        <v>21</v>
      </c>
      <c r="F3303" t="s">
        <v>37</v>
      </c>
      <c r="G3303" t="s">
        <v>108</v>
      </c>
      <c r="H3303" t="s">
        <v>126</v>
      </c>
      <c r="I3303">
        <v>0.03</v>
      </c>
      <c r="J3303">
        <f t="shared" si="153"/>
        <v>3</v>
      </c>
      <c r="K3303">
        <v>1.5</v>
      </c>
      <c r="L3303">
        <f t="shared" si="154"/>
        <v>1.5</v>
      </c>
      <c r="M3303" s="4">
        <f t="shared" si="155"/>
        <v>1.2500000000000001E-2</v>
      </c>
      <c r="N3303">
        <v>120</v>
      </c>
      <c r="O3303">
        <v>100</v>
      </c>
      <c r="P3303" t="s">
        <v>25</v>
      </c>
      <c r="Q3303" t="s">
        <v>26</v>
      </c>
      <c r="R3303" t="str">
        <f>IF(COUNTIF(Sheet2!B:B, A3303) &gt; 0, "Yes", "No")</f>
        <v>No</v>
      </c>
    </row>
    <row r="3304" spans="1:18" x14ac:dyDescent="0.25">
      <c r="A3304" s="3">
        <v>45637</v>
      </c>
      <c r="B3304" t="s">
        <v>405</v>
      </c>
      <c r="C3304" t="s">
        <v>51</v>
      </c>
      <c r="D3304" t="s">
        <v>20</v>
      </c>
      <c r="E3304" t="s">
        <v>21</v>
      </c>
      <c r="F3304" t="s">
        <v>40</v>
      </c>
      <c r="G3304" t="s">
        <v>164</v>
      </c>
      <c r="H3304" t="s">
        <v>328</v>
      </c>
      <c r="I3304">
        <v>4.4999999999999998E-2</v>
      </c>
      <c r="J3304">
        <f t="shared" si="153"/>
        <v>4.5</v>
      </c>
      <c r="K3304">
        <v>1</v>
      </c>
      <c r="L3304">
        <f t="shared" si="154"/>
        <v>3.5</v>
      </c>
      <c r="M3304" s="4">
        <f t="shared" si="155"/>
        <v>2.9166666666666667E-2</v>
      </c>
      <c r="N3304">
        <v>120</v>
      </c>
      <c r="O3304">
        <v>100</v>
      </c>
      <c r="P3304" t="s">
        <v>25</v>
      </c>
      <c r="Q3304" t="s">
        <v>26</v>
      </c>
      <c r="R3304" t="str">
        <f>IF(COUNTIF(Sheet2!B:B, A3304) &gt; 0, "Yes", "No")</f>
        <v>No</v>
      </c>
    </row>
    <row r="3305" spans="1:18" x14ac:dyDescent="0.25">
      <c r="A3305" s="3">
        <v>45637</v>
      </c>
      <c r="B3305" t="s">
        <v>405</v>
      </c>
      <c r="C3305" t="s">
        <v>51</v>
      </c>
      <c r="D3305" t="s">
        <v>20</v>
      </c>
      <c r="E3305" t="s">
        <v>21</v>
      </c>
      <c r="F3305" t="s">
        <v>43</v>
      </c>
      <c r="G3305" t="s">
        <v>44</v>
      </c>
      <c r="H3305" t="s">
        <v>45</v>
      </c>
      <c r="I3305">
        <v>0.11</v>
      </c>
      <c r="J3305">
        <f t="shared" si="153"/>
        <v>11</v>
      </c>
      <c r="K3305">
        <v>1.5</v>
      </c>
      <c r="L3305">
        <f t="shared" si="154"/>
        <v>9.5</v>
      </c>
      <c r="M3305" s="4">
        <f t="shared" si="155"/>
        <v>7.9166666666666663E-2</v>
      </c>
      <c r="N3305">
        <v>120</v>
      </c>
      <c r="O3305">
        <v>100</v>
      </c>
      <c r="P3305" t="s">
        <v>25</v>
      </c>
      <c r="Q3305" t="s">
        <v>26</v>
      </c>
      <c r="R3305" t="str">
        <f>IF(COUNTIF(Sheet2!B:B, A3305) &gt; 0, "Yes", "No")</f>
        <v>No</v>
      </c>
    </row>
    <row r="3306" spans="1:18" x14ac:dyDescent="0.25">
      <c r="A3306" s="3">
        <v>45637</v>
      </c>
      <c r="B3306" t="s">
        <v>405</v>
      </c>
      <c r="C3306" t="s">
        <v>51</v>
      </c>
      <c r="D3306" t="s">
        <v>20</v>
      </c>
      <c r="E3306" t="s">
        <v>21</v>
      </c>
      <c r="F3306" t="s">
        <v>46</v>
      </c>
      <c r="G3306" t="s">
        <v>130</v>
      </c>
      <c r="H3306" t="s">
        <v>367</v>
      </c>
      <c r="I3306">
        <v>8.5000000000000006E-2</v>
      </c>
      <c r="J3306">
        <f t="shared" si="153"/>
        <v>8.5</v>
      </c>
      <c r="K3306">
        <v>0.5</v>
      </c>
      <c r="L3306">
        <f t="shared" si="154"/>
        <v>8</v>
      </c>
      <c r="M3306" s="4">
        <f t="shared" si="155"/>
        <v>6.6666666666666666E-2</v>
      </c>
      <c r="N3306">
        <v>120</v>
      </c>
      <c r="O3306">
        <v>100</v>
      </c>
      <c r="P3306" t="s">
        <v>25</v>
      </c>
      <c r="Q3306" t="s">
        <v>26</v>
      </c>
      <c r="R3306" t="str">
        <f>IF(COUNTIF(Sheet2!B:B, A3306) &gt; 0, "Yes", "No")</f>
        <v>No</v>
      </c>
    </row>
    <row r="3307" spans="1:18" x14ac:dyDescent="0.25">
      <c r="A3307" s="3">
        <v>45637</v>
      </c>
      <c r="B3307" t="s">
        <v>405</v>
      </c>
      <c r="C3307" t="s">
        <v>51</v>
      </c>
      <c r="D3307" t="s">
        <v>20</v>
      </c>
      <c r="E3307" t="s">
        <v>21</v>
      </c>
      <c r="F3307" t="s">
        <v>49</v>
      </c>
      <c r="G3307" t="s">
        <v>50</v>
      </c>
      <c r="H3307" t="s">
        <v>49</v>
      </c>
      <c r="I3307">
        <v>0.09</v>
      </c>
      <c r="J3307">
        <f t="shared" si="153"/>
        <v>9</v>
      </c>
      <c r="K3307">
        <v>0</v>
      </c>
      <c r="L3307">
        <f t="shared" si="154"/>
        <v>9</v>
      </c>
      <c r="M3307" s="4">
        <f t="shared" si="155"/>
        <v>7.4999999999999997E-2</v>
      </c>
      <c r="N3307">
        <v>120</v>
      </c>
      <c r="O3307">
        <v>100</v>
      </c>
      <c r="P3307" t="s">
        <v>25</v>
      </c>
      <c r="Q3307" t="s">
        <v>26</v>
      </c>
      <c r="R3307" t="str">
        <f>IF(COUNTIF(Sheet2!B:B, A3307) &gt; 0, "Yes", "No")</f>
        <v>No</v>
      </c>
    </row>
    <row r="3308" spans="1:18" x14ac:dyDescent="0.25">
      <c r="A3308" s="3">
        <v>45638</v>
      </c>
      <c r="B3308" t="s">
        <v>405</v>
      </c>
      <c r="C3308" t="s">
        <v>66</v>
      </c>
      <c r="D3308" t="s">
        <v>20</v>
      </c>
      <c r="E3308" t="s">
        <v>67</v>
      </c>
      <c r="F3308" t="s">
        <v>22</v>
      </c>
      <c r="G3308" t="s">
        <v>52</v>
      </c>
      <c r="H3308" t="s">
        <v>213</v>
      </c>
      <c r="I3308">
        <v>8.5000000000000006E-2</v>
      </c>
      <c r="J3308">
        <f t="shared" si="153"/>
        <v>8.5</v>
      </c>
      <c r="K3308">
        <v>1.5</v>
      </c>
      <c r="L3308">
        <f t="shared" si="154"/>
        <v>7</v>
      </c>
      <c r="M3308" s="4">
        <f t="shared" si="155"/>
        <v>5.8333333333333334E-2</v>
      </c>
      <c r="N3308">
        <v>120</v>
      </c>
      <c r="O3308">
        <v>100</v>
      </c>
      <c r="P3308" t="s">
        <v>25</v>
      </c>
      <c r="Q3308" t="s">
        <v>26</v>
      </c>
      <c r="R3308" t="str">
        <f>IF(COUNTIF(Sheet2!B:B, A3308) &gt; 0, "Yes", "No")</f>
        <v>No</v>
      </c>
    </row>
    <row r="3309" spans="1:18" x14ac:dyDescent="0.25">
      <c r="A3309" s="3">
        <v>45638</v>
      </c>
      <c r="B3309" t="s">
        <v>405</v>
      </c>
      <c r="C3309" t="s">
        <v>66</v>
      </c>
      <c r="D3309" t="s">
        <v>20</v>
      </c>
      <c r="E3309" t="s">
        <v>67</v>
      </c>
      <c r="F3309" t="s">
        <v>27</v>
      </c>
      <c r="G3309" t="s">
        <v>235</v>
      </c>
      <c r="H3309" t="s">
        <v>581</v>
      </c>
      <c r="I3309">
        <v>0.12</v>
      </c>
      <c r="J3309">
        <f t="shared" si="153"/>
        <v>12</v>
      </c>
      <c r="K3309">
        <v>0</v>
      </c>
      <c r="L3309">
        <f t="shared" si="154"/>
        <v>12</v>
      </c>
      <c r="M3309" s="4">
        <f t="shared" si="155"/>
        <v>0.1</v>
      </c>
      <c r="N3309">
        <v>120</v>
      </c>
      <c r="O3309">
        <v>100</v>
      </c>
      <c r="P3309" t="s">
        <v>25</v>
      </c>
      <c r="Q3309" t="s">
        <v>26</v>
      </c>
      <c r="R3309" t="str">
        <f>IF(COUNTIF(Sheet2!B:B, A3309) &gt; 0, "Yes", "No")</f>
        <v>No</v>
      </c>
    </row>
    <row r="3310" spans="1:18" x14ac:dyDescent="0.25">
      <c r="A3310" s="3">
        <v>45638</v>
      </c>
      <c r="B3310" t="s">
        <v>405</v>
      </c>
      <c r="C3310" t="s">
        <v>66</v>
      </c>
      <c r="D3310" t="s">
        <v>20</v>
      </c>
      <c r="E3310" t="s">
        <v>67</v>
      </c>
      <c r="F3310" t="s">
        <v>30</v>
      </c>
      <c r="G3310" t="s">
        <v>55</v>
      </c>
      <c r="H3310" t="s">
        <v>56</v>
      </c>
      <c r="I3310">
        <v>0.09</v>
      </c>
      <c r="J3310">
        <f t="shared" si="153"/>
        <v>9</v>
      </c>
      <c r="K3310">
        <v>0</v>
      </c>
      <c r="L3310">
        <f t="shared" si="154"/>
        <v>9</v>
      </c>
      <c r="M3310" s="4">
        <f t="shared" si="155"/>
        <v>7.4999999999999997E-2</v>
      </c>
      <c r="N3310">
        <v>120</v>
      </c>
      <c r="O3310">
        <v>100</v>
      </c>
      <c r="P3310" t="s">
        <v>25</v>
      </c>
      <c r="Q3310" t="s">
        <v>26</v>
      </c>
      <c r="R3310" t="str">
        <f>IF(COUNTIF(Sheet2!B:B, A3310) &gt; 0, "Yes", "No")</f>
        <v>No</v>
      </c>
    </row>
    <row r="3311" spans="1:18" x14ac:dyDescent="0.25">
      <c r="A3311" s="3">
        <v>45638</v>
      </c>
      <c r="B3311" t="s">
        <v>405</v>
      </c>
      <c r="C3311" t="s">
        <v>66</v>
      </c>
      <c r="D3311" t="s">
        <v>20</v>
      </c>
      <c r="E3311" t="s">
        <v>67</v>
      </c>
      <c r="F3311" t="s">
        <v>37</v>
      </c>
      <c r="G3311" t="s">
        <v>108</v>
      </c>
      <c r="H3311" t="s">
        <v>126</v>
      </c>
      <c r="I3311">
        <v>3.5000000000000003E-2</v>
      </c>
      <c r="J3311">
        <f t="shared" si="153"/>
        <v>3.5000000000000004</v>
      </c>
      <c r="K3311">
        <v>1.5</v>
      </c>
      <c r="L3311">
        <f t="shared" si="154"/>
        <v>2.0000000000000004</v>
      </c>
      <c r="M3311" s="4">
        <f t="shared" si="155"/>
        <v>1.666666666666667E-2</v>
      </c>
      <c r="N3311">
        <v>120</v>
      </c>
      <c r="O3311">
        <v>100</v>
      </c>
      <c r="P3311" t="s">
        <v>25</v>
      </c>
      <c r="Q3311" t="s">
        <v>26</v>
      </c>
      <c r="R3311" t="str">
        <f>IF(COUNTIF(Sheet2!B:B, A3311) &gt; 0, "Yes", "No")</f>
        <v>No</v>
      </c>
    </row>
    <row r="3312" spans="1:18" x14ac:dyDescent="0.25">
      <c r="A3312" s="3">
        <v>45638</v>
      </c>
      <c r="B3312" t="s">
        <v>405</v>
      </c>
      <c r="C3312" t="s">
        <v>66</v>
      </c>
      <c r="D3312" t="s">
        <v>20</v>
      </c>
      <c r="E3312" t="s">
        <v>67</v>
      </c>
      <c r="F3312" t="s">
        <v>40</v>
      </c>
      <c r="G3312" t="s">
        <v>127</v>
      </c>
      <c r="H3312" t="s">
        <v>358</v>
      </c>
      <c r="I3312">
        <v>0.05</v>
      </c>
      <c r="J3312">
        <f t="shared" si="153"/>
        <v>5</v>
      </c>
      <c r="K3312">
        <v>1.5</v>
      </c>
      <c r="L3312">
        <f t="shared" si="154"/>
        <v>3.5</v>
      </c>
      <c r="M3312" s="4">
        <f t="shared" si="155"/>
        <v>2.9166666666666667E-2</v>
      </c>
      <c r="N3312">
        <v>120</v>
      </c>
      <c r="O3312">
        <v>100</v>
      </c>
      <c r="P3312" t="s">
        <v>25</v>
      </c>
      <c r="Q3312" t="s">
        <v>26</v>
      </c>
      <c r="R3312" t="str">
        <f>IF(COUNTIF(Sheet2!B:B, A3312) &gt; 0, "Yes", "No")</f>
        <v>No</v>
      </c>
    </row>
    <row r="3313" spans="1:18" x14ac:dyDescent="0.25">
      <c r="A3313" s="3">
        <v>45638</v>
      </c>
      <c r="B3313" t="s">
        <v>405</v>
      </c>
      <c r="C3313" t="s">
        <v>66</v>
      </c>
      <c r="D3313" t="s">
        <v>20</v>
      </c>
      <c r="E3313" t="s">
        <v>67</v>
      </c>
      <c r="F3313" t="s">
        <v>43</v>
      </c>
      <c r="G3313" t="s">
        <v>75</v>
      </c>
      <c r="H3313" t="s">
        <v>120</v>
      </c>
      <c r="I3313">
        <v>0.11</v>
      </c>
      <c r="J3313">
        <f t="shared" si="153"/>
        <v>11</v>
      </c>
      <c r="K3313">
        <v>1</v>
      </c>
      <c r="L3313">
        <f t="shared" si="154"/>
        <v>10</v>
      </c>
      <c r="M3313" s="4">
        <f t="shared" si="155"/>
        <v>8.3333333333333329E-2</v>
      </c>
      <c r="N3313">
        <v>120</v>
      </c>
      <c r="O3313">
        <v>100</v>
      </c>
      <c r="P3313" t="s">
        <v>25</v>
      </c>
      <c r="Q3313" t="s">
        <v>26</v>
      </c>
      <c r="R3313" t="str">
        <f>IF(COUNTIF(Sheet2!B:B, A3313) &gt; 0, "Yes", "No")</f>
        <v>No</v>
      </c>
    </row>
    <row r="3314" spans="1:18" x14ac:dyDescent="0.25">
      <c r="A3314" s="3">
        <v>45638</v>
      </c>
      <c r="B3314" t="s">
        <v>405</v>
      </c>
      <c r="C3314" t="s">
        <v>66</v>
      </c>
      <c r="D3314" t="s">
        <v>20</v>
      </c>
      <c r="E3314" t="s">
        <v>67</v>
      </c>
      <c r="F3314" t="s">
        <v>46</v>
      </c>
      <c r="G3314" t="s">
        <v>47</v>
      </c>
      <c r="H3314" t="s">
        <v>659</v>
      </c>
      <c r="I3314">
        <v>8.5000000000000006E-2</v>
      </c>
      <c r="J3314">
        <f t="shared" si="153"/>
        <v>8.5</v>
      </c>
      <c r="K3314">
        <v>0</v>
      </c>
      <c r="L3314">
        <f t="shared" si="154"/>
        <v>8.5</v>
      </c>
      <c r="M3314" s="4">
        <f t="shared" si="155"/>
        <v>7.0833333333333331E-2</v>
      </c>
      <c r="N3314">
        <v>120</v>
      </c>
      <c r="O3314">
        <v>100</v>
      </c>
      <c r="P3314" t="s">
        <v>25</v>
      </c>
      <c r="Q3314" t="s">
        <v>26</v>
      </c>
      <c r="R3314" t="str">
        <f>IF(COUNTIF(Sheet2!B:B, A3314) &gt; 0, "Yes", "No")</f>
        <v>No</v>
      </c>
    </row>
    <row r="3315" spans="1:18" x14ac:dyDescent="0.25">
      <c r="A3315" s="3">
        <v>45638</v>
      </c>
      <c r="B3315" t="s">
        <v>405</v>
      </c>
      <c r="C3315" t="s">
        <v>66</v>
      </c>
      <c r="D3315" t="s">
        <v>20</v>
      </c>
      <c r="E3315" t="s">
        <v>67</v>
      </c>
      <c r="F3315" t="s">
        <v>49</v>
      </c>
      <c r="G3315" t="s">
        <v>50</v>
      </c>
      <c r="H3315" t="s">
        <v>49</v>
      </c>
      <c r="I3315">
        <v>0.09</v>
      </c>
      <c r="J3315">
        <f t="shared" si="153"/>
        <v>9</v>
      </c>
      <c r="K3315">
        <v>0</v>
      </c>
      <c r="L3315">
        <f t="shared" si="154"/>
        <v>9</v>
      </c>
      <c r="M3315" s="4">
        <f t="shared" si="155"/>
        <v>7.4999999999999997E-2</v>
      </c>
      <c r="N3315">
        <v>120</v>
      </c>
      <c r="O3315">
        <v>100</v>
      </c>
      <c r="P3315" t="s">
        <v>25</v>
      </c>
      <c r="Q3315" t="s">
        <v>26</v>
      </c>
      <c r="R3315" t="str">
        <f>IF(COUNTIF(Sheet2!B:B, A3315) &gt; 0, "Yes", "No")</f>
        <v>No</v>
      </c>
    </row>
    <row r="3316" spans="1:18" x14ac:dyDescent="0.25">
      <c r="A3316" s="3">
        <v>45639</v>
      </c>
      <c r="B3316" t="s">
        <v>405</v>
      </c>
      <c r="C3316" t="s">
        <v>79</v>
      </c>
      <c r="D3316" t="s">
        <v>20</v>
      </c>
      <c r="E3316" t="s">
        <v>21</v>
      </c>
      <c r="F3316" t="s">
        <v>22</v>
      </c>
      <c r="G3316" t="s">
        <v>52</v>
      </c>
      <c r="H3316" t="s">
        <v>68</v>
      </c>
      <c r="I3316" s="5">
        <v>0.06</v>
      </c>
      <c r="J3316">
        <f t="shared" si="153"/>
        <v>6</v>
      </c>
      <c r="K3316">
        <v>1</v>
      </c>
      <c r="L3316">
        <f t="shared" si="154"/>
        <v>5</v>
      </c>
      <c r="M3316" s="4">
        <f t="shared" si="155"/>
        <v>4.5454545454545456E-2</v>
      </c>
      <c r="N3316">
        <v>110</v>
      </c>
      <c r="O3316">
        <v>100</v>
      </c>
      <c r="P3316" t="s">
        <v>25</v>
      </c>
      <c r="Q3316" t="s">
        <v>26</v>
      </c>
      <c r="R3316" t="str">
        <f>IF(COUNTIF(Sheet2!B:B, A3316) &gt; 0, "Yes", "No")</f>
        <v>Yes</v>
      </c>
    </row>
    <row r="3317" spans="1:18" x14ac:dyDescent="0.25">
      <c r="A3317" s="3">
        <v>45639</v>
      </c>
      <c r="B3317" t="s">
        <v>405</v>
      </c>
      <c r="C3317" t="s">
        <v>79</v>
      </c>
      <c r="D3317" t="s">
        <v>20</v>
      </c>
      <c r="E3317" t="s">
        <v>21</v>
      </c>
      <c r="F3317" t="s">
        <v>27</v>
      </c>
      <c r="G3317" t="s">
        <v>81</v>
      </c>
      <c r="H3317" t="s">
        <v>768</v>
      </c>
      <c r="I3317" s="5">
        <v>0.1</v>
      </c>
      <c r="J3317">
        <f t="shared" si="153"/>
        <v>10</v>
      </c>
      <c r="K3317">
        <v>1</v>
      </c>
      <c r="L3317">
        <f t="shared" si="154"/>
        <v>9</v>
      </c>
      <c r="M3317" s="4">
        <f t="shared" si="155"/>
        <v>8.1818181818181818E-2</v>
      </c>
      <c r="N3317">
        <v>110</v>
      </c>
      <c r="O3317">
        <v>100</v>
      </c>
      <c r="P3317" t="s">
        <v>25</v>
      </c>
      <c r="Q3317" t="s">
        <v>26</v>
      </c>
      <c r="R3317" t="str">
        <f>IF(COUNTIF(Sheet2!B:B, A3317) &gt; 0, "Yes", "No")</f>
        <v>Yes</v>
      </c>
    </row>
    <row r="3318" spans="1:18" x14ac:dyDescent="0.25">
      <c r="A3318" s="3">
        <v>45639</v>
      </c>
      <c r="B3318" t="s">
        <v>405</v>
      </c>
      <c r="C3318" t="s">
        <v>79</v>
      </c>
      <c r="D3318" t="s">
        <v>20</v>
      </c>
      <c r="E3318" t="s">
        <v>21</v>
      </c>
      <c r="F3318" t="s">
        <v>30</v>
      </c>
      <c r="G3318" t="s">
        <v>31</v>
      </c>
      <c r="H3318" t="s">
        <v>394</v>
      </c>
      <c r="I3318" s="5">
        <v>0.06</v>
      </c>
      <c r="J3318">
        <f t="shared" si="153"/>
        <v>6</v>
      </c>
      <c r="K3318">
        <v>0</v>
      </c>
      <c r="L3318">
        <f t="shared" si="154"/>
        <v>6</v>
      </c>
      <c r="M3318" s="4">
        <f t="shared" si="155"/>
        <v>5.4545454545454543E-2</v>
      </c>
      <c r="N3318">
        <v>110</v>
      </c>
      <c r="O3318">
        <v>100</v>
      </c>
      <c r="P3318" t="s">
        <v>25</v>
      </c>
      <c r="Q3318" t="s">
        <v>26</v>
      </c>
      <c r="R3318" t="str">
        <f>IF(COUNTIF(Sheet2!B:B, A3318) &gt; 0, "Yes", "No")</f>
        <v>Yes</v>
      </c>
    </row>
    <row r="3319" spans="1:18" x14ac:dyDescent="0.25">
      <c r="A3319" s="3">
        <v>45639</v>
      </c>
      <c r="B3319" t="s">
        <v>405</v>
      </c>
      <c r="C3319" t="s">
        <v>79</v>
      </c>
      <c r="D3319" t="s">
        <v>33</v>
      </c>
      <c r="E3319" t="s">
        <v>21</v>
      </c>
      <c r="F3319" t="s">
        <v>84</v>
      </c>
      <c r="G3319" t="s">
        <v>85</v>
      </c>
      <c r="H3319" t="s">
        <v>135</v>
      </c>
      <c r="I3319" s="5">
        <v>0.3</v>
      </c>
      <c r="J3319">
        <f t="shared" si="153"/>
        <v>21</v>
      </c>
      <c r="K3319">
        <v>0</v>
      </c>
      <c r="L3319">
        <f t="shared" si="154"/>
        <v>21</v>
      </c>
      <c r="M3319" s="4">
        <f t="shared" si="155"/>
        <v>0.3</v>
      </c>
      <c r="N3319">
        <v>70</v>
      </c>
      <c r="O3319">
        <v>70</v>
      </c>
      <c r="P3319" t="s">
        <v>25</v>
      </c>
      <c r="Q3319" t="s">
        <v>26</v>
      </c>
      <c r="R3319" t="str">
        <f>IF(COUNTIF(Sheet2!B:B, A3319) &gt; 0, "Yes", "No")</f>
        <v>Yes</v>
      </c>
    </row>
    <row r="3320" spans="1:18" x14ac:dyDescent="0.25">
      <c r="A3320" s="3">
        <v>45639</v>
      </c>
      <c r="B3320" t="s">
        <v>405</v>
      </c>
      <c r="C3320" t="s">
        <v>79</v>
      </c>
      <c r="D3320" t="s">
        <v>20</v>
      </c>
      <c r="E3320" t="s">
        <v>21</v>
      </c>
      <c r="F3320" t="s">
        <v>37</v>
      </c>
      <c r="G3320" t="s">
        <v>87</v>
      </c>
      <c r="H3320" t="s">
        <v>88</v>
      </c>
      <c r="I3320" s="5">
        <v>2.5000000000000001E-2</v>
      </c>
      <c r="J3320">
        <f t="shared" si="153"/>
        <v>2.5</v>
      </c>
      <c r="K3320">
        <v>1</v>
      </c>
      <c r="L3320">
        <f t="shared" si="154"/>
        <v>1.5</v>
      </c>
      <c r="M3320" s="4">
        <f t="shared" si="155"/>
        <v>1.3636363636363636E-2</v>
      </c>
      <c r="N3320">
        <v>110</v>
      </c>
      <c r="O3320">
        <v>100</v>
      </c>
      <c r="P3320" t="s">
        <v>25</v>
      </c>
      <c r="Q3320" t="s">
        <v>26</v>
      </c>
      <c r="R3320" t="str">
        <f>IF(COUNTIF(Sheet2!B:B, A3320) &gt; 0, "Yes", "No")</f>
        <v>Yes</v>
      </c>
    </row>
    <row r="3321" spans="1:18" x14ac:dyDescent="0.25">
      <c r="A3321" s="3">
        <v>45639</v>
      </c>
      <c r="B3321" t="s">
        <v>405</v>
      </c>
      <c r="C3321" t="s">
        <v>79</v>
      </c>
      <c r="D3321" t="s">
        <v>20</v>
      </c>
      <c r="E3321" t="s">
        <v>21</v>
      </c>
      <c r="F3321" t="s">
        <v>40</v>
      </c>
      <c r="G3321" t="s">
        <v>164</v>
      </c>
      <c r="H3321" t="s">
        <v>193</v>
      </c>
      <c r="I3321" s="5">
        <v>0.04</v>
      </c>
      <c r="J3321">
        <f t="shared" si="153"/>
        <v>4</v>
      </c>
      <c r="K3321">
        <v>1</v>
      </c>
      <c r="L3321">
        <f t="shared" si="154"/>
        <v>3</v>
      </c>
      <c r="M3321" s="4">
        <f t="shared" si="155"/>
        <v>2.7272727272727271E-2</v>
      </c>
      <c r="N3321">
        <v>110</v>
      </c>
      <c r="O3321">
        <v>100</v>
      </c>
      <c r="P3321" t="s">
        <v>25</v>
      </c>
      <c r="Q3321" t="s">
        <v>26</v>
      </c>
      <c r="R3321" t="str">
        <f>IF(COUNTIF(Sheet2!B:B, A3321) &gt; 0, "Yes", "No")</f>
        <v>Yes</v>
      </c>
    </row>
    <row r="3322" spans="1:18" x14ac:dyDescent="0.25">
      <c r="A3322" s="3">
        <v>45639</v>
      </c>
      <c r="B3322" t="s">
        <v>405</v>
      </c>
      <c r="C3322" t="s">
        <v>79</v>
      </c>
      <c r="D3322" t="s">
        <v>20</v>
      </c>
      <c r="E3322" t="s">
        <v>21</v>
      </c>
      <c r="F3322" t="s">
        <v>43</v>
      </c>
      <c r="G3322" t="s">
        <v>139</v>
      </c>
      <c r="H3322" t="s">
        <v>140</v>
      </c>
      <c r="I3322" s="5">
        <v>7.4999999999999997E-2</v>
      </c>
      <c r="J3322">
        <f t="shared" si="153"/>
        <v>7.5</v>
      </c>
      <c r="K3322">
        <v>1</v>
      </c>
      <c r="L3322">
        <f t="shared" si="154"/>
        <v>6.5</v>
      </c>
      <c r="M3322" s="4">
        <f t="shared" si="155"/>
        <v>5.909090909090909E-2</v>
      </c>
      <c r="N3322">
        <v>110</v>
      </c>
      <c r="O3322">
        <v>100</v>
      </c>
      <c r="P3322" t="s">
        <v>25</v>
      </c>
      <c r="Q3322" t="s">
        <v>26</v>
      </c>
      <c r="R3322" t="str">
        <f>IF(COUNTIF(Sheet2!B:B, A3322) &gt; 0, "Yes", "No")</f>
        <v>Yes</v>
      </c>
    </row>
    <row r="3323" spans="1:18" x14ac:dyDescent="0.25">
      <c r="A3323" s="3">
        <v>45639</v>
      </c>
      <c r="B3323" t="s">
        <v>405</v>
      </c>
      <c r="C3323" t="s">
        <v>79</v>
      </c>
      <c r="D3323" t="s">
        <v>20</v>
      </c>
      <c r="E3323" t="s">
        <v>21</v>
      </c>
      <c r="F3323" t="s">
        <v>46</v>
      </c>
      <c r="G3323" t="s">
        <v>47</v>
      </c>
      <c r="H3323" t="s">
        <v>48</v>
      </c>
      <c r="I3323" s="5">
        <v>0.06</v>
      </c>
      <c r="J3323">
        <f t="shared" si="153"/>
        <v>6</v>
      </c>
      <c r="K3323">
        <v>1</v>
      </c>
      <c r="L3323">
        <f t="shared" si="154"/>
        <v>5</v>
      </c>
      <c r="M3323" s="4">
        <f t="shared" si="155"/>
        <v>4.5454545454545456E-2</v>
      </c>
      <c r="N3323">
        <v>110</v>
      </c>
      <c r="O3323">
        <v>100</v>
      </c>
      <c r="P3323" t="s">
        <v>25</v>
      </c>
      <c r="Q3323" t="s">
        <v>26</v>
      </c>
      <c r="R3323" t="str">
        <f>IF(COUNTIF(Sheet2!B:B, A3323) &gt; 0, "Yes", "No")</f>
        <v>Yes</v>
      </c>
    </row>
    <row r="3324" spans="1:18" x14ac:dyDescent="0.25">
      <c r="A3324" s="3">
        <v>45639</v>
      </c>
      <c r="B3324" t="s">
        <v>405</v>
      </c>
      <c r="C3324" t="s">
        <v>79</v>
      </c>
      <c r="D3324" t="s">
        <v>20</v>
      </c>
      <c r="E3324" t="s">
        <v>21</v>
      </c>
      <c r="F3324" t="s">
        <v>49</v>
      </c>
      <c r="G3324" t="s">
        <v>50</v>
      </c>
      <c r="H3324" t="s">
        <v>49</v>
      </c>
      <c r="I3324" s="5">
        <v>0.04</v>
      </c>
      <c r="J3324">
        <f t="shared" si="153"/>
        <v>4</v>
      </c>
      <c r="K3324">
        <v>1.5</v>
      </c>
      <c r="L3324">
        <f t="shared" si="154"/>
        <v>2.5</v>
      </c>
      <c r="M3324" s="4">
        <f t="shared" si="155"/>
        <v>2.2727272727272728E-2</v>
      </c>
      <c r="N3324">
        <v>110</v>
      </c>
      <c r="O3324">
        <v>100</v>
      </c>
      <c r="P3324" t="s">
        <v>25</v>
      </c>
      <c r="Q3324" t="s">
        <v>26</v>
      </c>
      <c r="R3324" t="str">
        <f>IF(COUNTIF(Sheet2!B:B, A3324) &gt; 0, "Yes", "No")</f>
        <v>Yes</v>
      </c>
    </row>
    <row r="3325" spans="1:18" x14ac:dyDescent="0.25">
      <c r="A3325" s="3">
        <v>45642</v>
      </c>
      <c r="B3325" t="s">
        <v>405</v>
      </c>
      <c r="C3325" t="s">
        <v>19</v>
      </c>
      <c r="D3325" t="s">
        <v>20</v>
      </c>
      <c r="E3325" t="s">
        <v>21</v>
      </c>
      <c r="F3325" t="s">
        <v>22</v>
      </c>
      <c r="G3325" t="s">
        <v>52</v>
      </c>
      <c r="H3325" t="s">
        <v>485</v>
      </c>
      <c r="I3325">
        <v>8.5000000000000006E-2</v>
      </c>
      <c r="J3325">
        <f t="shared" si="153"/>
        <v>8.5</v>
      </c>
      <c r="K3325">
        <v>1</v>
      </c>
      <c r="L3325">
        <f t="shared" si="154"/>
        <v>7.5</v>
      </c>
      <c r="M3325" s="4">
        <f t="shared" si="155"/>
        <v>7.4999999999999997E-2</v>
      </c>
      <c r="N3325">
        <v>100</v>
      </c>
      <c r="O3325">
        <v>100</v>
      </c>
      <c r="P3325" t="s">
        <v>25</v>
      </c>
      <c r="Q3325" t="s">
        <v>26</v>
      </c>
      <c r="R3325" t="str">
        <f>IF(COUNTIF(Sheet2!B:B, A3325) &gt; 0, "Yes", "No")</f>
        <v>No</v>
      </c>
    </row>
    <row r="3326" spans="1:18" x14ac:dyDescent="0.25">
      <c r="A3326" s="3">
        <v>45642</v>
      </c>
      <c r="B3326" t="s">
        <v>405</v>
      </c>
      <c r="C3326" t="s">
        <v>19</v>
      </c>
      <c r="D3326" t="s">
        <v>20</v>
      </c>
      <c r="E3326" t="s">
        <v>21</v>
      </c>
      <c r="F3326" t="s">
        <v>27</v>
      </c>
      <c r="G3326" t="s">
        <v>780</v>
      </c>
      <c r="H3326" t="s">
        <v>769</v>
      </c>
      <c r="I3326">
        <v>0.11</v>
      </c>
      <c r="J3326">
        <f t="shared" si="153"/>
        <v>11</v>
      </c>
      <c r="K3326">
        <v>0</v>
      </c>
      <c r="L3326">
        <f t="shared" si="154"/>
        <v>11</v>
      </c>
      <c r="M3326" s="4">
        <f t="shared" si="155"/>
        <v>0.11</v>
      </c>
      <c r="N3326">
        <v>100</v>
      </c>
      <c r="O3326">
        <v>100</v>
      </c>
      <c r="P3326" t="s">
        <v>25</v>
      </c>
      <c r="Q3326" t="s">
        <v>26</v>
      </c>
      <c r="R3326" t="str">
        <f>IF(COUNTIF(Sheet2!B:B, A3326) &gt; 0, "Yes", "No")</f>
        <v>No</v>
      </c>
    </row>
    <row r="3327" spans="1:18" x14ac:dyDescent="0.25">
      <c r="A3327" s="3">
        <v>45642</v>
      </c>
      <c r="B3327" t="s">
        <v>405</v>
      </c>
      <c r="C3327" t="s">
        <v>19</v>
      </c>
      <c r="D3327" t="s">
        <v>20</v>
      </c>
      <c r="E3327" t="s">
        <v>21</v>
      </c>
      <c r="F3327" t="s">
        <v>30</v>
      </c>
      <c r="G3327" t="s">
        <v>55</v>
      </c>
      <c r="H3327" t="s">
        <v>689</v>
      </c>
      <c r="I3327">
        <v>0.09</v>
      </c>
      <c r="J3327">
        <f t="shared" si="153"/>
        <v>9</v>
      </c>
      <c r="K3327">
        <v>0</v>
      </c>
      <c r="L3327">
        <f t="shared" si="154"/>
        <v>9</v>
      </c>
      <c r="M3327" s="4">
        <f t="shared" si="155"/>
        <v>0.09</v>
      </c>
      <c r="N3327">
        <v>100</v>
      </c>
      <c r="O3327">
        <v>100</v>
      </c>
      <c r="P3327" t="s">
        <v>25</v>
      </c>
      <c r="Q3327" t="s">
        <v>26</v>
      </c>
      <c r="R3327" t="str">
        <f>IF(COUNTIF(Sheet2!B:B, A3327) &gt; 0, "Yes", "No")</f>
        <v>No</v>
      </c>
    </row>
    <row r="3328" spans="1:18" x14ac:dyDescent="0.25">
      <c r="A3328" s="3">
        <v>45642</v>
      </c>
      <c r="B3328" t="s">
        <v>405</v>
      </c>
      <c r="C3328" t="s">
        <v>19</v>
      </c>
      <c r="D3328" t="s">
        <v>33</v>
      </c>
      <c r="E3328" t="s">
        <v>21</v>
      </c>
      <c r="F3328" t="s">
        <v>34</v>
      </c>
      <c r="G3328" t="s">
        <v>57</v>
      </c>
      <c r="H3328" t="s">
        <v>58</v>
      </c>
      <c r="I3328">
        <v>0.15</v>
      </c>
      <c r="J3328">
        <f t="shared" si="153"/>
        <v>10.5</v>
      </c>
      <c r="K3328">
        <v>0</v>
      </c>
      <c r="L3328">
        <f t="shared" si="154"/>
        <v>10.5</v>
      </c>
      <c r="M3328" s="4">
        <f t="shared" si="155"/>
        <v>0.15</v>
      </c>
      <c r="N3328">
        <v>70</v>
      </c>
      <c r="O3328">
        <v>70</v>
      </c>
      <c r="P3328" t="s">
        <v>25</v>
      </c>
      <c r="Q3328" t="s">
        <v>26</v>
      </c>
      <c r="R3328" t="str">
        <f>IF(COUNTIF(Sheet2!B:B, A3328) &gt; 0, "Yes", "No")</f>
        <v>No</v>
      </c>
    </row>
    <row r="3329" spans="1:18" x14ac:dyDescent="0.25">
      <c r="A3329" s="3">
        <v>45642</v>
      </c>
      <c r="B3329" t="s">
        <v>405</v>
      </c>
      <c r="C3329" t="s">
        <v>19</v>
      </c>
      <c r="D3329" t="s">
        <v>20</v>
      </c>
      <c r="E3329" t="s">
        <v>21</v>
      </c>
      <c r="F3329" t="s">
        <v>37</v>
      </c>
      <c r="G3329" t="s">
        <v>262</v>
      </c>
      <c r="H3329" t="s">
        <v>263</v>
      </c>
      <c r="I3329">
        <v>0.03</v>
      </c>
      <c r="J3329">
        <f t="shared" si="153"/>
        <v>3</v>
      </c>
      <c r="K3329">
        <v>1</v>
      </c>
      <c r="L3329">
        <f t="shared" si="154"/>
        <v>2</v>
      </c>
      <c r="M3329" s="4">
        <f t="shared" si="155"/>
        <v>0.02</v>
      </c>
      <c r="N3329">
        <v>100</v>
      </c>
      <c r="O3329">
        <v>100</v>
      </c>
      <c r="P3329" t="s">
        <v>25</v>
      </c>
      <c r="Q3329" t="s">
        <v>26</v>
      </c>
      <c r="R3329" t="str">
        <f>IF(COUNTIF(Sheet2!B:B, A3329) &gt; 0, "Yes", "No")</f>
        <v>No</v>
      </c>
    </row>
    <row r="3330" spans="1:18" x14ac:dyDescent="0.25">
      <c r="A3330" s="3">
        <v>45642</v>
      </c>
      <c r="B3330" t="s">
        <v>405</v>
      </c>
      <c r="C3330" t="s">
        <v>19</v>
      </c>
      <c r="D3330" t="s">
        <v>20</v>
      </c>
      <c r="E3330" t="s">
        <v>21</v>
      </c>
      <c r="F3330" t="s">
        <v>40</v>
      </c>
      <c r="G3330" t="s">
        <v>73</v>
      </c>
      <c r="H3330" t="s">
        <v>110</v>
      </c>
      <c r="I3330">
        <v>4.4999999999999998E-2</v>
      </c>
      <c r="J3330">
        <f t="shared" si="153"/>
        <v>4.5</v>
      </c>
      <c r="K3330">
        <v>1</v>
      </c>
      <c r="L3330">
        <f t="shared" si="154"/>
        <v>3.5</v>
      </c>
      <c r="M3330" s="4">
        <f t="shared" si="155"/>
        <v>3.5000000000000003E-2</v>
      </c>
      <c r="N3330">
        <v>100</v>
      </c>
      <c r="O3330">
        <v>100</v>
      </c>
      <c r="P3330" t="s">
        <v>25</v>
      </c>
      <c r="Q3330" t="s">
        <v>26</v>
      </c>
      <c r="R3330" t="str">
        <f>IF(COUNTIF(Sheet2!B:B, A3330) &gt; 0, "Yes", "No")</f>
        <v>No</v>
      </c>
    </row>
    <row r="3331" spans="1:18" x14ac:dyDescent="0.25">
      <c r="A3331" s="3">
        <v>45642</v>
      </c>
      <c r="B3331" t="s">
        <v>405</v>
      </c>
      <c r="C3331" t="s">
        <v>19</v>
      </c>
      <c r="D3331" t="s">
        <v>20</v>
      </c>
      <c r="E3331" t="s">
        <v>21</v>
      </c>
      <c r="F3331" t="s">
        <v>43</v>
      </c>
      <c r="G3331" t="s">
        <v>159</v>
      </c>
      <c r="H3331" t="s">
        <v>160</v>
      </c>
      <c r="I3331">
        <v>0.11</v>
      </c>
      <c r="J3331">
        <f t="shared" ref="J3331:J3375" si="156">I3331*O3331</f>
        <v>11</v>
      </c>
      <c r="K3331">
        <v>1</v>
      </c>
      <c r="L3331">
        <f t="shared" ref="L3331:L3375" si="157">J3331-K3331</f>
        <v>10</v>
      </c>
      <c r="M3331" s="4">
        <f t="shared" ref="M3331:M3375" si="158">((I3331*O3331)-K3331)/N3331</f>
        <v>0.1</v>
      </c>
      <c r="N3331">
        <v>100</v>
      </c>
      <c r="O3331">
        <v>100</v>
      </c>
      <c r="P3331" t="s">
        <v>25</v>
      </c>
      <c r="Q3331" t="s">
        <v>26</v>
      </c>
      <c r="R3331" t="str">
        <f>IF(COUNTIF(Sheet2!B:B, A3331) &gt; 0, "Yes", "No")</f>
        <v>No</v>
      </c>
    </row>
    <row r="3332" spans="1:18" x14ac:dyDescent="0.25">
      <c r="A3332" s="3">
        <v>45642</v>
      </c>
      <c r="B3332" t="s">
        <v>405</v>
      </c>
      <c r="C3332" t="s">
        <v>19</v>
      </c>
      <c r="D3332" t="s">
        <v>20</v>
      </c>
      <c r="E3332" t="s">
        <v>21</v>
      </c>
      <c r="F3332" t="s">
        <v>46</v>
      </c>
      <c r="G3332" t="s">
        <v>47</v>
      </c>
      <c r="H3332" t="s">
        <v>141</v>
      </c>
      <c r="I3332">
        <v>8.5000000000000006E-2</v>
      </c>
      <c r="J3332">
        <f t="shared" si="156"/>
        <v>8.5</v>
      </c>
      <c r="K3332">
        <v>1</v>
      </c>
      <c r="L3332">
        <f t="shared" si="157"/>
        <v>7.5</v>
      </c>
      <c r="M3332" s="4">
        <f t="shared" si="158"/>
        <v>7.4999999999999997E-2</v>
      </c>
      <c r="N3332">
        <v>100</v>
      </c>
      <c r="O3332">
        <v>100</v>
      </c>
      <c r="P3332" t="s">
        <v>25</v>
      </c>
      <c r="Q3332" t="s">
        <v>26</v>
      </c>
      <c r="R3332" t="str">
        <f>IF(COUNTIF(Sheet2!B:B, A3332) &gt; 0, "Yes", "No")</f>
        <v>No</v>
      </c>
    </row>
    <row r="3333" spans="1:18" x14ac:dyDescent="0.25">
      <c r="A3333" s="3">
        <v>45642</v>
      </c>
      <c r="B3333" t="s">
        <v>405</v>
      </c>
      <c r="C3333" t="s">
        <v>19</v>
      </c>
      <c r="D3333" t="s">
        <v>20</v>
      </c>
      <c r="E3333" t="s">
        <v>21</v>
      </c>
      <c r="F3333" t="s">
        <v>49</v>
      </c>
      <c r="G3333" t="s">
        <v>50</v>
      </c>
      <c r="H3333" t="s">
        <v>49</v>
      </c>
      <c r="I3333">
        <v>0.09</v>
      </c>
      <c r="J3333">
        <f t="shared" si="156"/>
        <v>9</v>
      </c>
      <c r="K3333">
        <v>0</v>
      </c>
      <c r="L3333">
        <f t="shared" si="157"/>
        <v>9</v>
      </c>
      <c r="M3333" s="4">
        <f t="shared" si="158"/>
        <v>0.09</v>
      </c>
      <c r="N3333">
        <v>100</v>
      </c>
      <c r="O3333">
        <v>100</v>
      </c>
      <c r="P3333" t="s">
        <v>25</v>
      </c>
      <c r="Q3333" t="s">
        <v>26</v>
      </c>
      <c r="R3333" t="str">
        <f>IF(COUNTIF(Sheet2!B:B, A3333) &gt; 0, "Yes", "No")</f>
        <v>No</v>
      </c>
    </row>
    <row r="3334" spans="1:18" x14ac:dyDescent="0.25">
      <c r="A3334" s="3">
        <v>45643</v>
      </c>
      <c r="B3334" t="s">
        <v>405</v>
      </c>
      <c r="C3334" t="s">
        <v>105</v>
      </c>
      <c r="D3334" t="s">
        <v>20</v>
      </c>
      <c r="E3334" t="s">
        <v>67</v>
      </c>
      <c r="F3334" t="s">
        <v>22</v>
      </c>
      <c r="G3334" t="s">
        <v>52</v>
      </c>
      <c r="H3334" t="s">
        <v>53</v>
      </c>
      <c r="I3334">
        <v>8.5000000000000006E-2</v>
      </c>
      <c r="J3334">
        <f t="shared" si="156"/>
        <v>8.5</v>
      </c>
      <c r="K3334">
        <v>0</v>
      </c>
      <c r="L3334">
        <f t="shared" si="157"/>
        <v>8.5</v>
      </c>
      <c r="M3334" s="4">
        <f t="shared" si="158"/>
        <v>8.5000000000000006E-2</v>
      </c>
      <c r="N3334">
        <v>100</v>
      </c>
      <c r="O3334">
        <v>100</v>
      </c>
      <c r="P3334" t="s">
        <v>25</v>
      </c>
      <c r="Q3334" t="s">
        <v>26</v>
      </c>
      <c r="R3334" t="str">
        <f>IF(COUNTIF(Sheet2!B:B, A3334) &gt; 0, "Yes", "No")</f>
        <v>No</v>
      </c>
    </row>
    <row r="3335" spans="1:18" x14ac:dyDescent="0.25">
      <c r="A3335" s="3">
        <v>45643</v>
      </c>
      <c r="B3335" t="s">
        <v>405</v>
      </c>
      <c r="C3335" t="s">
        <v>105</v>
      </c>
      <c r="D3335" t="s">
        <v>20</v>
      </c>
      <c r="E3335" t="s">
        <v>67</v>
      </c>
      <c r="F3335" t="s">
        <v>27</v>
      </c>
      <c r="G3335" t="s">
        <v>451</v>
      </c>
      <c r="H3335" t="s">
        <v>770</v>
      </c>
      <c r="I3335">
        <v>0.11</v>
      </c>
      <c r="J3335">
        <f t="shared" si="156"/>
        <v>11</v>
      </c>
      <c r="K3335">
        <v>0</v>
      </c>
      <c r="L3335">
        <f t="shared" si="157"/>
        <v>11</v>
      </c>
      <c r="M3335" s="4">
        <f t="shared" si="158"/>
        <v>0.11</v>
      </c>
      <c r="N3335">
        <v>100</v>
      </c>
      <c r="O3335">
        <v>100</v>
      </c>
      <c r="P3335" t="s">
        <v>25</v>
      </c>
      <c r="Q3335" t="s">
        <v>26</v>
      </c>
      <c r="R3335" t="str">
        <f>IF(COUNTIF(Sheet2!B:B, A3335) &gt; 0, "Yes", "No")</f>
        <v>No</v>
      </c>
    </row>
    <row r="3336" spans="1:18" x14ac:dyDescent="0.25">
      <c r="A3336" s="3">
        <v>45643</v>
      </c>
      <c r="B3336" t="s">
        <v>405</v>
      </c>
      <c r="C3336" t="s">
        <v>105</v>
      </c>
      <c r="D3336" t="s">
        <v>20</v>
      </c>
      <c r="E3336" t="s">
        <v>67</v>
      </c>
      <c r="F3336" t="s">
        <v>30</v>
      </c>
      <c r="G3336" t="s">
        <v>55</v>
      </c>
      <c r="H3336" t="s">
        <v>183</v>
      </c>
      <c r="I3336">
        <v>0.09</v>
      </c>
      <c r="J3336">
        <f t="shared" si="156"/>
        <v>9</v>
      </c>
      <c r="K3336">
        <v>0</v>
      </c>
      <c r="L3336">
        <f t="shared" si="157"/>
        <v>9</v>
      </c>
      <c r="M3336" s="4">
        <f t="shared" si="158"/>
        <v>0.09</v>
      </c>
      <c r="N3336">
        <v>100</v>
      </c>
      <c r="O3336">
        <v>100</v>
      </c>
      <c r="P3336" t="s">
        <v>25</v>
      </c>
      <c r="Q3336" t="s">
        <v>26</v>
      </c>
      <c r="R3336" t="str">
        <f>IF(COUNTIF(Sheet2!B:B, A3336) &gt; 0, "Yes", "No")</f>
        <v>No</v>
      </c>
    </row>
    <row r="3337" spans="1:18" x14ac:dyDescent="0.25">
      <c r="A3337" s="3">
        <v>45643</v>
      </c>
      <c r="B3337" t="s">
        <v>405</v>
      </c>
      <c r="C3337" t="s">
        <v>105</v>
      </c>
      <c r="D3337" t="s">
        <v>20</v>
      </c>
      <c r="E3337" t="s">
        <v>67</v>
      </c>
      <c r="F3337" t="s">
        <v>37</v>
      </c>
      <c r="G3337" t="s">
        <v>59</v>
      </c>
      <c r="H3337" t="s">
        <v>60</v>
      </c>
      <c r="I3337">
        <v>3.5000000000000003E-2</v>
      </c>
      <c r="J3337">
        <f t="shared" si="156"/>
        <v>3.5000000000000004</v>
      </c>
      <c r="K3337">
        <v>1</v>
      </c>
      <c r="L3337">
        <f t="shared" si="157"/>
        <v>2.5000000000000004</v>
      </c>
      <c r="M3337" s="4">
        <f t="shared" si="158"/>
        <v>2.5000000000000005E-2</v>
      </c>
      <c r="N3337">
        <v>100</v>
      </c>
      <c r="O3337">
        <v>100</v>
      </c>
      <c r="P3337" t="s">
        <v>25</v>
      </c>
      <c r="Q3337" t="s">
        <v>26</v>
      </c>
      <c r="R3337" t="str">
        <f>IF(COUNTIF(Sheet2!B:B, A3337) &gt; 0, "Yes", "No")</f>
        <v>No</v>
      </c>
    </row>
    <row r="3338" spans="1:18" x14ac:dyDescent="0.25">
      <c r="A3338" s="3">
        <v>45643</v>
      </c>
      <c r="B3338" t="s">
        <v>405</v>
      </c>
      <c r="C3338" t="s">
        <v>105</v>
      </c>
      <c r="D3338" t="s">
        <v>20</v>
      </c>
      <c r="E3338" t="s">
        <v>67</v>
      </c>
      <c r="F3338" t="s">
        <v>40</v>
      </c>
      <c r="G3338" t="s">
        <v>137</v>
      </c>
      <c r="H3338" t="s">
        <v>771</v>
      </c>
      <c r="I3338">
        <v>0.05</v>
      </c>
      <c r="J3338">
        <f t="shared" si="156"/>
        <v>5</v>
      </c>
      <c r="K3338">
        <v>1</v>
      </c>
      <c r="L3338">
        <f t="shared" si="157"/>
        <v>4</v>
      </c>
      <c r="M3338" s="4">
        <f t="shared" si="158"/>
        <v>0.04</v>
      </c>
      <c r="N3338">
        <v>100</v>
      </c>
      <c r="O3338">
        <v>100</v>
      </c>
      <c r="P3338" t="s">
        <v>25</v>
      </c>
      <c r="Q3338" t="s">
        <v>26</v>
      </c>
      <c r="R3338" t="str">
        <f>IF(COUNTIF(Sheet2!B:B, A3338) &gt; 0, "Yes", "No")</f>
        <v>No</v>
      </c>
    </row>
    <row r="3339" spans="1:18" x14ac:dyDescent="0.25">
      <c r="A3339" s="3">
        <v>45643</v>
      </c>
      <c r="B3339" t="s">
        <v>405</v>
      </c>
      <c r="C3339" t="s">
        <v>105</v>
      </c>
      <c r="D3339" t="s">
        <v>20</v>
      </c>
      <c r="E3339" t="s">
        <v>67</v>
      </c>
      <c r="F3339" t="s">
        <v>43</v>
      </c>
      <c r="G3339" t="s">
        <v>90</v>
      </c>
      <c r="H3339" t="s">
        <v>174</v>
      </c>
      <c r="I3339">
        <v>0.11</v>
      </c>
      <c r="J3339">
        <f t="shared" si="156"/>
        <v>11</v>
      </c>
      <c r="K3339">
        <v>1</v>
      </c>
      <c r="L3339">
        <f t="shared" si="157"/>
        <v>10</v>
      </c>
      <c r="M3339" s="4">
        <f t="shared" si="158"/>
        <v>0.1</v>
      </c>
      <c r="N3339">
        <v>100</v>
      </c>
      <c r="O3339">
        <v>100</v>
      </c>
      <c r="P3339" t="s">
        <v>25</v>
      </c>
      <c r="Q3339" t="s">
        <v>26</v>
      </c>
      <c r="R3339" t="str">
        <f>IF(COUNTIF(Sheet2!B:B, A3339) &gt; 0, "Yes", "No")</f>
        <v>No</v>
      </c>
    </row>
    <row r="3340" spans="1:18" x14ac:dyDescent="0.25">
      <c r="A3340" s="3">
        <v>45643</v>
      </c>
      <c r="B3340" t="s">
        <v>405</v>
      </c>
      <c r="C3340" t="s">
        <v>105</v>
      </c>
      <c r="D3340" t="s">
        <v>20</v>
      </c>
      <c r="E3340" t="s">
        <v>67</v>
      </c>
      <c r="F3340" t="s">
        <v>46</v>
      </c>
      <c r="G3340" t="s">
        <v>47</v>
      </c>
      <c r="H3340" t="s">
        <v>480</v>
      </c>
      <c r="I3340">
        <v>8.5000000000000006E-2</v>
      </c>
      <c r="J3340">
        <f t="shared" si="156"/>
        <v>8.5</v>
      </c>
      <c r="K3340">
        <v>1</v>
      </c>
      <c r="L3340">
        <f t="shared" si="157"/>
        <v>7.5</v>
      </c>
      <c r="M3340" s="4">
        <f t="shared" si="158"/>
        <v>7.4999999999999997E-2</v>
      </c>
      <c r="N3340">
        <v>100</v>
      </c>
      <c r="O3340">
        <v>100</v>
      </c>
      <c r="P3340" t="s">
        <v>25</v>
      </c>
      <c r="Q3340" t="s">
        <v>26</v>
      </c>
      <c r="R3340" t="str">
        <f>IF(COUNTIF(Sheet2!B:B, A3340) &gt; 0, "Yes", "No")</f>
        <v>No</v>
      </c>
    </row>
    <row r="3341" spans="1:18" x14ac:dyDescent="0.25">
      <c r="A3341" s="3">
        <v>45643</v>
      </c>
      <c r="B3341" t="s">
        <v>405</v>
      </c>
      <c r="C3341" t="s">
        <v>105</v>
      </c>
      <c r="D3341" t="s">
        <v>20</v>
      </c>
      <c r="E3341" t="s">
        <v>67</v>
      </c>
      <c r="F3341" t="s">
        <v>49</v>
      </c>
      <c r="G3341" t="s">
        <v>50</v>
      </c>
      <c r="H3341" t="s">
        <v>49</v>
      </c>
      <c r="I3341">
        <v>0.09</v>
      </c>
      <c r="J3341">
        <f t="shared" si="156"/>
        <v>9</v>
      </c>
      <c r="K3341">
        <v>0</v>
      </c>
      <c r="L3341">
        <f t="shared" si="157"/>
        <v>9</v>
      </c>
      <c r="M3341" s="4">
        <f t="shared" si="158"/>
        <v>0.09</v>
      </c>
      <c r="N3341">
        <v>100</v>
      </c>
      <c r="O3341">
        <v>100</v>
      </c>
      <c r="P3341" t="s">
        <v>25</v>
      </c>
      <c r="Q3341" t="s">
        <v>26</v>
      </c>
      <c r="R3341" t="str">
        <f>IF(COUNTIF(Sheet2!B:B, A3341) &gt; 0, "Yes", "No")</f>
        <v>No</v>
      </c>
    </row>
    <row r="3342" spans="1:18" x14ac:dyDescent="0.25">
      <c r="A3342" s="3">
        <v>45644</v>
      </c>
      <c r="B3342" t="s">
        <v>405</v>
      </c>
      <c r="C3342" t="s">
        <v>51</v>
      </c>
      <c r="D3342" t="s">
        <v>20</v>
      </c>
      <c r="E3342" t="s">
        <v>21</v>
      </c>
      <c r="F3342" t="s">
        <v>22</v>
      </c>
      <c r="G3342" t="s">
        <v>122</v>
      </c>
      <c r="H3342" t="s">
        <v>772</v>
      </c>
      <c r="I3342">
        <v>8.5000000000000006E-2</v>
      </c>
      <c r="J3342">
        <f t="shared" si="156"/>
        <v>10.200000000000001</v>
      </c>
      <c r="K3342">
        <v>1</v>
      </c>
      <c r="L3342">
        <f t="shared" si="157"/>
        <v>9.2000000000000011</v>
      </c>
      <c r="M3342" s="4">
        <f t="shared" si="158"/>
        <v>7.6666666666666675E-2</v>
      </c>
      <c r="N3342">
        <v>120</v>
      </c>
      <c r="O3342">
        <v>120</v>
      </c>
      <c r="P3342" t="s">
        <v>25</v>
      </c>
      <c r="Q3342" t="s">
        <v>26</v>
      </c>
      <c r="R3342" t="str">
        <f>IF(COUNTIF(Sheet2!B:B, A3342) &gt; 0, "Yes", "No")</f>
        <v>No</v>
      </c>
    </row>
    <row r="3343" spans="1:18" x14ac:dyDescent="0.25">
      <c r="A3343" s="3">
        <v>45644</v>
      </c>
      <c r="B3343" t="s">
        <v>405</v>
      </c>
      <c r="C3343" t="s">
        <v>51</v>
      </c>
      <c r="D3343" t="s">
        <v>20</v>
      </c>
      <c r="E3343" t="s">
        <v>21</v>
      </c>
      <c r="F3343" t="s">
        <v>27</v>
      </c>
      <c r="G3343" t="s">
        <v>28</v>
      </c>
      <c r="H3343" t="s">
        <v>773</v>
      </c>
      <c r="I3343">
        <v>0.11</v>
      </c>
      <c r="J3343">
        <f t="shared" si="156"/>
        <v>13.2</v>
      </c>
      <c r="K3343">
        <v>1.5</v>
      </c>
      <c r="L3343">
        <f t="shared" si="157"/>
        <v>11.7</v>
      </c>
      <c r="M3343" s="4">
        <f t="shared" si="158"/>
        <v>9.7499999999999989E-2</v>
      </c>
      <c r="N3343">
        <v>120</v>
      </c>
      <c r="O3343">
        <v>120</v>
      </c>
      <c r="P3343" t="s">
        <v>25</v>
      </c>
      <c r="Q3343" t="s">
        <v>26</v>
      </c>
      <c r="R3343" t="str">
        <f>IF(COUNTIF(Sheet2!B:B, A3343) &gt; 0, "Yes", "No")</f>
        <v>No</v>
      </c>
    </row>
    <row r="3344" spans="1:18" x14ac:dyDescent="0.25">
      <c r="A3344" s="3">
        <v>45644</v>
      </c>
      <c r="B3344" t="s">
        <v>405</v>
      </c>
      <c r="C3344" t="s">
        <v>51</v>
      </c>
      <c r="D3344" t="s">
        <v>20</v>
      </c>
      <c r="E3344" t="s">
        <v>21</v>
      </c>
      <c r="F3344" t="s">
        <v>30</v>
      </c>
      <c r="G3344" t="s">
        <v>55</v>
      </c>
      <c r="H3344" t="s">
        <v>134</v>
      </c>
      <c r="I3344">
        <v>0.09</v>
      </c>
      <c r="J3344">
        <f t="shared" si="156"/>
        <v>10.799999999999999</v>
      </c>
      <c r="K3344">
        <v>0</v>
      </c>
      <c r="L3344">
        <f t="shared" si="157"/>
        <v>10.799999999999999</v>
      </c>
      <c r="M3344" s="4">
        <f t="shared" si="158"/>
        <v>0.09</v>
      </c>
      <c r="N3344">
        <v>120</v>
      </c>
      <c r="O3344">
        <v>120</v>
      </c>
      <c r="P3344" t="s">
        <v>25</v>
      </c>
      <c r="Q3344" t="s">
        <v>26</v>
      </c>
      <c r="R3344" t="str">
        <f>IF(COUNTIF(Sheet2!B:B, A3344) &gt; 0, "Yes", "No")</f>
        <v>No</v>
      </c>
    </row>
    <row r="3345" spans="1:18" x14ac:dyDescent="0.25">
      <c r="A3345" s="3">
        <v>45644</v>
      </c>
      <c r="B3345" t="s">
        <v>405</v>
      </c>
      <c r="C3345" t="s">
        <v>51</v>
      </c>
      <c r="D3345" t="s">
        <v>33</v>
      </c>
      <c r="E3345" t="s">
        <v>21</v>
      </c>
      <c r="F3345" t="s">
        <v>34</v>
      </c>
      <c r="G3345" t="s">
        <v>35</v>
      </c>
      <c r="H3345" t="s">
        <v>36</v>
      </c>
      <c r="I3345">
        <v>0.15</v>
      </c>
      <c r="J3345">
        <f t="shared" si="156"/>
        <v>12.6</v>
      </c>
      <c r="K3345">
        <v>0</v>
      </c>
      <c r="L3345">
        <f t="shared" si="157"/>
        <v>12.6</v>
      </c>
      <c r="M3345" s="4">
        <f t="shared" si="158"/>
        <v>0.15</v>
      </c>
      <c r="N3345">
        <v>84</v>
      </c>
      <c r="O3345">
        <v>84</v>
      </c>
      <c r="P3345" t="s">
        <v>25</v>
      </c>
      <c r="Q3345" t="s">
        <v>26</v>
      </c>
      <c r="R3345" t="str">
        <f>IF(COUNTIF(Sheet2!B:B, A3345) &gt; 0, "Yes", "No")</f>
        <v>No</v>
      </c>
    </row>
    <row r="3346" spans="1:18" x14ac:dyDescent="0.25">
      <c r="A3346" s="3">
        <v>45644</v>
      </c>
      <c r="B3346" t="s">
        <v>405</v>
      </c>
      <c r="C3346" t="s">
        <v>51</v>
      </c>
      <c r="D3346" t="s">
        <v>20</v>
      </c>
      <c r="E3346" t="s">
        <v>21</v>
      </c>
      <c r="F3346" t="s">
        <v>37</v>
      </c>
      <c r="G3346" t="s">
        <v>87</v>
      </c>
      <c r="H3346" t="s">
        <v>99</v>
      </c>
      <c r="I3346">
        <v>0.03</v>
      </c>
      <c r="J3346">
        <f t="shared" si="156"/>
        <v>3.5999999999999996</v>
      </c>
      <c r="K3346">
        <v>1</v>
      </c>
      <c r="L3346">
        <f t="shared" si="157"/>
        <v>2.5999999999999996</v>
      </c>
      <c r="M3346" s="4">
        <f t="shared" si="158"/>
        <v>2.1666666666666664E-2</v>
      </c>
      <c r="N3346">
        <v>120</v>
      </c>
      <c r="O3346">
        <v>120</v>
      </c>
      <c r="P3346" t="s">
        <v>25</v>
      </c>
      <c r="Q3346" t="s">
        <v>26</v>
      </c>
      <c r="R3346" t="str">
        <f>IF(COUNTIF(Sheet2!B:B, A3346) &gt; 0, "Yes", "No")</f>
        <v>No</v>
      </c>
    </row>
    <row r="3347" spans="1:18" x14ac:dyDescent="0.25">
      <c r="A3347" s="3">
        <v>45644</v>
      </c>
      <c r="B3347" t="s">
        <v>405</v>
      </c>
      <c r="C3347" t="s">
        <v>51</v>
      </c>
      <c r="D3347" t="s">
        <v>20</v>
      </c>
      <c r="E3347" t="s">
        <v>21</v>
      </c>
      <c r="F3347" t="s">
        <v>40</v>
      </c>
      <c r="G3347" t="s">
        <v>164</v>
      </c>
      <c r="H3347" t="s">
        <v>328</v>
      </c>
      <c r="I3347">
        <v>4.4999999999999998E-2</v>
      </c>
      <c r="J3347">
        <f t="shared" si="156"/>
        <v>5.3999999999999995</v>
      </c>
      <c r="K3347">
        <v>1</v>
      </c>
      <c r="L3347">
        <f t="shared" si="157"/>
        <v>4.3999999999999995</v>
      </c>
      <c r="M3347" s="4">
        <f t="shared" si="158"/>
        <v>3.666666666666666E-2</v>
      </c>
      <c r="N3347">
        <v>120</v>
      </c>
      <c r="O3347">
        <v>120</v>
      </c>
      <c r="P3347" t="s">
        <v>25</v>
      </c>
      <c r="Q3347" t="s">
        <v>26</v>
      </c>
      <c r="R3347" t="str">
        <f>IF(COUNTIF(Sheet2!B:B, A3347) &gt; 0, "Yes", "No")</f>
        <v>No</v>
      </c>
    </row>
    <row r="3348" spans="1:18" x14ac:dyDescent="0.25">
      <c r="A3348" s="3">
        <v>45644</v>
      </c>
      <c r="B3348" t="s">
        <v>405</v>
      </c>
      <c r="C3348" t="s">
        <v>51</v>
      </c>
      <c r="D3348" t="s">
        <v>20</v>
      </c>
      <c r="E3348" t="s">
        <v>21</v>
      </c>
      <c r="F3348" t="s">
        <v>43</v>
      </c>
      <c r="G3348" t="s">
        <v>44</v>
      </c>
      <c r="H3348" t="s">
        <v>371</v>
      </c>
      <c r="I3348">
        <v>0.11</v>
      </c>
      <c r="J3348">
        <f t="shared" si="156"/>
        <v>13.2</v>
      </c>
      <c r="K3348">
        <v>1</v>
      </c>
      <c r="L3348">
        <f t="shared" si="157"/>
        <v>12.2</v>
      </c>
      <c r="M3348" s="4">
        <f t="shared" si="158"/>
        <v>0.10166666666666666</v>
      </c>
      <c r="N3348">
        <v>120</v>
      </c>
      <c r="O3348">
        <v>120</v>
      </c>
      <c r="P3348" t="s">
        <v>25</v>
      </c>
      <c r="Q3348" t="s">
        <v>26</v>
      </c>
      <c r="R3348" t="str">
        <f>IF(COUNTIF(Sheet2!B:B, A3348) &gt; 0, "Yes", "No")</f>
        <v>No</v>
      </c>
    </row>
    <row r="3349" spans="1:18" x14ac:dyDescent="0.25">
      <c r="A3349" s="3">
        <v>45644</v>
      </c>
      <c r="B3349" t="s">
        <v>405</v>
      </c>
      <c r="C3349" t="s">
        <v>51</v>
      </c>
      <c r="D3349" t="s">
        <v>20</v>
      </c>
      <c r="E3349" t="s">
        <v>21</v>
      </c>
      <c r="F3349" t="s">
        <v>46</v>
      </c>
      <c r="G3349" t="s">
        <v>92</v>
      </c>
      <c r="H3349" t="s">
        <v>259</v>
      </c>
      <c r="I3349">
        <v>8.5000000000000006E-2</v>
      </c>
      <c r="J3349">
        <f t="shared" si="156"/>
        <v>10.200000000000001</v>
      </c>
      <c r="K3349">
        <v>1</v>
      </c>
      <c r="L3349">
        <f t="shared" si="157"/>
        <v>9.2000000000000011</v>
      </c>
      <c r="M3349" s="4">
        <f t="shared" si="158"/>
        <v>7.6666666666666675E-2</v>
      </c>
      <c r="N3349">
        <v>120</v>
      </c>
      <c r="O3349">
        <v>120</v>
      </c>
      <c r="P3349" t="s">
        <v>25</v>
      </c>
      <c r="Q3349" t="s">
        <v>26</v>
      </c>
      <c r="R3349" t="str">
        <f>IF(COUNTIF(Sheet2!B:B, A3349) &gt; 0, "Yes", "No")</f>
        <v>No</v>
      </c>
    </row>
    <row r="3350" spans="1:18" x14ac:dyDescent="0.25">
      <c r="A3350" s="3">
        <v>45644</v>
      </c>
      <c r="B3350" t="s">
        <v>405</v>
      </c>
      <c r="C3350" t="s">
        <v>51</v>
      </c>
      <c r="D3350" t="s">
        <v>20</v>
      </c>
      <c r="E3350" t="s">
        <v>21</v>
      </c>
      <c r="F3350" t="s">
        <v>49</v>
      </c>
      <c r="G3350" t="s">
        <v>50</v>
      </c>
      <c r="H3350" t="s">
        <v>49</v>
      </c>
      <c r="I3350">
        <v>0.09</v>
      </c>
      <c r="J3350">
        <f t="shared" si="156"/>
        <v>10.799999999999999</v>
      </c>
      <c r="K3350">
        <v>0.5</v>
      </c>
      <c r="L3350">
        <f t="shared" si="157"/>
        <v>10.299999999999999</v>
      </c>
      <c r="M3350" s="4">
        <f t="shared" si="158"/>
        <v>8.5833333333333331E-2</v>
      </c>
      <c r="N3350">
        <v>120</v>
      </c>
      <c r="O3350">
        <v>120</v>
      </c>
      <c r="P3350" t="s">
        <v>25</v>
      </c>
      <c r="Q3350" t="s">
        <v>26</v>
      </c>
      <c r="R3350" t="str">
        <f>IF(COUNTIF(Sheet2!B:B, A3350) &gt; 0, "Yes", "No")</f>
        <v>No</v>
      </c>
    </row>
    <row r="3351" spans="1:18" x14ac:dyDescent="0.25">
      <c r="A3351" s="3">
        <v>45645</v>
      </c>
      <c r="B3351" t="s">
        <v>405</v>
      </c>
      <c r="C3351" t="s">
        <v>66</v>
      </c>
      <c r="D3351" t="s">
        <v>20</v>
      </c>
      <c r="E3351" t="s">
        <v>67</v>
      </c>
      <c r="F3351" t="s">
        <v>22</v>
      </c>
      <c r="G3351" t="s">
        <v>122</v>
      </c>
      <c r="H3351" t="s">
        <v>774</v>
      </c>
      <c r="I3351">
        <v>8.5000000000000006E-2</v>
      </c>
      <c r="J3351">
        <f t="shared" si="156"/>
        <v>10.200000000000001</v>
      </c>
      <c r="K3351">
        <v>1</v>
      </c>
      <c r="L3351">
        <f t="shared" si="157"/>
        <v>9.2000000000000011</v>
      </c>
      <c r="M3351" s="4">
        <f t="shared" si="158"/>
        <v>7.6666666666666675E-2</v>
      </c>
      <c r="N3351">
        <v>120</v>
      </c>
      <c r="O3351">
        <v>120</v>
      </c>
      <c r="P3351" t="s">
        <v>25</v>
      </c>
      <c r="Q3351" t="s">
        <v>26</v>
      </c>
      <c r="R3351" t="str">
        <f>IF(COUNTIF(Sheet2!B:B, A3351) &gt; 0, "Yes", "No")</f>
        <v>No</v>
      </c>
    </row>
    <row r="3352" spans="1:18" x14ac:dyDescent="0.25">
      <c r="A3352" s="3">
        <v>45645</v>
      </c>
      <c r="B3352" t="s">
        <v>405</v>
      </c>
      <c r="C3352" t="s">
        <v>66</v>
      </c>
      <c r="D3352" t="s">
        <v>20</v>
      </c>
      <c r="E3352" t="s">
        <v>67</v>
      </c>
      <c r="F3352" t="s">
        <v>27</v>
      </c>
      <c r="G3352" t="s">
        <v>304</v>
      </c>
      <c r="H3352" t="s">
        <v>595</v>
      </c>
      <c r="I3352">
        <v>0.12</v>
      </c>
      <c r="J3352">
        <f t="shared" si="156"/>
        <v>14.399999999999999</v>
      </c>
      <c r="K3352">
        <v>0</v>
      </c>
      <c r="L3352">
        <f t="shared" si="157"/>
        <v>14.399999999999999</v>
      </c>
      <c r="M3352" s="4">
        <f t="shared" si="158"/>
        <v>0.11999999999999998</v>
      </c>
      <c r="N3352">
        <v>120</v>
      </c>
      <c r="O3352">
        <v>120</v>
      </c>
      <c r="P3352" t="s">
        <v>25</v>
      </c>
      <c r="Q3352" t="s">
        <v>26</v>
      </c>
      <c r="R3352" t="str">
        <f>IF(COUNTIF(Sheet2!B:B, A3352) &gt; 0, "Yes", "No")</f>
        <v>No</v>
      </c>
    </row>
    <row r="3353" spans="1:18" x14ac:dyDescent="0.25">
      <c r="A3353" s="3">
        <v>45645</v>
      </c>
      <c r="B3353" t="s">
        <v>405</v>
      </c>
      <c r="C3353" t="s">
        <v>66</v>
      </c>
      <c r="D3353" t="s">
        <v>20</v>
      </c>
      <c r="E3353" t="s">
        <v>67</v>
      </c>
      <c r="F3353" t="s">
        <v>30</v>
      </c>
      <c r="G3353" t="s">
        <v>354</v>
      </c>
      <c r="H3353" t="s">
        <v>775</v>
      </c>
      <c r="I3353">
        <v>0.09</v>
      </c>
      <c r="J3353">
        <f t="shared" si="156"/>
        <v>10.799999999999999</v>
      </c>
      <c r="K3353">
        <v>1</v>
      </c>
      <c r="L3353">
        <f t="shared" si="157"/>
        <v>9.7999999999999989</v>
      </c>
      <c r="M3353" s="4">
        <f t="shared" si="158"/>
        <v>8.1666666666666651E-2</v>
      </c>
      <c r="N3353">
        <v>120</v>
      </c>
      <c r="O3353">
        <v>120</v>
      </c>
      <c r="P3353" t="s">
        <v>25</v>
      </c>
      <c r="Q3353" t="s">
        <v>26</v>
      </c>
      <c r="R3353" t="str">
        <f>IF(COUNTIF(Sheet2!B:B, A3353) &gt; 0, "Yes", "No")</f>
        <v>No</v>
      </c>
    </row>
    <row r="3354" spans="1:18" x14ac:dyDescent="0.25">
      <c r="A3354" s="3">
        <v>45645</v>
      </c>
      <c r="B3354" t="s">
        <v>405</v>
      </c>
      <c r="C3354" t="s">
        <v>66</v>
      </c>
      <c r="D3354" t="s">
        <v>20</v>
      </c>
      <c r="E3354" t="s">
        <v>67</v>
      </c>
      <c r="F3354" t="s">
        <v>37</v>
      </c>
      <c r="G3354" t="s">
        <v>87</v>
      </c>
      <c r="H3354" t="s">
        <v>136</v>
      </c>
      <c r="I3354">
        <v>3.5000000000000003E-2</v>
      </c>
      <c r="J3354">
        <f t="shared" si="156"/>
        <v>4.2</v>
      </c>
      <c r="K3354">
        <v>1</v>
      </c>
      <c r="L3354">
        <f t="shared" si="157"/>
        <v>3.2</v>
      </c>
      <c r="M3354" s="4">
        <f t="shared" si="158"/>
        <v>2.6666666666666668E-2</v>
      </c>
      <c r="N3354">
        <v>120</v>
      </c>
      <c r="O3354">
        <v>120</v>
      </c>
      <c r="P3354" t="s">
        <v>25</v>
      </c>
      <c r="Q3354" t="s">
        <v>26</v>
      </c>
      <c r="R3354" t="str">
        <f>IF(COUNTIF(Sheet2!B:B, A3354) &gt; 0, "Yes", "No")</f>
        <v>No</v>
      </c>
    </row>
    <row r="3355" spans="1:18" x14ac:dyDescent="0.25">
      <c r="A3355" s="3">
        <v>45645</v>
      </c>
      <c r="B3355" t="s">
        <v>405</v>
      </c>
      <c r="C3355" t="s">
        <v>66</v>
      </c>
      <c r="D3355" t="s">
        <v>20</v>
      </c>
      <c r="E3355" t="s">
        <v>67</v>
      </c>
      <c r="F3355" t="s">
        <v>40</v>
      </c>
      <c r="G3355" t="s">
        <v>137</v>
      </c>
      <c r="H3355" t="s">
        <v>753</v>
      </c>
      <c r="I3355">
        <v>0.05</v>
      </c>
      <c r="J3355">
        <f t="shared" si="156"/>
        <v>6</v>
      </c>
      <c r="K3355">
        <v>2</v>
      </c>
      <c r="L3355">
        <f t="shared" si="157"/>
        <v>4</v>
      </c>
      <c r="M3355" s="4">
        <f t="shared" si="158"/>
        <v>3.3333333333333333E-2</v>
      </c>
      <c r="N3355">
        <v>120</v>
      </c>
      <c r="O3355">
        <v>120</v>
      </c>
      <c r="P3355" t="s">
        <v>25</v>
      </c>
      <c r="Q3355" t="s">
        <v>26</v>
      </c>
      <c r="R3355" t="str">
        <f>IF(COUNTIF(Sheet2!B:B, A3355) &gt; 0, "Yes", "No")</f>
        <v>No</v>
      </c>
    </row>
    <row r="3356" spans="1:18" x14ac:dyDescent="0.25">
      <c r="A3356" s="3">
        <v>45645</v>
      </c>
      <c r="B3356" t="s">
        <v>405</v>
      </c>
      <c r="C3356" t="s">
        <v>66</v>
      </c>
      <c r="D3356" t="s">
        <v>20</v>
      </c>
      <c r="E3356" t="s">
        <v>67</v>
      </c>
      <c r="F3356" t="s">
        <v>43</v>
      </c>
      <c r="G3356" t="s">
        <v>90</v>
      </c>
      <c r="H3356" t="s">
        <v>543</v>
      </c>
      <c r="I3356">
        <v>0.11</v>
      </c>
      <c r="J3356">
        <f t="shared" si="156"/>
        <v>13.2</v>
      </c>
      <c r="K3356">
        <v>1</v>
      </c>
      <c r="L3356">
        <f t="shared" si="157"/>
        <v>12.2</v>
      </c>
      <c r="M3356" s="4">
        <f t="shared" si="158"/>
        <v>0.10166666666666666</v>
      </c>
      <c r="N3356">
        <v>120</v>
      </c>
      <c r="O3356">
        <v>120</v>
      </c>
      <c r="P3356" t="s">
        <v>25</v>
      </c>
      <c r="Q3356" t="s">
        <v>26</v>
      </c>
      <c r="R3356" t="str">
        <f>IF(COUNTIF(Sheet2!B:B, A3356) &gt; 0, "Yes", "No")</f>
        <v>No</v>
      </c>
    </row>
    <row r="3357" spans="1:18" x14ac:dyDescent="0.25">
      <c r="A3357" s="3">
        <v>45645</v>
      </c>
      <c r="B3357" t="s">
        <v>405</v>
      </c>
      <c r="C3357" t="s">
        <v>66</v>
      </c>
      <c r="D3357" t="s">
        <v>20</v>
      </c>
      <c r="E3357" t="s">
        <v>67</v>
      </c>
      <c r="F3357" t="s">
        <v>46</v>
      </c>
      <c r="G3357" t="s">
        <v>103</v>
      </c>
      <c r="H3357" t="s">
        <v>610</v>
      </c>
      <c r="I3357">
        <v>0.09</v>
      </c>
      <c r="J3357">
        <f t="shared" si="156"/>
        <v>10.799999999999999</v>
      </c>
      <c r="K3357">
        <v>0</v>
      </c>
      <c r="L3357">
        <f t="shared" si="157"/>
        <v>10.799999999999999</v>
      </c>
      <c r="M3357" s="4">
        <f t="shared" si="158"/>
        <v>0.09</v>
      </c>
      <c r="N3357">
        <v>120</v>
      </c>
      <c r="O3357">
        <v>120</v>
      </c>
      <c r="P3357" t="s">
        <v>25</v>
      </c>
      <c r="Q3357" t="s">
        <v>26</v>
      </c>
      <c r="R3357" t="str">
        <f>IF(COUNTIF(Sheet2!B:B, A3357) &gt; 0, "Yes", "No")</f>
        <v>No</v>
      </c>
    </row>
    <row r="3358" spans="1:18" x14ac:dyDescent="0.25">
      <c r="A3358" s="3">
        <v>45645</v>
      </c>
      <c r="B3358" t="s">
        <v>405</v>
      </c>
      <c r="C3358" t="s">
        <v>66</v>
      </c>
      <c r="D3358" t="s">
        <v>20</v>
      </c>
      <c r="E3358" t="s">
        <v>67</v>
      </c>
      <c r="F3358" t="s">
        <v>49</v>
      </c>
      <c r="G3358" t="s">
        <v>50</v>
      </c>
      <c r="H3358" t="s">
        <v>49</v>
      </c>
      <c r="I3358">
        <v>0.09</v>
      </c>
      <c r="J3358">
        <f t="shared" si="156"/>
        <v>10.799999999999999</v>
      </c>
      <c r="K3358">
        <v>0</v>
      </c>
      <c r="L3358">
        <f t="shared" si="157"/>
        <v>10.799999999999999</v>
      </c>
      <c r="M3358" s="4">
        <f t="shared" si="158"/>
        <v>0.09</v>
      </c>
      <c r="N3358">
        <v>120</v>
      </c>
      <c r="O3358">
        <v>120</v>
      </c>
      <c r="P3358" t="s">
        <v>25</v>
      </c>
      <c r="Q3358" t="s">
        <v>26</v>
      </c>
      <c r="R3358" t="str">
        <f>IF(COUNTIF(Sheet2!B:B, A3358) &gt; 0, "Yes", "No")</f>
        <v>No</v>
      </c>
    </row>
    <row r="3359" spans="1:18" x14ac:dyDescent="0.25">
      <c r="A3359" s="3">
        <v>45649</v>
      </c>
      <c r="B3359" t="s">
        <v>405</v>
      </c>
      <c r="C3359" t="s">
        <v>19</v>
      </c>
      <c r="D3359" t="s">
        <v>20</v>
      </c>
      <c r="E3359" t="s">
        <v>21</v>
      </c>
      <c r="F3359" t="s">
        <v>22</v>
      </c>
      <c r="G3359" t="s">
        <v>52</v>
      </c>
      <c r="H3359" t="s">
        <v>776</v>
      </c>
      <c r="I3359">
        <v>8.5000000000000006E-2</v>
      </c>
      <c r="J3359">
        <f t="shared" si="156"/>
        <v>34</v>
      </c>
      <c r="K3359">
        <v>0</v>
      </c>
      <c r="L3359">
        <f t="shared" si="157"/>
        <v>34</v>
      </c>
      <c r="M3359" s="4">
        <f t="shared" si="158"/>
        <v>8.5000000000000006E-2</v>
      </c>
      <c r="N3359">
        <v>400</v>
      </c>
      <c r="O3359">
        <v>400</v>
      </c>
      <c r="P3359" t="s">
        <v>25</v>
      </c>
      <c r="Q3359" t="s">
        <v>26</v>
      </c>
      <c r="R3359" t="str">
        <f>IF(COUNTIF(Sheet2!B:B, A3359) &gt; 0, "Yes", "No")</f>
        <v>No</v>
      </c>
    </row>
    <row r="3360" spans="1:18" x14ac:dyDescent="0.25">
      <c r="A3360" s="3">
        <v>45649</v>
      </c>
      <c r="B3360" t="s">
        <v>405</v>
      </c>
      <c r="C3360" t="s">
        <v>19</v>
      </c>
      <c r="D3360" t="s">
        <v>20</v>
      </c>
      <c r="E3360" t="s">
        <v>21</v>
      </c>
      <c r="F3360" t="s">
        <v>27</v>
      </c>
      <c r="G3360" t="s">
        <v>304</v>
      </c>
      <c r="H3360" t="s">
        <v>777</v>
      </c>
      <c r="I3360">
        <v>0.12</v>
      </c>
      <c r="J3360">
        <f t="shared" si="156"/>
        <v>48</v>
      </c>
      <c r="K3360">
        <v>1</v>
      </c>
      <c r="L3360">
        <f t="shared" si="157"/>
        <v>47</v>
      </c>
      <c r="M3360" s="4">
        <f t="shared" si="158"/>
        <v>0.11749999999999999</v>
      </c>
      <c r="N3360">
        <v>400</v>
      </c>
      <c r="O3360">
        <v>400</v>
      </c>
      <c r="P3360" t="s">
        <v>25</v>
      </c>
      <c r="Q3360" t="s">
        <v>26</v>
      </c>
      <c r="R3360" t="str">
        <f>IF(COUNTIF(Sheet2!B:B, A3360) &gt; 0, "Yes", "No")</f>
        <v>No</v>
      </c>
    </row>
    <row r="3361" spans="1:18" x14ac:dyDescent="0.25">
      <c r="A3361" s="3">
        <v>45649</v>
      </c>
      <c r="B3361" t="s">
        <v>405</v>
      </c>
      <c r="C3361" t="s">
        <v>19</v>
      </c>
      <c r="D3361" t="s">
        <v>20</v>
      </c>
      <c r="E3361" t="s">
        <v>21</v>
      </c>
      <c r="F3361" t="s">
        <v>30</v>
      </c>
      <c r="G3361" t="s">
        <v>55</v>
      </c>
      <c r="H3361" t="s">
        <v>83</v>
      </c>
      <c r="I3361">
        <v>0.09</v>
      </c>
      <c r="J3361">
        <f t="shared" si="156"/>
        <v>36</v>
      </c>
      <c r="K3361">
        <v>0</v>
      </c>
      <c r="L3361">
        <f t="shared" si="157"/>
        <v>36</v>
      </c>
      <c r="M3361" s="4">
        <f t="shared" si="158"/>
        <v>0.09</v>
      </c>
      <c r="N3361">
        <v>400</v>
      </c>
      <c r="O3361">
        <v>400</v>
      </c>
      <c r="P3361" t="s">
        <v>25</v>
      </c>
      <c r="Q3361" t="s">
        <v>26</v>
      </c>
      <c r="R3361" t="str">
        <f>IF(COUNTIF(Sheet2!B:B, A3361) &gt; 0, "Yes", "No")</f>
        <v>No</v>
      </c>
    </row>
    <row r="3362" spans="1:18" x14ac:dyDescent="0.25">
      <c r="A3362" s="3">
        <v>45649</v>
      </c>
      <c r="B3362" t="s">
        <v>405</v>
      </c>
      <c r="C3362" t="s">
        <v>19</v>
      </c>
      <c r="D3362" t="s">
        <v>33</v>
      </c>
      <c r="E3362" t="s">
        <v>21</v>
      </c>
      <c r="F3362" t="s">
        <v>34</v>
      </c>
      <c r="G3362" t="s">
        <v>57</v>
      </c>
      <c r="H3362" t="s">
        <v>778</v>
      </c>
      <c r="I3362">
        <v>0.15</v>
      </c>
      <c r="J3362">
        <f t="shared" si="156"/>
        <v>42</v>
      </c>
      <c r="K3362">
        <v>0</v>
      </c>
      <c r="L3362">
        <f t="shared" si="157"/>
        <v>42</v>
      </c>
      <c r="M3362" s="4">
        <f t="shared" si="158"/>
        <v>0.15</v>
      </c>
      <c r="N3362">
        <v>280</v>
      </c>
      <c r="O3362">
        <v>280</v>
      </c>
      <c r="P3362" t="s">
        <v>25</v>
      </c>
      <c r="Q3362" t="s">
        <v>26</v>
      </c>
      <c r="R3362" t="str">
        <f>IF(COUNTIF(Sheet2!B:B, A3362) &gt; 0, "Yes", "No")</f>
        <v>No</v>
      </c>
    </row>
    <row r="3363" spans="1:18" x14ac:dyDescent="0.25">
      <c r="A3363" s="3">
        <v>45649</v>
      </c>
      <c r="B3363" t="s">
        <v>405</v>
      </c>
      <c r="C3363" t="s">
        <v>19</v>
      </c>
      <c r="D3363" t="s">
        <v>20</v>
      </c>
      <c r="E3363" t="s">
        <v>21</v>
      </c>
      <c r="F3363" t="s">
        <v>37</v>
      </c>
      <c r="G3363" t="s">
        <v>59</v>
      </c>
      <c r="H3363" t="s">
        <v>779</v>
      </c>
      <c r="I3363">
        <v>0.03</v>
      </c>
      <c r="J3363">
        <f t="shared" si="156"/>
        <v>12</v>
      </c>
      <c r="K3363">
        <v>0</v>
      </c>
      <c r="L3363">
        <f t="shared" si="157"/>
        <v>12</v>
      </c>
      <c r="M3363" s="4">
        <f t="shared" si="158"/>
        <v>0.03</v>
      </c>
      <c r="N3363">
        <v>400</v>
      </c>
      <c r="O3363">
        <v>400</v>
      </c>
      <c r="P3363" t="s">
        <v>25</v>
      </c>
      <c r="Q3363" t="s">
        <v>26</v>
      </c>
      <c r="R3363" t="str">
        <f>IF(COUNTIF(Sheet2!B:B, A3363) &gt; 0, "Yes", "No")</f>
        <v>No</v>
      </c>
    </row>
    <row r="3364" spans="1:18" x14ac:dyDescent="0.25">
      <c r="A3364" s="3">
        <v>45649</v>
      </c>
      <c r="B3364" t="s">
        <v>405</v>
      </c>
      <c r="C3364" t="s">
        <v>19</v>
      </c>
      <c r="D3364" t="s">
        <v>20</v>
      </c>
      <c r="E3364" t="s">
        <v>21</v>
      </c>
      <c r="F3364" t="s">
        <v>40</v>
      </c>
      <c r="G3364" t="s">
        <v>127</v>
      </c>
      <c r="H3364" t="s">
        <v>127</v>
      </c>
      <c r="I3364">
        <v>4.4999999999999998E-2</v>
      </c>
      <c r="J3364">
        <f t="shared" si="156"/>
        <v>18</v>
      </c>
      <c r="K3364">
        <v>0</v>
      </c>
      <c r="L3364">
        <f t="shared" si="157"/>
        <v>18</v>
      </c>
      <c r="M3364" s="4">
        <f t="shared" si="158"/>
        <v>4.4999999999999998E-2</v>
      </c>
      <c r="N3364">
        <v>400</v>
      </c>
      <c r="O3364">
        <v>400</v>
      </c>
      <c r="P3364" t="s">
        <v>25</v>
      </c>
      <c r="Q3364" t="s">
        <v>26</v>
      </c>
      <c r="R3364" t="str">
        <f>IF(COUNTIF(Sheet2!B:B, A3364) &gt; 0, "Yes", "No")</f>
        <v>No</v>
      </c>
    </row>
    <row r="3365" spans="1:18" x14ac:dyDescent="0.25">
      <c r="A3365" s="3">
        <v>45649</v>
      </c>
      <c r="B3365" t="s">
        <v>405</v>
      </c>
      <c r="C3365" t="s">
        <v>19</v>
      </c>
      <c r="D3365" t="s">
        <v>20</v>
      </c>
      <c r="E3365" t="s">
        <v>21</v>
      </c>
      <c r="F3365" t="s">
        <v>43</v>
      </c>
      <c r="G3365" t="s">
        <v>44</v>
      </c>
      <c r="H3365" t="s">
        <v>264</v>
      </c>
      <c r="I3365">
        <v>0.11</v>
      </c>
      <c r="J3365">
        <f t="shared" si="156"/>
        <v>44</v>
      </c>
      <c r="K3365">
        <v>0</v>
      </c>
      <c r="L3365">
        <f t="shared" si="157"/>
        <v>44</v>
      </c>
      <c r="M3365" s="4">
        <f t="shared" si="158"/>
        <v>0.11</v>
      </c>
      <c r="N3365">
        <v>400</v>
      </c>
      <c r="O3365">
        <v>400</v>
      </c>
      <c r="P3365" t="s">
        <v>25</v>
      </c>
      <c r="Q3365" t="s">
        <v>26</v>
      </c>
      <c r="R3365" t="str">
        <f>IF(COUNTIF(Sheet2!B:B, A3365) &gt; 0, "Yes", "No")</f>
        <v>No</v>
      </c>
    </row>
    <row r="3366" spans="1:18" x14ac:dyDescent="0.25">
      <c r="A3366" s="3">
        <v>45649</v>
      </c>
      <c r="B3366" t="s">
        <v>405</v>
      </c>
      <c r="C3366" t="s">
        <v>19</v>
      </c>
      <c r="D3366" t="s">
        <v>20</v>
      </c>
      <c r="E3366" t="s">
        <v>21</v>
      </c>
      <c r="F3366" t="s">
        <v>46</v>
      </c>
      <c r="G3366" t="s">
        <v>47</v>
      </c>
      <c r="H3366" t="s">
        <v>48</v>
      </c>
      <c r="I3366">
        <v>8.5000000000000006E-2</v>
      </c>
      <c r="J3366">
        <f t="shared" si="156"/>
        <v>34</v>
      </c>
      <c r="K3366">
        <v>1</v>
      </c>
      <c r="L3366">
        <f t="shared" si="157"/>
        <v>33</v>
      </c>
      <c r="M3366" s="4">
        <f t="shared" si="158"/>
        <v>8.2500000000000004E-2</v>
      </c>
      <c r="N3366">
        <v>400</v>
      </c>
      <c r="O3366">
        <v>400</v>
      </c>
      <c r="P3366" t="s">
        <v>25</v>
      </c>
      <c r="Q3366" t="s">
        <v>26</v>
      </c>
      <c r="R3366" t="str">
        <f>IF(COUNTIF(Sheet2!B:B, A3366) &gt; 0, "Yes", "No")</f>
        <v>No</v>
      </c>
    </row>
    <row r="3367" spans="1:18" x14ac:dyDescent="0.25">
      <c r="A3367" s="3">
        <v>45649</v>
      </c>
      <c r="B3367" t="s">
        <v>405</v>
      </c>
      <c r="C3367" t="s">
        <v>19</v>
      </c>
      <c r="D3367" t="s">
        <v>20</v>
      </c>
      <c r="E3367" t="s">
        <v>21</v>
      </c>
      <c r="F3367" t="s">
        <v>49</v>
      </c>
      <c r="G3367" t="s">
        <v>50</v>
      </c>
      <c r="H3367" t="s">
        <v>49</v>
      </c>
      <c r="I3367">
        <v>0.09</v>
      </c>
      <c r="J3367">
        <f t="shared" si="156"/>
        <v>36</v>
      </c>
      <c r="K3367">
        <v>0</v>
      </c>
      <c r="L3367">
        <f t="shared" si="157"/>
        <v>36</v>
      </c>
      <c r="M3367" s="4">
        <f t="shared" si="158"/>
        <v>0.09</v>
      </c>
      <c r="N3367">
        <v>400</v>
      </c>
      <c r="O3367">
        <v>400</v>
      </c>
      <c r="P3367" t="s">
        <v>25</v>
      </c>
      <c r="Q3367" t="s">
        <v>26</v>
      </c>
      <c r="R3367" t="str">
        <f>IF(COUNTIF(Sheet2!B:B, A3367) &gt; 0, "Yes", "No")</f>
        <v>No</v>
      </c>
    </row>
    <row r="3368" spans="1:18" x14ac:dyDescent="0.25">
      <c r="A3368" s="3">
        <v>45650</v>
      </c>
      <c r="B3368" t="s">
        <v>405</v>
      </c>
      <c r="C3368" t="s">
        <v>105</v>
      </c>
      <c r="D3368" t="s">
        <v>20</v>
      </c>
      <c r="E3368" t="s">
        <v>67</v>
      </c>
      <c r="F3368" t="s">
        <v>22</v>
      </c>
      <c r="G3368" t="s">
        <v>122</v>
      </c>
      <c r="H3368" t="s">
        <v>655</v>
      </c>
      <c r="I3368">
        <v>8.5000000000000006E-2</v>
      </c>
      <c r="J3368">
        <f t="shared" si="156"/>
        <v>34</v>
      </c>
      <c r="K3368">
        <v>1</v>
      </c>
      <c r="L3368">
        <f t="shared" si="157"/>
        <v>33</v>
      </c>
      <c r="M3368" s="4">
        <f t="shared" si="158"/>
        <v>8.2500000000000004E-2</v>
      </c>
      <c r="N3368">
        <v>400</v>
      </c>
      <c r="O3368">
        <v>400</v>
      </c>
      <c r="P3368" t="s">
        <v>283</v>
      </c>
      <c r="Q3368" t="s">
        <v>284</v>
      </c>
      <c r="R3368" t="str">
        <f>IF(COUNTIF(Sheet2!B:B, A3368) &gt; 0, "Yes", "No")</f>
        <v>No</v>
      </c>
    </row>
    <row r="3369" spans="1:18" x14ac:dyDescent="0.25">
      <c r="A3369" s="3">
        <v>45650</v>
      </c>
      <c r="B3369" t="s">
        <v>405</v>
      </c>
      <c r="C3369" t="s">
        <v>105</v>
      </c>
      <c r="D3369" t="s">
        <v>20</v>
      </c>
      <c r="E3369" t="s">
        <v>67</v>
      </c>
      <c r="F3369" t="s">
        <v>27</v>
      </c>
      <c r="G3369" t="s">
        <v>304</v>
      </c>
      <c r="H3369" t="s">
        <v>601</v>
      </c>
      <c r="I3369">
        <v>0.12</v>
      </c>
      <c r="J3369">
        <f t="shared" si="156"/>
        <v>48</v>
      </c>
      <c r="K3369">
        <v>1</v>
      </c>
      <c r="L3369">
        <f t="shared" si="157"/>
        <v>47</v>
      </c>
      <c r="M3369" s="4">
        <f t="shared" si="158"/>
        <v>0.11749999999999999</v>
      </c>
      <c r="N3369">
        <v>400</v>
      </c>
      <c r="O3369">
        <v>400</v>
      </c>
      <c r="P3369" t="s">
        <v>283</v>
      </c>
      <c r="Q3369" t="s">
        <v>284</v>
      </c>
      <c r="R3369" t="str">
        <f>IF(COUNTIF(Sheet2!B:B, A3369) &gt; 0, "Yes", "No")</f>
        <v>No</v>
      </c>
    </row>
    <row r="3370" spans="1:18" x14ac:dyDescent="0.25">
      <c r="A3370" s="3">
        <v>45650</v>
      </c>
      <c r="B3370" t="s">
        <v>405</v>
      </c>
      <c r="C3370" t="s">
        <v>105</v>
      </c>
      <c r="D3370" t="s">
        <v>20</v>
      </c>
      <c r="E3370" t="s">
        <v>67</v>
      </c>
      <c r="F3370" t="s">
        <v>30</v>
      </c>
      <c r="G3370" t="s">
        <v>55</v>
      </c>
      <c r="H3370" t="s">
        <v>97</v>
      </c>
      <c r="I3370">
        <v>0.09</v>
      </c>
      <c r="J3370">
        <f t="shared" si="156"/>
        <v>36</v>
      </c>
      <c r="K3370">
        <v>0</v>
      </c>
      <c r="L3370">
        <f t="shared" si="157"/>
        <v>36</v>
      </c>
      <c r="M3370" s="4">
        <f t="shared" si="158"/>
        <v>0.09</v>
      </c>
      <c r="N3370">
        <v>400</v>
      </c>
      <c r="O3370">
        <v>400</v>
      </c>
      <c r="P3370" t="s">
        <v>283</v>
      </c>
      <c r="Q3370" t="s">
        <v>284</v>
      </c>
      <c r="R3370" t="str">
        <f>IF(COUNTIF(Sheet2!B:B, A3370) &gt; 0, "Yes", "No")</f>
        <v>No</v>
      </c>
    </row>
    <row r="3371" spans="1:18" x14ac:dyDescent="0.25">
      <c r="A3371" s="3">
        <v>45650</v>
      </c>
      <c r="B3371" t="s">
        <v>405</v>
      </c>
      <c r="C3371" t="s">
        <v>105</v>
      </c>
      <c r="D3371" t="s">
        <v>20</v>
      </c>
      <c r="E3371" t="s">
        <v>67</v>
      </c>
      <c r="F3371" t="s">
        <v>37</v>
      </c>
      <c r="G3371" t="s">
        <v>87</v>
      </c>
      <c r="H3371" t="s">
        <v>136</v>
      </c>
      <c r="I3371">
        <v>3.5000000000000003E-2</v>
      </c>
      <c r="J3371">
        <f t="shared" si="156"/>
        <v>14.000000000000002</v>
      </c>
      <c r="K3371">
        <v>1</v>
      </c>
      <c r="L3371">
        <f t="shared" si="157"/>
        <v>13.000000000000002</v>
      </c>
      <c r="M3371" s="4">
        <f t="shared" si="158"/>
        <v>3.2500000000000001E-2</v>
      </c>
      <c r="N3371">
        <v>400</v>
      </c>
      <c r="O3371">
        <v>400</v>
      </c>
      <c r="P3371" t="s">
        <v>283</v>
      </c>
      <c r="Q3371" t="s">
        <v>284</v>
      </c>
      <c r="R3371" t="str">
        <f>IF(COUNTIF(Sheet2!B:B, A3371) &gt; 0, "Yes", "No")</f>
        <v>No</v>
      </c>
    </row>
    <row r="3372" spans="1:18" x14ac:dyDescent="0.25">
      <c r="A3372" s="3">
        <v>45650</v>
      </c>
      <c r="B3372" t="s">
        <v>405</v>
      </c>
      <c r="C3372" t="s">
        <v>105</v>
      </c>
      <c r="D3372" t="s">
        <v>20</v>
      </c>
      <c r="E3372" t="s">
        <v>67</v>
      </c>
      <c r="F3372" t="s">
        <v>40</v>
      </c>
      <c r="G3372" t="s">
        <v>127</v>
      </c>
      <c r="H3372" t="s">
        <v>358</v>
      </c>
      <c r="I3372">
        <v>0.05</v>
      </c>
      <c r="J3372">
        <f t="shared" si="156"/>
        <v>20</v>
      </c>
      <c r="K3372">
        <v>1</v>
      </c>
      <c r="L3372">
        <f t="shared" si="157"/>
        <v>19</v>
      </c>
      <c r="M3372" s="4">
        <f t="shared" si="158"/>
        <v>4.7500000000000001E-2</v>
      </c>
      <c r="N3372">
        <v>400</v>
      </c>
      <c r="O3372">
        <v>400</v>
      </c>
      <c r="P3372" t="s">
        <v>283</v>
      </c>
      <c r="Q3372" t="s">
        <v>284</v>
      </c>
      <c r="R3372" t="str">
        <f>IF(COUNTIF(Sheet2!B:B, A3372) &gt; 0, "Yes", "No")</f>
        <v>No</v>
      </c>
    </row>
    <row r="3373" spans="1:18" x14ac:dyDescent="0.25">
      <c r="A3373" s="3">
        <v>45650</v>
      </c>
      <c r="B3373" t="s">
        <v>405</v>
      </c>
      <c r="C3373" t="s">
        <v>105</v>
      </c>
      <c r="D3373" t="s">
        <v>20</v>
      </c>
      <c r="E3373" t="s">
        <v>67</v>
      </c>
      <c r="F3373" t="s">
        <v>43</v>
      </c>
      <c r="G3373" t="s">
        <v>111</v>
      </c>
      <c r="H3373" t="s">
        <v>267</v>
      </c>
      <c r="I3373">
        <v>0.11</v>
      </c>
      <c r="J3373">
        <f t="shared" si="156"/>
        <v>44</v>
      </c>
      <c r="K3373">
        <v>1</v>
      </c>
      <c r="L3373">
        <f t="shared" si="157"/>
        <v>43</v>
      </c>
      <c r="M3373" s="4">
        <f t="shared" si="158"/>
        <v>0.1075</v>
      </c>
      <c r="N3373">
        <v>400</v>
      </c>
      <c r="O3373">
        <v>400</v>
      </c>
      <c r="P3373" t="s">
        <v>283</v>
      </c>
      <c r="Q3373" t="s">
        <v>284</v>
      </c>
      <c r="R3373" t="str">
        <f>IF(COUNTIF(Sheet2!B:B, A3373) &gt; 0, "Yes", "No")</f>
        <v>No</v>
      </c>
    </row>
    <row r="3374" spans="1:18" x14ac:dyDescent="0.25">
      <c r="A3374" s="3">
        <v>45650</v>
      </c>
      <c r="B3374" t="s">
        <v>405</v>
      </c>
      <c r="C3374" t="s">
        <v>105</v>
      </c>
      <c r="D3374" t="s">
        <v>20</v>
      </c>
      <c r="E3374" t="s">
        <v>67</v>
      </c>
      <c r="F3374" t="s">
        <v>46</v>
      </c>
      <c r="G3374" t="s">
        <v>103</v>
      </c>
      <c r="H3374" t="s">
        <v>420</v>
      </c>
      <c r="I3374">
        <v>0.09</v>
      </c>
      <c r="J3374">
        <f t="shared" si="156"/>
        <v>36</v>
      </c>
      <c r="K3374">
        <v>1</v>
      </c>
      <c r="L3374">
        <f t="shared" si="157"/>
        <v>35</v>
      </c>
      <c r="M3374" s="4">
        <f t="shared" si="158"/>
        <v>8.7499999999999994E-2</v>
      </c>
      <c r="N3374">
        <v>400</v>
      </c>
      <c r="O3374">
        <v>400</v>
      </c>
      <c r="P3374" t="s">
        <v>283</v>
      </c>
      <c r="Q3374" t="s">
        <v>284</v>
      </c>
      <c r="R3374" t="str">
        <f>IF(COUNTIF(Sheet2!B:B, A3374) &gt; 0, "Yes", "No")</f>
        <v>No</v>
      </c>
    </row>
    <row r="3375" spans="1:18" x14ac:dyDescent="0.25">
      <c r="A3375" s="3">
        <v>45650</v>
      </c>
      <c r="B3375" t="s">
        <v>405</v>
      </c>
      <c r="C3375" t="s">
        <v>105</v>
      </c>
      <c r="D3375" t="s">
        <v>20</v>
      </c>
      <c r="E3375" t="s">
        <v>67</v>
      </c>
      <c r="F3375" t="s">
        <v>49</v>
      </c>
      <c r="G3375" t="s">
        <v>50</v>
      </c>
      <c r="H3375" t="s">
        <v>49</v>
      </c>
      <c r="I3375">
        <v>0.09</v>
      </c>
      <c r="J3375">
        <f t="shared" si="156"/>
        <v>36</v>
      </c>
      <c r="K3375">
        <v>1</v>
      </c>
      <c r="L3375">
        <f t="shared" si="157"/>
        <v>35</v>
      </c>
      <c r="M3375" s="4">
        <f t="shared" si="158"/>
        <v>8.7499999999999994E-2</v>
      </c>
      <c r="N3375">
        <v>400</v>
      </c>
      <c r="O3375">
        <v>400</v>
      </c>
      <c r="P3375" t="s">
        <v>283</v>
      </c>
      <c r="Q3375" t="s">
        <v>284</v>
      </c>
      <c r="R3375" t="str">
        <f>IF(COUNTIF(Sheet2!B:B, A3375) &gt; 0, "Yes", "No")</f>
        <v>No</v>
      </c>
    </row>
  </sheetData>
  <autoFilter ref="A1:R3375" xr:uid="{4A31B08F-4D9D-4DB2-AB8B-2A901BD052CD}"/>
  <pageMargins left="0.7" right="0.7" top="0.75" bottom="0.75" header="0.3" footer="0.3"/>
  <pageSetup orientation="portrait" r:id="rId1"/>
  <headerFooter>
    <oddFooter>&amp;C_x000D_&amp;1#&amp;"Calibri"&amp;9&amp;K000000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A9588-AADE-4605-87FE-C40B900C84A8}">
  <dimension ref="A1:B73"/>
  <sheetViews>
    <sheetView tabSelected="1" workbookViewId="0">
      <selection activeCell="C1" sqref="C1"/>
    </sheetView>
  </sheetViews>
  <sheetFormatPr defaultRowHeight="15" x14ac:dyDescent="0.25"/>
  <sheetData>
    <row r="1" spans="1:2" x14ac:dyDescent="0.25">
      <c r="A1">
        <v>45037</v>
      </c>
      <c r="B1" cm="1">
        <f t="array" ref="B1:B73">_xlfn.UNIQUE(A1:A73)</f>
        <v>45037</v>
      </c>
    </row>
    <row r="2" spans="1:2" x14ac:dyDescent="0.25">
      <c r="A2">
        <v>45044</v>
      </c>
      <c r="B2">
        <v>45044</v>
      </c>
    </row>
    <row r="3" spans="1:2" x14ac:dyDescent="0.25">
      <c r="A3">
        <v>45051</v>
      </c>
      <c r="B3">
        <v>45051</v>
      </c>
    </row>
    <row r="4" spans="1:2" x14ac:dyDescent="0.25">
      <c r="A4">
        <v>45058</v>
      </c>
      <c r="B4">
        <v>45058</v>
      </c>
    </row>
    <row r="5" spans="1:2" x14ac:dyDescent="0.25">
      <c r="A5">
        <v>45065</v>
      </c>
      <c r="B5">
        <v>45065</v>
      </c>
    </row>
    <row r="6" spans="1:2" x14ac:dyDescent="0.25">
      <c r="A6">
        <v>45072</v>
      </c>
      <c r="B6">
        <v>45072</v>
      </c>
    </row>
    <row r="7" spans="1:2" x14ac:dyDescent="0.25">
      <c r="A7">
        <v>45079</v>
      </c>
      <c r="B7">
        <v>45079</v>
      </c>
    </row>
    <row r="8" spans="1:2" x14ac:dyDescent="0.25">
      <c r="A8">
        <v>45086</v>
      </c>
      <c r="B8">
        <v>45086</v>
      </c>
    </row>
    <row r="9" spans="1:2" x14ac:dyDescent="0.25">
      <c r="A9">
        <v>45093</v>
      </c>
      <c r="B9">
        <v>45093</v>
      </c>
    </row>
    <row r="10" spans="1:2" x14ac:dyDescent="0.25">
      <c r="A10">
        <v>45100</v>
      </c>
      <c r="B10">
        <v>45100</v>
      </c>
    </row>
    <row r="11" spans="1:2" x14ac:dyDescent="0.25">
      <c r="A11">
        <v>45114</v>
      </c>
      <c r="B11">
        <v>45114</v>
      </c>
    </row>
    <row r="12" spans="1:2" x14ac:dyDescent="0.25">
      <c r="A12">
        <v>45121</v>
      </c>
      <c r="B12">
        <v>45121</v>
      </c>
    </row>
    <row r="13" spans="1:2" x14ac:dyDescent="0.25">
      <c r="A13">
        <v>45128</v>
      </c>
      <c r="B13">
        <v>45128</v>
      </c>
    </row>
    <row r="14" spans="1:2" x14ac:dyDescent="0.25">
      <c r="A14">
        <v>45135</v>
      </c>
      <c r="B14">
        <v>45135</v>
      </c>
    </row>
    <row r="15" spans="1:2" x14ac:dyDescent="0.25">
      <c r="A15">
        <v>45142</v>
      </c>
      <c r="B15">
        <v>45142</v>
      </c>
    </row>
    <row r="16" spans="1:2" x14ac:dyDescent="0.25">
      <c r="A16">
        <v>45149</v>
      </c>
      <c r="B16">
        <v>45149</v>
      </c>
    </row>
    <row r="17" spans="1:2" x14ac:dyDescent="0.25">
      <c r="A17">
        <v>45156</v>
      </c>
      <c r="B17">
        <v>45156</v>
      </c>
    </row>
    <row r="18" spans="1:2" x14ac:dyDescent="0.25">
      <c r="A18">
        <v>45163</v>
      </c>
      <c r="B18">
        <v>45163</v>
      </c>
    </row>
    <row r="19" spans="1:2" x14ac:dyDescent="0.25">
      <c r="A19">
        <v>45170</v>
      </c>
      <c r="B19">
        <v>45170</v>
      </c>
    </row>
    <row r="20" spans="1:2" x14ac:dyDescent="0.25">
      <c r="A20">
        <v>45177</v>
      </c>
      <c r="B20">
        <v>45177</v>
      </c>
    </row>
    <row r="21" spans="1:2" x14ac:dyDescent="0.25">
      <c r="A21">
        <v>45184</v>
      </c>
      <c r="B21">
        <v>45184</v>
      </c>
    </row>
    <row r="22" spans="1:2" x14ac:dyDescent="0.25">
      <c r="A22">
        <v>45191</v>
      </c>
      <c r="B22">
        <v>45191</v>
      </c>
    </row>
    <row r="23" spans="1:2" x14ac:dyDescent="0.25">
      <c r="A23">
        <v>45205</v>
      </c>
      <c r="B23">
        <v>45205</v>
      </c>
    </row>
    <row r="24" spans="1:2" x14ac:dyDescent="0.25">
      <c r="A24">
        <v>45212</v>
      </c>
      <c r="B24">
        <v>45212</v>
      </c>
    </row>
    <row r="25" spans="1:2" x14ac:dyDescent="0.25">
      <c r="A25">
        <v>45226</v>
      </c>
      <c r="B25">
        <v>45226</v>
      </c>
    </row>
    <row r="26" spans="1:2" x14ac:dyDescent="0.25">
      <c r="A26">
        <v>45247</v>
      </c>
      <c r="B26">
        <v>45247</v>
      </c>
    </row>
    <row r="27" spans="1:2" x14ac:dyDescent="0.25">
      <c r="A27">
        <v>45261</v>
      </c>
      <c r="B27">
        <v>45261</v>
      </c>
    </row>
    <row r="28" spans="1:2" x14ac:dyDescent="0.25">
      <c r="A28">
        <v>45268</v>
      </c>
      <c r="B28">
        <v>45268</v>
      </c>
    </row>
    <row r="29" spans="1:2" x14ac:dyDescent="0.25">
      <c r="A29">
        <v>45275</v>
      </c>
      <c r="B29">
        <v>45275</v>
      </c>
    </row>
    <row r="30" spans="1:2" x14ac:dyDescent="0.25">
      <c r="A30">
        <v>45282</v>
      </c>
      <c r="B30">
        <v>45282</v>
      </c>
    </row>
    <row r="31" spans="1:2" x14ac:dyDescent="0.25">
      <c r="A31">
        <v>45289</v>
      </c>
      <c r="B31">
        <v>45289</v>
      </c>
    </row>
    <row r="32" spans="1:2" x14ac:dyDescent="0.25">
      <c r="A32">
        <v>45296</v>
      </c>
      <c r="B32">
        <v>45296</v>
      </c>
    </row>
    <row r="33" spans="1:2" x14ac:dyDescent="0.25">
      <c r="A33">
        <v>45310</v>
      </c>
      <c r="B33">
        <v>45310</v>
      </c>
    </row>
    <row r="34" spans="1:2" x14ac:dyDescent="0.25">
      <c r="A34">
        <v>45324</v>
      </c>
      <c r="B34">
        <v>45324</v>
      </c>
    </row>
    <row r="35" spans="1:2" x14ac:dyDescent="0.25">
      <c r="A35">
        <v>45331</v>
      </c>
      <c r="B35">
        <v>45331</v>
      </c>
    </row>
    <row r="36" spans="1:2" x14ac:dyDescent="0.25">
      <c r="A36">
        <v>45338</v>
      </c>
      <c r="B36">
        <v>45338</v>
      </c>
    </row>
    <row r="37" spans="1:2" x14ac:dyDescent="0.25">
      <c r="A37">
        <v>45345</v>
      </c>
      <c r="B37">
        <v>45345</v>
      </c>
    </row>
    <row r="38" spans="1:2" x14ac:dyDescent="0.25">
      <c r="A38">
        <v>45352</v>
      </c>
      <c r="B38">
        <v>45352</v>
      </c>
    </row>
    <row r="39" spans="1:2" x14ac:dyDescent="0.25">
      <c r="A39">
        <v>45359</v>
      </c>
      <c r="B39">
        <v>45359</v>
      </c>
    </row>
    <row r="40" spans="1:2" x14ac:dyDescent="0.25">
      <c r="A40">
        <v>45366</v>
      </c>
      <c r="B40">
        <v>45366</v>
      </c>
    </row>
    <row r="41" spans="1:2" x14ac:dyDescent="0.25">
      <c r="A41">
        <v>45373</v>
      </c>
      <c r="B41">
        <v>45373</v>
      </c>
    </row>
    <row r="42" spans="1:2" x14ac:dyDescent="0.25">
      <c r="A42">
        <v>45380</v>
      </c>
      <c r="B42">
        <v>45380</v>
      </c>
    </row>
    <row r="43" spans="1:2" x14ac:dyDescent="0.25">
      <c r="A43">
        <v>45387</v>
      </c>
      <c r="B43">
        <v>45387</v>
      </c>
    </row>
    <row r="44" spans="1:2" x14ac:dyDescent="0.25">
      <c r="A44">
        <v>45401</v>
      </c>
      <c r="B44">
        <v>45401</v>
      </c>
    </row>
    <row r="45" spans="1:2" x14ac:dyDescent="0.25">
      <c r="A45">
        <v>45415</v>
      </c>
      <c r="B45">
        <v>45415</v>
      </c>
    </row>
    <row r="46" spans="1:2" x14ac:dyDescent="0.25">
      <c r="A46">
        <v>45422</v>
      </c>
      <c r="B46">
        <v>45422</v>
      </c>
    </row>
    <row r="47" spans="1:2" x14ac:dyDescent="0.25">
      <c r="A47">
        <v>45429</v>
      </c>
      <c r="B47">
        <v>45429</v>
      </c>
    </row>
    <row r="48" spans="1:2" x14ac:dyDescent="0.25">
      <c r="A48">
        <v>45436</v>
      </c>
      <c r="B48">
        <v>45436</v>
      </c>
    </row>
    <row r="49" spans="1:2" x14ac:dyDescent="0.25">
      <c r="A49">
        <v>45443</v>
      </c>
      <c r="B49">
        <v>45443</v>
      </c>
    </row>
    <row r="50" spans="1:2" x14ac:dyDescent="0.25">
      <c r="A50">
        <v>45450</v>
      </c>
      <c r="B50">
        <v>45450</v>
      </c>
    </row>
    <row r="51" spans="1:2" x14ac:dyDescent="0.25">
      <c r="A51">
        <v>45457</v>
      </c>
      <c r="B51">
        <v>45457</v>
      </c>
    </row>
    <row r="52" spans="1:2" x14ac:dyDescent="0.25">
      <c r="A52">
        <v>45464</v>
      </c>
      <c r="B52">
        <v>45464</v>
      </c>
    </row>
    <row r="53" spans="1:2" x14ac:dyDescent="0.25">
      <c r="A53">
        <v>45471</v>
      </c>
      <c r="B53">
        <v>45471</v>
      </c>
    </row>
    <row r="54" spans="1:2" x14ac:dyDescent="0.25">
      <c r="A54">
        <v>45478</v>
      </c>
      <c r="B54">
        <v>45478</v>
      </c>
    </row>
    <row r="55" spans="1:2" x14ac:dyDescent="0.25">
      <c r="A55">
        <v>45485</v>
      </c>
      <c r="B55">
        <v>45485</v>
      </c>
    </row>
    <row r="56" spans="1:2" x14ac:dyDescent="0.25">
      <c r="A56">
        <v>45492</v>
      </c>
      <c r="B56">
        <v>45492</v>
      </c>
    </row>
    <row r="57" spans="1:2" x14ac:dyDescent="0.25">
      <c r="A57">
        <v>45499</v>
      </c>
      <c r="B57">
        <v>45499</v>
      </c>
    </row>
    <row r="58" spans="1:2" x14ac:dyDescent="0.25">
      <c r="A58">
        <v>45506</v>
      </c>
      <c r="B58">
        <v>45506</v>
      </c>
    </row>
    <row r="59" spans="1:2" x14ac:dyDescent="0.25">
      <c r="A59">
        <v>45513</v>
      </c>
      <c r="B59">
        <v>45513</v>
      </c>
    </row>
    <row r="60" spans="1:2" x14ac:dyDescent="0.25">
      <c r="A60">
        <v>45527</v>
      </c>
      <c r="B60">
        <v>45527</v>
      </c>
    </row>
    <row r="61" spans="1:2" x14ac:dyDescent="0.25">
      <c r="A61">
        <v>45534</v>
      </c>
      <c r="B61">
        <v>45534</v>
      </c>
    </row>
    <row r="62" spans="1:2" x14ac:dyDescent="0.25">
      <c r="A62">
        <v>45541</v>
      </c>
      <c r="B62">
        <v>45541</v>
      </c>
    </row>
    <row r="63" spans="1:2" x14ac:dyDescent="0.25">
      <c r="A63">
        <v>45548</v>
      </c>
      <c r="B63">
        <v>45548</v>
      </c>
    </row>
    <row r="64" spans="1:2" x14ac:dyDescent="0.25">
      <c r="A64">
        <v>45555</v>
      </c>
      <c r="B64">
        <v>45555</v>
      </c>
    </row>
    <row r="65" spans="1:2" x14ac:dyDescent="0.25">
      <c r="A65">
        <v>45562</v>
      </c>
      <c r="B65">
        <v>45562</v>
      </c>
    </row>
    <row r="66" spans="1:2" x14ac:dyDescent="0.25">
      <c r="A66">
        <v>45569</v>
      </c>
      <c r="B66">
        <v>45569</v>
      </c>
    </row>
    <row r="67" spans="1:2" x14ac:dyDescent="0.25">
      <c r="A67">
        <v>45583</v>
      </c>
      <c r="B67">
        <v>45583</v>
      </c>
    </row>
    <row r="68" spans="1:2" x14ac:dyDescent="0.25">
      <c r="A68">
        <v>45590</v>
      </c>
      <c r="B68">
        <v>45590</v>
      </c>
    </row>
    <row r="69" spans="1:2" x14ac:dyDescent="0.25">
      <c r="A69">
        <v>45611</v>
      </c>
      <c r="B69">
        <v>45611</v>
      </c>
    </row>
    <row r="70" spans="1:2" x14ac:dyDescent="0.25">
      <c r="A70">
        <v>45618</v>
      </c>
      <c r="B70">
        <v>45618</v>
      </c>
    </row>
    <row r="71" spans="1:2" x14ac:dyDescent="0.25">
      <c r="A71">
        <v>45625</v>
      </c>
      <c r="B71">
        <v>45625</v>
      </c>
    </row>
    <row r="72" spans="1:2" x14ac:dyDescent="0.25">
      <c r="A72">
        <v>45632</v>
      </c>
      <c r="B72">
        <v>45632</v>
      </c>
    </row>
    <row r="73" spans="1:2" x14ac:dyDescent="0.25">
      <c r="A73">
        <v>45639</v>
      </c>
      <c r="B73">
        <v>45639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72f14c-d40a-4996-84a9-078c3b8640e0}" enabled="1" method="Standard" siteId="{cd62b7dd-4b48-44bd-90e7-e143a22c8ea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Darshan Pawar</dc:creator>
  <cp:keywords/>
  <dc:description/>
  <cp:lastModifiedBy>Darshan Pawar</cp:lastModifiedBy>
  <cp:revision/>
  <dcterms:created xsi:type="dcterms:W3CDTF">2025-06-25T08:30:17Z</dcterms:created>
  <dcterms:modified xsi:type="dcterms:W3CDTF">2025-11-12T15:04:31Z</dcterms:modified>
  <cp:category/>
  <cp:contentStatus/>
</cp:coreProperties>
</file>